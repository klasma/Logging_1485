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46304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46304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46304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46304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46304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46304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46304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46304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46304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46304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46304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46304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46304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46304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46304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46304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46304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46304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65109-2023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45288</v>
      </c>
      <c r="E20" s="1" t="n">
        <v>46304</v>
      </c>
      <c r="F20" t="inlineStr">
        <is>
          <t>VÄSTRA GÖTALANDS LÄN</t>
        </is>
      </c>
      <c r="G20" t="inlineStr">
        <is>
          <t>UDDEVALLA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Lunglav
Åttafläckig praktbagge</t>
        </is>
      </c>
      <c r="W20">
        <f>HYPERLINK("https://klasma.github.io/Logging_1485/artfynd/A 65109-2023 artfynd.xlsx", "A 65109-2023")</f>
        <v/>
      </c>
      <c r="X20">
        <f>HYPERLINK("https://klasma.github.io/Logging_1485/kartor/A 65109-2023 karta.png", "A 65109-2023")</f>
        <v/>
      </c>
      <c r="Y20">
        <f>HYPERLINK("https://klasma.github.io/Logging_1485/kartor_geotiff/A 65109-2023 georefererad karta.tif", "A 65109-2023")</f>
        <v/>
      </c>
      <c r="AA20">
        <f>HYPERLINK("https://klasma.github.io/Logging_1485/klagomål/A 65109-2023 FSC-klagomål.docx", "A 65109-2023")</f>
        <v/>
      </c>
      <c r="AB20">
        <f>HYPERLINK("https://klasma.github.io/Logging_1485/klagomålsmail/A 65109-2023 FSC-klagomål mail.docx", "A 65109-2023")</f>
        <v/>
      </c>
      <c r="AC20">
        <f>HYPERLINK("https://klasma.github.io/Logging_1485/tillsyn/A 65109-2023 tillsynsbegäran.docx", "A 65109-2023")</f>
        <v/>
      </c>
      <c r="AD20">
        <f>HYPERLINK("https://klasma.github.io/Logging_1485/tillsynsmail/A 65109-2023 tillsynsbegäran mail.docx", "A 65109-2023")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46304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46304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46304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46304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46304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46304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46304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34390-2026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46304</v>
      </c>
      <c r="F28" t="inlineStr">
        <is>
          <t>VÄSTRA GÖTALANDS LÄN</t>
        </is>
      </c>
      <c r="G28" t="inlineStr">
        <is>
          <t>UDDEVALLA</t>
        </is>
      </c>
      <c r="I28" t="n">
        <v>2.5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Större träfjäril</t>
        </is>
      </c>
      <c r="W28">
        <f>HYPERLINK("https://klasma.github.io/Logging_1485/artfynd/A 34390-2026 artfynd.xlsx", "A 34390-2026")</f>
        <v/>
      </c>
      <c r="X28">
        <f>HYPERLINK("https://klasma.github.io/Logging_1485/kartor/A 34390-2026 karta.png", "A 34390-2026")</f>
        <v/>
      </c>
      <c r="Y28">
        <f>HYPERLINK("https://klasma.github.io/Logging_1485/kartor_geotiff/A 34390-2026 georefererad karta.tif", "A 34390-2026")</f>
        <v/>
      </c>
      <c r="AA28">
        <f>HYPERLINK("https://klasma.github.io/Logging_1485/klagomål/A 34390-2026 FSC-klagomål.docx", "A 34390-2026")</f>
        <v/>
      </c>
      <c r="AB28">
        <f>HYPERLINK("https://klasma.github.io/Logging_1485/klagomålsmail/A 34390-2026 FSC-klagomål mail.docx", "A 34390-2026")</f>
        <v/>
      </c>
      <c r="AC28">
        <f>HYPERLINK("https://klasma.github.io/Logging_1485/tillsyn/A 34390-2026 tillsynsbegäran.docx", "A 34390-2026")</f>
        <v/>
      </c>
      <c r="AD28">
        <f>HYPERLINK("https://klasma.github.io/Logging_1485/tillsynsmail/A 34390-2026 tillsynsbegäran mail.docx", "A 34390-2026")</f>
        <v/>
      </c>
      <c r="AE28">
        <f>HYPERLINK("https://klasma.github.io/Logging_1485/fåglar/A 34390-2026 prioriterade fågelarter.docx", "A 34390-2026")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46304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46304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46304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46304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46304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46304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HYPERLINK("https://klasma.github.io/Logging_1485/artfynd/A 495-2023 artfynd.xlsx", "A 495-2023")</f>
        <v/>
      </c>
      <c r="X34">
        <f>HYPERLINK("https://klasma.github.io/Logging_1485/kartor/A 495-2023 karta.png", "A 495-2023")</f>
        <v/>
      </c>
      <c r="Y34">
        <f>HYPERLINK("https://klasma.github.io/Logging_1485/kartor_geotiff/A 495-2023 georefererad karta.tif", "A 495-2023")</f>
        <v/>
      </c>
      <c r="AA34">
        <f>HYPERLINK("https://klasma.github.io/Logging_1485/klagomål/A 495-2023 FSC-klagomål.docx", "A 495-2023")</f>
        <v/>
      </c>
      <c r="AB34">
        <f>HYPERLINK("https://klasma.github.io/Logging_1485/klagomålsmail/A 495-2023 FSC-klagomål mail.docx", "A 495-2023")</f>
        <v/>
      </c>
      <c r="AC34">
        <f>HYPERLINK("https://klasma.github.io/Logging_1485/tillsyn/A 495-2023 tillsynsbegäran.docx", "A 495-2023")</f>
        <v/>
      </c>
      <c r="AD34">
        <f>HYPERLINK("https://klasma.github.io/Logging_1485/tillsynsmail/A 495-2023 tillsynsbegäran mail.docx", "A 495-2023")</f>
        <v/>
      </c>
      <c r="AE34">
        <f>HYPERLINK("https://klasma.github.io/Logging_1485/fåglar/A 495-2023 prioriterade fågelarter.docx", "A 495-2023")</f>
        <v/>
      </c>
    </row>
    <row r="35" ht="15" customHeight="1">
      <c r="A35" t="inlineStr">
        <is>
          <t>A 22603-2023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45071</v>
      </c>
      <c r="E35" s="1" t="n">
        <v>46304</v>
      </c>
      <c r="F35" t="inlineStr">
        <is>
          <t>VÄSTRA GÖTALANDS LÄN</t>
        </is>
      </c>
      <c r="G35" t="inlineStr">
        <is>
          <t>UDDEVALLA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HYPERLINK("https://klasma.github.io/Logging_1485/artfynd/A 22603-2023 artfynd.xlsx", "A 22603-2023")</f>
        <v/>
      </c>
      <c r="X35">
        <f>HYPERLINK("https://klasma.github.io/Logging_1485/kartor/A 22603-2023 karta.png", "A 22603-2023")</f>
        <v/>
      </c>
      <c r="Y35">
        <f>HYPERLINK("https://klasma.github.io/Logging_1485/kartor_geotiff/A 22603-2023 georefererad karta.tif", "A 22603-2023")</f>
        <v/>
      </c>
      <c r="AA35">
        <f>HYPERLINK("https://klasma.github.io/Logging_1485/klagomål/A 22603-2023 FSC-klagomål.docx", "A 22603-2023")</f>
        <v/>
      </c>
      <c r="AB35">
        <f>HYPERLINK("https://klasma.github.io/Logging_1485/klagomålsmail/A 22603-2023 FSC-klagomål mail.docx", "A 22603-2023")</f>
        <v/>
      </c>
      <c r="AC35">
        <f>HYPERLINK("https://klasma.github.io/Logging_1485/tillsyn/A 22603-2023 tillsynsbegäran.docx", "A 22603-2023")</f>
        <v/>
      </c>
      <c r="AD35">
        <f>HYPERLINK("https://klasma.github.io/Logging_1485/tillsynsmail/A 22603-2023 tillsynsbegäran mail.docx", "A 22603-2023")</f>
        <v/>
      </c>
    </row>
    <row r="36" ht="15" customHeight="1">
      <c r="A36" t="inlineStr">
        <is>
          <t>A 7770-2024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46304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Kyrkan</t>
        </is>
      </c>
      <c r="I36" t="n">
        <v>6.2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HYPERLINK("https://klasma.github.io/Logging_1485/artfynd/A 7770-2024 artfynd.xlsx", "A 7770-2024")</f>
        <v/>
      </c>
      <c r="X36">
        <f>HYPERLINK("https://klasma.github.io/Logging_1485/kartor/A 7770-2024 karta.png", "A 7770-2024")</f>
        <v/>
      </c>
      <c r="Y36">
        <f>HYPERLINK("https://klasma.github.io/Logging_1485/kartor_geotiff/A 7770-2024 georefererad karta.tif", "A 7770-2024")</f>
        <v/>
      </c>
      <c r="AA36">
        <f>HYPERLINK("https://klasma.github.io/Logging_1485/klagomål/A 7770-2024 FSC-klagomål.docx", "A 7770-2024")</f>
        <v/>
      </c>
      <c r="AB36">
        <f>HYPERLINK("https://klasma.github.io/Logging_1485/klagomålsmail/A 7770-2024 FSC-klagomål mail.docx", "A 7770-2024")</f>
        <v/>
      </c>
      <c r="AC36">
        <f>HYPERLINK("https://klasma.github.io/Logging_1485/tillsyn/A 7770-2024 tillsynsbegäran.docx", "A 7770-2024")</f>
        <v/>
      </c>
      <c r="AD36">
        <f>HYPERLINK("https://klasma.github.io/Logging_1485/tillsynsmail/A 7770-2024 tillsynsbegäran mail.docx", "A 7770-2024")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46304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46304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10865-2022 artfynd.xlsx", "A 10865-2022")</f>
        <v/>
      </c>
      <c r="X38">
        <f>HYPERLINK("https://klasma.github.io/Logging_1485/kartor/A 10865-2022 karta.png", "A 10865-2022")</f>
        <v/>
      </c>
      <c r="Y38">
        <f>HYPERLINK("https://klasma.github.io/Logging_1485/kartor_geotiff/A 10865-2022 georefererad karta.tif", "A 10865-2022")</f>
        <v/>
      </c>
      <c r="AA38">
        <f>HYPERLINK("https://klasma.github.io/Logging_1485/klagomål/A 10865-2022 FSC-klagomål.docx", "A 10865-2022")</f>
        <v/>
      </c>
      <c r="AB38">
        <f>HYPERLINK("https://klasma.github.io/Logging_1485/klagomålsmail/A 10865-2022 FSC-klagomål mail.docx", "A 10865-2022")</f>
        <v/>
      </c>
      <c r="AC38">
        <f>HYPERLINK("https://klasma.github.io/Logging_1485/tillsyn/A 10865-2022 tillsynsbegäran.docx", "A 10865-2022")</f>
        <v/>
      </c>
      <c r="AD38">
        <f>HYPERLINK("https://klasma.github.io/Logging_1485/tillsynsmail/A 10865-2022 tillsynsbegäran mail.docx", "A 10865-2022")</f>
        <v/>
      </c>
    </row>
    <row r="39" ht="15" customHeight="1">
      <c r="A39" t="inlineStr">
        <is>
          <t>A 55288-2023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45237</v>
      </c>
      <c r="E39" s="1" t="n">
        <v>46304</v>
      </c>
      <c r="F39" t="inlineStr">
        <is>
          <t>VÄSTRA GÖTALANDS LÄN</t>
        </is>
      </c>
      <c r="G39" t="inlineStr">
        <is>
          <t>UDDEVALLA</t>
        </is>
      </c>
      <c r="I39" t="n">
        <v>5.2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55288-2023 artfynd.xlsx", "A 55288-2023")</f>
        <v/>
      </c>
      <c r="X39">
        <f>HYPERLINK("https://klasma.github.io/Logging_1485/kartor/A 55288-2023 karta.png", "A 55288-2023")</f>
        <v/>
      </c>
      <c r="Y39">
        <f>HYPERLINK("https://klasma.github.io/Logging_1485/kartor_geotiff/A 55288-2023 georefererad karta.tif", "A 55288-2023")</f>
        <v/>
      </c>
      <c r="AA39">
        <f>HYPERLINK("https://klasma.github.io/Logging_1485/klagomål/A 55288-2023 FSC-klagomål.docx", "A 55288-2023")</f>
        <v/>
      </c>
      <c r="AB39">
        <f>HYPERLINK("https://klasma.github.io/Logging_1485/klagomålsmail/A 55288-2023 FSC-klagomål mail.docx", "A 55288-2023")</f>
        <v/>
      </c>
      <c r="AC39">
        <f>HYPERLINK("https://klasma.github.io/Logging_1485/tillsyn/A 55288-2023 tillsynsbegäran.docx", "A 55288-2023")</f>
        <v/>
      </c>
      <c r="AD39">
        <f>HYPERLINK("https://klasma.github.io/Logging_1485/tillsynsmail/A 55288-2023 tillsynsbegäran mail.docx", "A 55288-2023")</f>
        <v/>
      </c>
    </row>
    <row r="40" ht="15" customHeight="1">
      <c r="A40" t="inlineStr">
        <is>
          <t>A 23401-2023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45076</v>
      </c>
      <c r="E40" s="1" t="n">
        <v>46304</v>
      </c>
      <c r="F40" t="inlineStr">
        <is>
          <t>VÄSTRA GÖTALANDS LÄN</t>
        </is>
      </c>
      <c r="G40" t="inlineStr">
        <is>
          <t>UDDEVALLA</t>
        </is>
      </c>
      <c r="I40" t="n">
        <v>3.3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HYPERLINK("https://klasma.github.io/Logging_1485/artfynd/A 23401-2023 artfynd.xlsx", "A 23401-2023")</f>
        <v/>
      </c>
      <c r="X40">
        <f>HYPERLINK("https://klasma.github.io/Logging_1485/kartor/A 23401-2023 karta.png", "A 23401-2023")</f>
        <v/>
      </c>
      <c r="Y40">
        <f>HYPERLINK("https://klasma.github.io/Logging_1485/kartor_geotiff/A 23401-2023 georefererad karta.tif", "A 23401-2023")</f>
        <v/>
      </c>
      <c r="AA40">
        <f>HYPERLINK("https://klasma.github.io/Logging_1485/klagomål/A 23401-2023 FSC-klagomål.docx", "A 23401-2023")</f>
        <v/>
      </c>
      <c r="AB40">
        <f>HYPERLINK("https://klasma.github.io/Logging_1485/klagomålsmail/A 23401-2023 FSC-klagomål mail.docx", "A 23401-2023")</f>
        <v/>
      </c>
      <c r="AC40">
        <f>HYPERLINK("https://klasma.github.io/Logging_1485/tillsyn/A 23401-2023 tillsynsbegäran.docx", "A 23401-2023")</f>
        <v/>
      </c>
      <c r="AD40">
        <f>HYPERLINK("https://klasma.github.io/Logging_1485/tillsynsmail/A 23401-2023 tillsynsbegäran mail.docx", "A 23401-2023")</f>
        <v/>
      </c>
    </row>
    <row r="41" ht="15" customHeight="1">
      <c r="A41" t="inlineStr">
        <is>
          <t>A 1293-2024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46304</v>
      </c>
      <c r="F41" t="inlineStr">
        <is>
          <t>VÄSTRA GÖTALANDS LÄN</t>
        </is>
      </c>
      <c r="G41" t="inlineStr">
        <is>
          <t>UDDEVALLA</t>
        </is>
      </c>
      <c r="I41" t="n">
        <v>2.2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Tornseglare</t>
        </is>
      </c>
      <c r="W41">
        <f>HYPERLINK("https://klasma.github.io/Logging_1485/artfynd/A 1293-2024 artfynd.xlsx", "A 1293-2024")</f>
        <v/>
      </c>
      <c r="X41">
        <f>HYPERLINK("https://klasma.github.io/Logging_1485/kartor/A 1293-2024 karta.png", "A 1293-2024")</f>
        <v/>
      </c>
      <c r="Y41">
        <f>HYPERLINK("https://klasma.github.io/Logging_1485/kartor_geotiff/A 1293-2024 georefererad karta.tif", "A 1293-2024")</f>
        <v/>
      </c>
      <c r="AA41">
        <f>HYPERLINK("https://klasma.github.io/Logging_1485/klagomål/A 1293-2024 FSC-klagomål.docx", "A 1293-2024")</f>
        <v/>
      </c>
      <c r="AB41">
        <f>HYPERLINK("https://klasma.github.io/Logging_1485/klagomålsmail/A 1293-2024 FSC-klagomål mail.docx", "A 1293-2024")</f>
        <v/>
      </c>
      <c r="AC41">
        <f>HYPERLINK("https://klasma.github.io/Logging_1485/tillsyn/A 1293-2024 tillsynsbegäran.docx", "A 1293-2024")</f>
        <v/>
      </c>
      <c r="AD41">
        <f>HYPERLINK("https://klasma.github.io/Logging_1485/tillsynsmail/A 1293-2024 tillsynsbegäran mail.docx", "A 1293-2024")</f>
        <v/>
      </c>
      <c r="AE41">
        <f>HYPERLINK("https://klasma.github.io/Logging_1485/fåglar/A 1293-2024 prioriterade fågelarter.docx", "A 1293-2024")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46304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34058-2023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45135</v>
      </c>
      <c r="E43" s="1" t="n">
        <v>46304</v>
      </c>
      <c r="F43" t="inlineStr">
        <is>
          <t>VÄSTRA GÖTALANDS LÄN</t>
        </is>
      </c>
      <c r="G43" t="inlineStr">
        <is>
          <t>UDDEVALLA</t>
        </is>
      </c>
      <c r="I43" t="n">
        <v>1.3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Lundvaxskivling</t>
        </is>
      </c>
      <c r="W43">
        <f>HYPERLINK("https://klasma.github.io/Logging_1485/artfynd/A 34058-2023 artfynd.xlsx", "A 34058-2023")</f>
        <v/>
      </c>
      <c r="X43">
        <f>HYPERLINK("https://klasma.github.io/Logging_1485/kartor/A 34058-2023 karta.png", "A 34058-2023")</f>
        <v/>
      </c>
      <c r="Y43">
        <f>HYPERLINK("https://klasma.github.io/Logging_1485/kartor_geotiff/A 34058-2023 georefererad karta.tif", "A 34058-2023")</f>
        <v/>
      </c>
      <c r="AA43">
        <f>HYPERLINK("https://klasma.github.io/Logging_1485/klagomål/A 34058-2023 FSC-klagomål.docx", "A 34058-2023")</f>
        <v/>
      </c>
      <c r="AB43">
        <f>HYPERLINK("https://klasma.github.io/Logging_1485/klagomålsmail/A 34058-2023 FSC-klagomål mail.docx", "A 34058-2023")</f>
        <v/>
      </c>
      <c r="AC43">
        <f>HYPERLINK("https://klasma.github.io/Logging_1485/tillsyn/A 34058-2023 tillsynsbegäran.docx", "A 34058-2023")</f>
        <v/>
      </c>
      <c r="AD43">
        <f>HYPERLINK("https://klasma.github.io/Logging_1485/tillsynsmail/A 34058-2023 tillsynsbegäran mail.docx", "A 34058-2023")</f>
        <v/>
      </c>
    </row>
    <row r="44" ht="15" customHeight="1">
      <c r="A44" t="inlineStr">
        <is>
          <t>A 29691-2023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46304</v>
      </c>
      <c r="F44" t="inlineStr">
        <is>
          <t>VÄSTRA GÖTALANDS LÄN</t>
        </is>
      </c>
      <c r="G44" t="inlineStr">
        <is>
          <t>UDDEVALLA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Kopparödla</t>
        </is>
      </c>
      <c r="W44">
        <f>HYPERLINK("https://klasma.github.io/Logging_1485/artfynd/A 29691-2023 artfynd.xlsx", "A 29691-2023")</f>
        <v/>
      </c>
      <c r="X44">
        <f>HYPERLINK("https://klasma.github.io/Logging_1485/kartor/A 29691-2023 karta.png", "A 29691-2023")</f>
        <v/>
      </c>
      <c r="Y44">
        <f>HYPERLINK("https://klasma.github.io/Logging_1485/kartor_geotiff/A 29691-2023 georefererad karta.tif", "A 29691-2023")</f>
        <v/>
      </c>
      <c r="AA44">
        <f>HYPERLINK("https://klasma.github.io/Logging_1485/klagomål/A 29691-2023 FSC-klagomål.docx", "A 29691-2023")</f>
        <v/>
      </c>
      <c r="AB44">
        <f>HYPERLINK("https://klasma.github.io/Logging_1485/klagomålsmail/A 29691-2023 FSC-klagomål mail.docx", "A 29691-2023")</f>
        <v/>
      </c>
      <c r="AC44">
        <f>HYPERLINK("https://klasma.github.io/Logging_1485/tillsyn/A 29691-2023 tillsynsbegäran.docx", "A 29691-2023")</f>
        <v/>
      </c>
      <c r="AD44">
        <f>HYPERLINK("https://klasma.github.io/Logging_1485/tillsynsmail/A 29691-2023 tillsynsbegäran mail.docx", "A 29691-2023")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46304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9424-2026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46304</v>
      </c>
      <c r="F46" t="inlineStr">
        <is>
          <t>VÄSTRA GÖTALANDS LÄN</t>
        </is>
      </c>
      <c r="G46" t="inlineStr">
        <is>
          <t>UDDEVALLA</t>
        </is>
      </c>
      <c r="I46" t="n">
        <v>4.3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Flotagräs</t>
        </is>
      </c>
      <c r="W46">
        <f>HYPERLINK("https://klasma.github.io/Logging_1485/artfynd/A 9424-2026 artfynd.xlsx", "A 9424-2026")</f>
        <v/>
      </c>
      <c r="X46">
        <f>HYPERLINK("https://klasma.github.io/Logging_1485/kartor/A 9424-2026 karta.png", "A 9424-2026")</f>
        <v/>
      </c>
      <c r="Y46">
        <f>HYPERLINK("https://klasma.github.io/Logging_1485/kartor_geotiff/A 9424-2026 georefererad karta.tif", "A 9424-2026")</f>
        <v/>
      </c>
      <c r="AA46">
        <f>HYPERLINK("https://klasma.github.io/Logging_1485/klagomål/A 9424-2026 FSC-klagomål.docx", "A 9424-2026")</f>
        <v/>
      </c>
      <c r="AB46">
        <f>HYPERLINK("https://klasma.github.io/Logging_1485/klagomålsmail/A 9424-2026 FSC-klagomål mail.docx", "A 9424-2026")</f>
        <v/>
      </c>
      <c r="AC46">
        <f>HYPERLINK("https://klasma.github.io/Logging_1485/tillsyn/A 9424-2026 tillsynsbegäran.docx", "A 9424-2026")</f>
        <v/>
      </c>
      <c r="AD46">
        <f>HYPERLINK("https://klasma.github.io/Logging_1485/tillsynsmail/A 9424-2026 tillsynsbegäran mail.docx", "A 9424-2026")</f>
        <v/>
      </c>
    </row>
    <row r="47" ht="15" customHeight="1">
      <c r="A47" t="inlineStr">
        <is>
          <t>A 23322-2025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46304</v>
      </c>
      <c r="F47" t="inlineStr">
        <is>
          <t>VÄSTRA GÖTALANDS LÄN</t>
        </is>
      </c>
      <c r="G47" t="inlineStr">
        <is>
          <t>UDDEVALLA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HYPERLINK("https://klasma.github.io/Logging_1485/artfynd/A 23322-2025 artfynd.xlsx", "A 23322-2025")</f>
        <v/>
      </c>
      <c r="X47">
        <f>HYPERLINK("https://klasma.github.io/Logging_1485/kartor/A 23322-2025 karta.png", "A 23322-2025")</f>
        <v/>
      </c>
      <c r="Y47">
        <f>HYPERLINK("https://klasma.github.io/Logging_1485/kartor_geotiff/A 23322-2025 georefererad karta.tif", "A 23322-2025")</f>
        <v/>
      </c>
      <c r="AA47">
        <f>HYPERLINK("https://klasma.github.io/Logging_1485/klagomål/A 23322-2025 FSC-klagomål.docx", "A 23322-2025")</f>
        <v/>
      </c>
      <c r="AB47">
        <f>HYPERLINK("https://klasma.github.io/Logging_1485/klagomålsmail/A 23322-2025 FSC-klagomål mail.docx", "A 23322-2025")</f>
        <v/>
      </c>
      <c r="AC47">
        <f>HYPERLINK("https://klasma.github.io/Logging_1485/tillsyn/A 23322-2025 tillsynsbegäran.docx", "A 23322-2025")</f>
        <v/>
      </c>
      <c r="AD47">
        <f>HYPERLINK("https://klasma.github.io/Logging_1485/tillsynsmail/A 23322-2025 tillsynsbegäran mail.docx", "A 23322-2025")</f>
        <v/>
      </c>
      <c r="AE47">
        <f>HYPERLINK("https://klasma.github.io/Logging_1485/fåglar/A 23322-2025 prioriterade fågelarter.docx", "A 23322-2025")</f>
        <v/>
      </c>
    </row>
    <row r="48" ht="15" customHeight="1">
      <c r="A48" t="inlineStr">
        <is>
          <t>A 39966-2026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46292</v>
      </c>
      <c r="E48" s="1" t="n">
        <v>46304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HYPERLINK("https://klasma.github.io/Logging_1485/artfynd/A 39966-2026 artfynd.xlsx", "A 39966-2026")</f>
        <v/>
      </c>
      <c r="X48">
        <f>HYPERLINK("https://klasma.github.io/Logging_1485/kartor/A 39966-2026 karta.png", "A 39966-2026")</f>
        <v/>
      </c>
      <c r="Y48">
        <f>HYPERLINK("https://klasma.github.io/Logging_1485/kartor_geotiff/A 39966-2026 georefererad karta.tif", "A 39966-2026")</f>
        <v/>
      </c>
      <c r="AA48">
        <f>HYPERLINK("https://klasma.github.io/Logging_1485/klagomål/A 39966-2026 FSC-klagomål.docx", "A 39966-2026")</f>
        <v/>
      </c>
      <c r="AB48">
        <f>HYPERLINK("https://klasma.github.io/Logging_1485/klagomålsmail/A 39966-2026 FSC-klagomål mail.docx", "A 39966-2026")</f>
        <v/>
      </c>
      <c r="AC48">
        <f>HYPERLINK("https://klasma.github.io/Logging_1485/tillsyn/A 39966-2026 tillsynsbegäran.docx", "A 39966-2026")</f>
        <v/>
      </c>
      <c r="AD48">
        <f>HYPERLINK("https://klasma.github.io/Logging_1485/tillsynsmail/A 39966-2026 tillsynsbegäran mail.docx", "A 39966-2026")</f>
        <v/>
      </c>
    </row>
    <row r="49" ht="15" customHeight="1">
      <c r="A49" t="inlineStr">
        <is>
          <t>A 30954-2025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45832</v>
      </c>
      <c r="E49" s="1" t="n">
        <v>46304</v>
      </c>
      <c r="F49" t="inlineStr">
        <is>
          <t>VÄSTRA GÖTALANDS LÄN</t>
        </is>
      </c>
      <c r="G49" t="inlineStr">
        <is>
          <t>UDDEVALLA</t>
        </is>
      </c>
      <c r="I49" t="n">
        <v>11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Svinrot</t>
        </is>
      </c>
      <c r="W49">
        <f>HYPERLINK("https://klasma.github.io/Logging_1485/artfynd/A 30954-2025 artfynd.xlsx", "A 30954-2025")</f>
        <v/>
      </c>
      <c r="X49">
        <f>HYPERLINK("https://klasma.github.io/Logging_1485/kartor/A 30954-2025 karta.png", "A 30954-2025")</f>
        <v/>
      </c>
      <c r="Y49">
        <f>HYPERLINK("https://klasma.github.io/Logging_1485/kartor_geotiff/A 30954-2025 georefererad karta.tif", "A 30954-2025")</f>
        <v/>
      </c>
      <c r="AA49">
        <f>HYPERLINK("https://klasma.github.io/Logging_1485/klagomål/A 30954-2025 FSC-klagomål.docx", "A 30954-2025")</f>
        <v/>
      </c>
      <c r="AB49">
        <f>HYPERLINK("https://klasma.github.io/Logging_1485/klagomålsmail/A 30954-2025 FSC-klagomål mail.docx", "A 30954-2025")</f>
        <v/>
      </c>
      <c r="AC49">
        <f>HYPERLINK("https://klasma.github.io/Logging_1485/tillsyn/A 30954-2025 tillsynsbegäran.docx", "A 30954-2025")</f>
        <v/>
      </c>
      <c r="AD49">
        <f>HYPERLINK("https://klasma.github.io/Logging_1485/tillsynsmail/A 30954-2025 tillsynsbegäran mail.docx", "A 30954-2025")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46304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42008-2026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46303</v>
      </c>
      <c r="E51" s="1" t="n">
        <v>46304</v>
      </c>
      <c r="F51" t="inlineStr">
        <is>
          <t>VÄSTRA GÖTALANDS LÄN</t>
        </is>
      </c>
      <c r="G51" t="inlineStr">
        <is>
          <t>UDDEVALLA</t>
        </is>
      </c>
      <c r="I51" t="n">
        <v>12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42008-2026 artfynd.xlsx", "A 42008-2026")</f>
        <v/>
      </c>
      <c r="X51">
        <f>HYPERLINK("https://klasma.github.io/Logging_1485/kartor/A 42008-2026 karta.png", "A 42008-2026")</f>
        <v/>
      </c>
      <c r="Y51">
        <f>HYPERLINK("https://klasma.github.io/Logging_1485/kartor_geotiff/A 42008-2026 georefererad karta.tif", "A 42008-2026")</f>
        <v/>
      </c>
      <c r="AA51">
        <f>HYPERLINK("https://klasma.github.io/Logging_1485/klagomål/A 42008-2026 FSC-klagomål.docx", "A 42008-2026")</f>
        <v/>
      </c>
      <c r="AB51">
        <f>HYPERLINK("https://klasma.github.io/Logging_1485/klagomålsmail/A 42008-2026 FSC-klagomål mail.docx", "A 42008-2026")</f>
        <v/>
      </c>
      <c r="AC51">
        <f>HYPERLINK("https://klasma.github.io/Logging_1485/tillsyn/A 42008-2026 tillsynsbegäran.docx", "A 42008-2026")</f>
        <v/>
      </c>
      <c r="AD51">
        <f>HYPERLINK("https://klasma.github.io/Logging_1485/tillsynsmail/A 42008-2026 tillsynsbegäran mail.docx", "A 42008-2026")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46304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46304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46304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46304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46304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46304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46304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46304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46304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46304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46304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46304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46304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46304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46304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46304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46304</v>
      </c>
      <c r="F68" t="inlineStr">
        <is>
          <t>VÄSTRA GÖTALANDS LÄN</t>
        </is>
      </c>
      <c r="G68" t="inlineStr">
        <is>
          <t>UDDEVALLA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46304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46304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45633</v>
      </c>
      <c r="E71" s="1" t="n">
        <v>46304</v>
      </c>
      <c r="F71" t="inlineStr">
        <is>
          <t>VÄSTRA GÖTALANDS LÄN</t>
        </is>
      </c>
      <c r="G71" t="inlineStr">
        <is>
          <t>UDDEVALLA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46304</v>
      </c>
      <c r="F72" t="inlineStr">
        <is>
          <t>VÄSTRA GÖTALANDS LÄN</t>
        </is>
      </c>
      <c r="G72" t="inlineStr">
        <is>
          <t>UDDEVALLA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46304</v>
      </c>
      <c r="F73" t="inlineStr">
        <is>
          <t>VÄSTRA GÖTALANDS LÄN</t>
        </is>
      </c>
      <c r="G73" t="inlineStr">
        <is>
          <t>UDDEVALLA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46304</v>
      </c>
      <c r="F74" t="inlineStr">
        <is>
          <t>VÄSTRA GÖTALANDS LÄN</t>
        </is>
      </c>
      <c r="G74" t="inlineStr">
        <is>
          <t>UDDEVALLA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46304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46304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46304</v>
      </c>
      <c r="F77" t="inlineStr">
        <is>
          <t>VÄSTRA GÖTALANDS LÄN</t>
        </is>
      </c>
      <c r="G77" t="inlineStr">
        <is>
          <t>UDDEVALLA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46304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46304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46304</v>
      </c>
      <c r="F80" t="inlineStr">
        <is>
          <t>VÄSTRA GÖTALANDS LÄN</t>
        </is>
      </c>
      <c r="G80" t="inlineStr">
        <is>
          <t>UDDEVALLA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46304</v>
      </c>
      <c r="F81" t="inlineStr">
        <is>
          <t>VÄSTRA GÖTALANDS LÄN</t>
        </is>
      </c>
      <c r="G81" t="inlineStr">
        <is>
          <t>UDDEVALLA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46304</v>
      </c>
      <c r="F82" t="inlineStr">
        <is>
          <t>VÄSTRA GÖTALANDS LÄN</t>
        </is>
      </c>
      <c r="G82" t="inlineStr">
        <is>
          <t>UDDEVALLA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46304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46304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46304</v>
      </c>
      <c r="F85" t="inlineStr">
        <is>
          <t>VÄSTRA GÖTALANDS LÄN</t>
        </is>
      </c>
      <c r="G85" t="inlineStr">
        <is>
          <t>UDDEVALLA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46304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46304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46304</v>
      </c>
      <c r="F88" t="inlineStr">
        <is>
          <t>VÄSTRA GÖTALANDS LÄN</t>
        </is>
      </c>
      <c r="G88" t="inlineStr">
        <is>
          <t>UDDEVALLA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46304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46304</v>
      </c>
      <c r="F90" t="inlineStr">
        <is>
          <t>VÄSTRA GÖTALANDS LÄN</t>
        </is>
      </c>
      <c r="G90" t="inlineStr">
        <is>
          <t>UDDEVALLA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46304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46304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46304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4639-2022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44592</v>
      </c>
      <c r="E94" s="1" t="n">
        <v>46304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46304</v>
      </c>
      <c r="F95" t="inlineStr">
        <is>
          <t>VÄSTRA GÖTALANDS LÄN</t>
        </is>
      </c>
      <c r="G95" t="inlineStr">
        <is>
          <t>UDDEVALLA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46304</v>
      </c>
      <c r="F96" t="inlineStr">
        <is>
          <t>VÄSTRA GÖTALANDS LÄN</t>
        </is>
      </c>
      <c r="G96" t="inlineStr">
        <is>
          <t>UDDEVALLA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46304</v>
      </c>
      <c r="F97" t="inlineStr">
        <is>
          <t>VÄSTRA GÖTALANDS LÄN</t>
        </is>
      </c>
      <c r="G97" t="inlineStr">
        <is>
          <t>UDDEVALLA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46304</v>
      </c>
      <c r="F98" t="inlineStr">
        <is>
          <t>VÄSTRA GÖTALANDS LÄN</t>
        </is>
      </c>
      <c r="G98" t="inlineStr">
        <is>
          <t>UDDEVALLA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46304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45572</v>
      </c>
      <c r="E100" s="1" t="n">
        <v>46304</v>
      </c>
      <c r="F100" t="inlineStr">
        <is>
          <t>VÄSTRA GÖTALANDS LÄN</t>
        </is>
      </c>
      <c r="G100" t="inlineStr">
        <is>
          <t>UDDEVALLA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46304</v>
      </c>
      <c r="F101" t="inlineStr">
        <is>
          <t>VÄSTRA GÖTALANDS LÄN</t>
        </is>
      </c>
      <c r="G101" t="inlineStr">
        <is>
          <t>UDDEVALLA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46304</v>
      </c>
      <c r="F102" t="inlineStr">
        <is>
          <t>VÄSTRA GÖTALANDS LÄN</t>
        </is>
      </c>
      <c r="G102" t="inlineStr">
        <is>
          <t>UDDEVALLA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44489</v>
      </c>
      <c r="E103" s="1" t="n">
        <v>46304</v>
      </c>
      <c r="F103" t="inlineStr">
        <is>
          <t>VÄSTRA GÖTALANDS LÄN</t>
        </is>
      </c>
      <c r="G103" t="inlineStr">
        <is>
          <t>UDDEVALLA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46304</v>
      </c>
      <c r="F104" t="inlineStr">
        <is>
          <t>VÄSTRA GÖTALANDS LÄN</t>
        </is>
      </c>
      <c r="G104" t="inlineStr">
        <is>
          <t>UDDEVALLA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45843</v>
      </c>
      <c r="E105" s="1" t="n">
        <v>46304</v>
      </c>
      <c r="F105" t="inlineStr">
        <is>
          <t>VÄSTRA GÖTALANDS LÄN</t>
        </is>
      </c>
      <c r="G105" t="inlineStr">
        <is>
          <t>UDDEVALLA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52289-2025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46304</v>
      </c>
      <c r="F106" t="inlineStr">
        <is>
          <t>VÄSTRA GÖTALANDS LÄN</t>
        </is>
      </c>
      <c r="G106" t="inlineStr">
        <is>
          <t>UDDEVALLA</t>
        </is>
      </c>
      <c r="H106" t="inlineStr">
        <is>
          <t>Kyrkan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46090</v>
      </c>
      <c r="E107" s="1" t="n">
        <v>46304</v>
      </c>
      <c r="F107" t="inlineStr">
        <is>
          <t>VÄSTRA GÖTALANDS LÄN</t>
        </is>
      </c>
      <c r="G107" t="inlineStr">
        <is>
          <t>UDDEVALLA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55542-2025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46304</v>
      </c>
      <c r="F108" t="inlineStr">
        <is>
          <t>VÄSTRA GÖTALANDS LÄN</t>
        </is>
      </c>
      <c r="G108" t="inlineStr">
        <is>
          <t>UDDEVALLA</t>
        </is>
      </c>
      <c r="H108" t="inlineStr">
        <is>
          <t>Kyrkan</t>
        </is>
      </c>
      <c r="I108" t="n">
        <v>16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46304</v>
      </c>
      <c r="F109" t="inlineStr">
        <is>
          <t>VÄSTRA GÖTALANDS LÄN</t>
        </is>
      </c>
      <c r="G109" t="inlineStr">
        <is>
          <t>UDDEVALLA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46304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45540</v>
      </c>
      <c r="E111" s="1" t="n">
        <v>46304</v>
      </c>
      <c r="F111" t="inlineStr">
        <is>
          <t>VÄSTRA GÖTALANDS LÄN</t>
        </is>
      </c>
      <c r="G111" t="inlineStr">
        <is>
          <t>UDDEVALLA</t>
        </is>
      </c>
      <c r="H111" t="inlineStr">
        <is>
          <t>Kyrkan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46304</v>
      </c>
      <c r="F112" t="inlineStr">
        <is>
          <t>VÄSTRA GÖTALANDS LÄN</t>
        </is>
      </c>
      <c r="G112" t="inlineStr">
        <is>
          <t>UDDEVALLA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73437-2021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46304</v>
      </c>
      <c r="F113" t="inlineStr">
        <is>
          <t>VÄSTRA GÖTALANDS LÄN</t>
        </is>
      </c>
      <c r="G113" t="inlineStr">
        <is>
          <t>UDDEVALLA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44508</v>
      </c>
      <c r="E114" s="1" t="n">
        <v>46304</v>
      </c>
      <c r="F114" t="inlineStr">
        <is>
          <t>VÄSTRA GÖTALANDS LÄN</t>
        </is>
      </c>
      <c r="G114" t="inlineStr">
        <is>
          <t>UDDEVALLA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46304</v>
      </c>
      <c r="F115" t="inlineStr">
        <is>
          <t>VÄSTRA GÖTALANDS LÄN</t>
        </is>
      </c>
      <c r="G115" t="inlineStr">
        <is>
          <t>UDDEVALLA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46304</v>
      </c>
      <c r="F116" t="inlineStr">
        <is>
          <t>VÄSTRA GÖTALANDS LÄN</t>
        </is>
      </c>
      <c r="G116" t="inlineStr">
        <is>
          <t>UDDEVALLA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46304</v>
      </c>
      <c r="F117" t="inlineStr">
        <is>
          <t>VÄSTRA GÖTALANDS LÄN</t>
        </is>
      </c>
      <c r="G117" t="inlineStr">
        <is>
          <t>UDDEVALLA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12533-2026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46090</v>
      </c>
      <c r="E118" s="1" t="n">
        <v>46304</v>
      </c>
      <c r="F118" t="inlineStr">
        <is>
          <t>VÄSTRA GÖTALANDS LÄN</t>
        </is>
      </c>
      <c r="G118" t="inlineStr">
        <is>
          <t>UDDEVALLA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45150</v>
      </c>
      <c r="E119" s="1" t="n">
        <v>46304</v>
      </c>
      <c r="F119" t="inlineStr">
        <is>
          <t>VÄSTRA GÖTALANDS LÄN</t>
        </is>
      </c>
      <c r="G119" t="inlineStr">
        <is>
          <t>UDDEVALLA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46304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45882</v>
      </c>
      <c r="E121" s="1" t="n">
        <v>46304</v>
      </c>
      <c r="F121" t="inlineStr">
        <is>
          <t>VÄSTRA GÖTALANDS LÄN</t>
        </is>
      </c>
      <c r="G121" t="inlineStr">
        <is>
          <t>UDDEVALLA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2115-2025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45672</v>
      </c>
      <c r="E122" s="1" t="n">
        <v>46304</v>
      </c>
      <c r="F122" t="inlineStr">
        <is>
          <t>VÄSTRA GÖTALANDS LÄN</t>
        </is>
      </c>
      <c r="G122" t="inlineStr">
        <is>
          <t>UDDEVALLA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46304</v>
      </c>
      <c r="F123" t="inlineStr">
        <is>
          <t>VÄSTRA GÖTALANDS LÄN</t>
        </is>
      </c>
      <c r="G123" t="inlineStr">
        <is>
          <t>UDDEVALLA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45771</v>
      </c>
      <c r="E124" s="1" t="n">
        <v>46304</v>
      </c>
      <c r="F124" t="inlineStr">
        <is>
          <t>VÄSTRA GÖTALANDS LÄN</t>
        </is>
      </c>
      <c r="G124" t="inlineStr">
        <is>
          <t>UDDEVALLA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46304</v>
      </c>
      <c r="F125" t="inlineStr">
        <is>
          <t>VÄSTRA GÖTALANDS LÄN</t>
        </is>
      </c>
      <c r="G125" t="inlineStr">
        <is>
          <t>UDDEVALLA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46304</v>
      </c>
      <c r="F126" t="inlineStr">
        <is>
          <t>VÄSTRA GÖTALANDS LÄN</t>
        </is>
      </c>
      <c r="G126" t="inlineStr">
        <is>
          <t>UDDEVALLA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46304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46304</v>
      </c>
      <c r="F128" t="inlineStr">
        <is>
          <t>VÄSTRA GÖTALANDS LÄN</t>
        </is>
      </c>
      <c r="G128" t="inlineStr">
        <is>
          <t>UDDEVALLA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46304</v>
      </c>
      <c r="F129" t="inlineStr">
        <is>
          <t>VÄSTRA GÖTALANDS LÄN</t>
        </is>
      </c>
      <c r="G129" t="inlineStr">
        <is>
          <t>UDDEVALLA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45840</v>
      </c>
      <c r="E130" s="1" t="n">
        <v>46304</v>
      </c>
      <c r="F130" t="inlineStr">
        <is>
          <t>VÄSTRA GÖTALANDS LÄN</t>
        </is>
      </c>
      <c r="G130" t="inlineStr">
        <is>
          <t>UDDEVALLA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41511-2024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45560</v>
      </c>
      <c r="E131" s="1" t="n">
        <v>46304</v>
      </c>
      <c r="F131" t="inlineStr">
        <is>
          <t>VÄSTRA GÖTALANDS LÄN</t>
        </is>
      </c>
      <c r="G131" t="inlineStr">
        <is>
          <t>UDDEVALLA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46304</v>
      </c>
      <c r="F132" t="inlineStr">
        <is>
          <t>VÄSTRA GÖTALANDS LÄN</t>
        </is>
      </c>
      <c r="G132" t="inlineStr">
        <is>
          <t>UDDEVALLA</t>
        </is>
      </c>
      <c r="I132" t="n">
        <v>19.4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46304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46304</v>
      </c>
      <c r="F134" t="inlineStr">
        <is>
          <t>VÄSTRA GÖTALANDS LÄN</t>
        </is>
      </c>
      <c r="G134" t="inlineStr">
        <is>
          <t>UDDEVALLA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46304</v>
      </c>
      <c r="F135" t="inlineStr">
        <is>
          <t>VÄSTRA GÖTALANDS LÄN</t>
        </is>
      </c>
      <c r="G135" t="inlineStr">
        <is>
          <t>UDDEVALLA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46304</v>
      </c>
      <c r="F136" t="inlineStr">
        <is>
          <t>VÄSTRA GÖTALANDS LÄN</t>
        </is>
      </c>
      <c r="G136" t="inlineStr">
        <is>
          <t>UDDEVALLA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46304</v>
      </c>
      <c r="F137" t="inlineStr">
        <is>
          <t>VÄSTRA GÖTALANDS LÄN</t>
        </is>
      </c>
      <c r="G137" t="inlineStr">
        <is>
          <t>UDDEVALLA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44715</v>
      </c>
      <c r="E138" s="1" t="n">
        <v>46304</v>
      </c>
      <c r="F138" t="inlineStr">
        <is>
          <t>VÄSTRA GÖTALANDS LÄN</t>
        </is>
      </c>
      <c r="G138" t="inlineStr">
        <is>
          <t>UDDEVALLA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46304</v>
      </c>
      <c r="F139" t="inlineStr">
        <is>
          <t>VÄSTRA GÖTALANDS LÄN</t>
        </is>
      </c>
      <c r="G139" t="inlineStr">
        <is>
          <t>UDDEVALLA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46304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46304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46304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46304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46304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46304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46304</v>
      </c>
      <c r="F146" t="inlineStr">
        <is>
          <t>VÄSTRA GÖTALANDS LÄN</t>
        </is>
      </c>
      <c r="G146" t="inlineStr">
        <is>
          <t>UDDEVALLA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60241-2024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45642</v>
      </c>
      <c r="E147" s="1" t="n">
        <v>46304</v>
      </c>
      <c r="F147" t="inlineStr">
        <is>
          <t>VÄSTRA GÖTALANDS LÄN</t>
        </is>
      </c>
      <c r="G147" t="inlineStr">
        <is>
          <t>UDDEVALLA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46304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46304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46304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44998</v>
      </c>
      <c r="E151" s="1" t="n">
        <v>46304</v>
      </c>
      <c r="F151" t="inlineStr">
        <is>
          <t>VÄSTRA GÖTALANDS LÄN</t>
        </is>
      </c>
      <c r="G151" t="inlineStr">
        <is>
          <t>UDDEVALLA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45902-2024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45580</v>
      </c>
      <c r="E152" s="1" t="n">
        <v>46304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46304</v>
      </c>
      <c r="F153" t="inlineStr">
        <is>
          <t>VÄSTRA GÖTALANDS LÄN</t>
        </is>
      </c>
      <c r="G153" t="inlineStr">
        <is>
          <t>UDDEVALLA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46304</v>
      </c>
      <c r="F154" t="inlineStr">
        <is>
          <t>VÄSTRA GÖTALANDS LÄN</t>
        </is>
      </c>
      <c r="G154" t="inlineStr">
        <is>
          <t>UDDEVALLA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46304</v>
      </c>
      <c r="F155" t="inlineStr">
        <is>
          <t>VÄSTRA GÖTALANDS LÄN</t>
        </is>
      </c>
      <c r="G155" t="inlineStr">
        <is>
          <t>UDDEVALLA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46304</v>
      </c>
      <c r="F156" t="inlineStr">
        <is>
          <t>VÄSTRA GÖTALANDS LÄN</t>
        </is>
      </c>
      <c r="G156" t="inlineStr">
        <is>
          <t>UDDEVALLA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16819-2026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46113</v>
      </c>
      <c r="E157" s="1" t="n">
        <v>46304</v>
      </c>
      <c r="F157" t="inlineStr">
        <is>
          <t>VÄSTRA GÖTALANDS LÄN</t>
        </is>
      </c>
      <c r="G157" t="inlineStr">
        <is>
          <t>UDDEVALLA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46304</v>
      </c>
      <c r="F158" t="inlineStr">
        <is>
          <t>VÄSTRA GÖTALANDS LÄN</t>
        </is>
      </c>
      <c r="G158" t="inlineStr">
        <is>
          <t>UDDEVALLA</t>
        </is>
      </c>
      <c r="I158" t="n">
        <v>11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46304</v>
      </c>
      <c r="F159" t="inlineStr">
        <is>
          <t>VÄSTRA GÖTALANDS LÄN</t>
        </is>
      </c>
      <c r="G159" t="inlineStr">
        <is>
          <t>UDDEVALLA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46304</v>
      </c>
      <c r="F160" t="inlineStr">
        <is>
          <t>VÄSTRA GÖTALANDS LÄN</t>
        </is>
      </c>
      <c r="G160" t="inlineStr">
        <is>
          <t>UDDEVALLA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46304</v>
      </c>
      <c r="F161" t="inlineStr">
        <is>
          <t>VÄSTRA GÖTALANDS LÄN</t>
        </is>
      </c>
      <c r="G161" t="inlineStr">
        <is>
          <t>UDDEVALLA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46304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46304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46304</v>
      </c>
      <c r="F164" t="inlineStr">
        <is>
          <t>VÄSTRA GÖTALANDS LÄN</t>
        </is>
      </c>
      <c r="G164" t="inlineStr">
        <is>
          <t>UDDEVALLA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46120</v>
      </c>
      <c r="E165" s="1" t="n">
        <v>46304</v>
      </c>
      <c r="F165" t="inlineStr">
        <is>
          <t>VÄSTRA GÖTALANDS LÄN</t>
        </is>
      </c>
      <c r="G165" t="inlineStr">
        <is>
          <t>UDDEVALLA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45575</v>
      </c>
      <c r="E166" s="1" t="n">
        <v>46304</v>
      </c>
      <c r="F166" t="inlineStr">
        <is>
          <t>VÄSTRA GÖTALANDS LÄN</t>
        </is>
      </c>
      <c r="G166" t="inlineStr">
        <is>
          <t>UDDEVALLA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46304</v>
      </c>
      <c r="F167" t="inlineStr">
        <is>
          <t>VÄSTRA GÖTALANDS LÄN</t>
        </is>
      </c>
      <c r="G167" t="inlineStr">
        <is>
          <t>UDDEVALLA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46304</v>
      </c>
      <c r="F168" t="inlineStr">
        <is>
          <t>VÄSTRA GÖTALANDS LÄN</t>
        </is>
      </c>
      <c r="G168" t="inlineStr">
        <is>
          <t>UDDEVALLA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46304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46304</v>
      </c>
      <c r="F170" t="inlineStr">
        <is>
          <t>VÄSTRA GÖTALANDS LÄN</t>
        </is>
      </c>
      <c r="G170" t="inlineStr">
        <is>
          <t>UDDEVALLA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46304</v>
      </c>
      <c r="F171" t="inlineStr">
        <is>
          <t>VÄSTRA GÖTALANDS LÄN</t>
        </is>
      </c>
      <c r="G171" t="inlineStr">
        <is>
          <t>UDDEVALLA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46304</v>
      </c>
      <c r="F172" t="inlineStr">
        <is>
          <t>VÄSTRA GÖTALANDS LÄN</t>
        </is>
      </c>
      <c r="G172" t="inlineStr">
        <is>
          <t>UDDEVALLA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46304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44683</v>
      </c>
      <c r="E174" s="1" t="n">
        <v>46304</v>
      </c>
      <c r="F174" t="inlineStr">
        <is>
          <t>VÄSTRA GÖTALANDS LÄN</t>
        </is>
      </c>
      <c r="G174" t="inlineStr">
        <is>
          <t>UDDEVALLA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46304</v>
      </c>
      <c r="F175" t="inlineStr">
        <is>
          <t>VÄSTRA GÖTALANDS LÄN</t>
        </is>
      </c>
      <c r="G175" t="inlineStr">
        <is>
          <t>UDDEVALLA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46304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46128</v>
      </c>
      <c r="E177" s="1" t="n">
        <v>46304</v>
      </c>
      <c r="F177" t="inlineStr">
        <is>
          <t>VÄSTRA GÖTALANDS LÄN</t>
        </is>
      </c>
      <c r="G177" t="inlineStr">
        <is>
          <t>UDDEVALLA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46304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46304</v>
      </c>
      <c r="F179" t="inlineStr">
        <is>
          <t>VÄSTRA GÖTALANDS LÄN</t>
        </is>
      </c>
      <c r="G179" t="inlineStr">
        <is>
          <t>UDDEVALLA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45667</v>
      </c>
      <c r="E180" s="1" t="n">
        <v>46304</v>
      </c>
      <c r="F180" t="inlineStr">
        <is>
          <t>VÄSTRA GÖTALANDS LÄN</t>
        </is>
      </c>
      <c r="G180" t="inlineStr">
        <is>
          <t>UDDEVALLA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46304</v>
      </c>
      <c r="F181" t="inlineStr">
        <is>
          <t>VÄSTRA GÖTALANDS LÄN</t>
        </is>
      </c>
      <c r="G181" t="inlineStr">
        <is>
          <t>UDDEVALLA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46304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46304</v>
      </c>
      <c r="F183" t="inlineStr">
        <is>
          <t>VÄSTRA GÖTALANDS LÄN</t>
        </is>
      </c>
      <c r="G183" t="inlineStr">
        <is>
          <t>UDDEVALLA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46304</v>
      </c>
      <c r="F184" t="inlineStr">
        <is>
          <t>VÄSTRA GÖTALANDS LÄN</t>
        </is>
      </c>
      <c r="G184" t="inlineStr">
        <is>
          <t>UDDEVALLA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45919</v>
      </c>
      <c r="E185" s="1" t="n">
        <v>46304</v>
      </c>
      <c r="F185" t="inlineStr">
        <is>
          <t>VÄSTRA GÖTALANDS LÄN</t>
        </is>
      </c>
      <c r="G185" t="inlineStr">
        <is>
          <t>UDDEVALLA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46304</v>
      </c>
      <c r="F186" t="inlineStr">
        <is>
          <t>VÄSTRA GÖTALANDS LÄN</t>
        </is>
      </c>
      <c r="G186" t="inlineStr">
        <is>
          <t>UDDEVALLA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46304</v>
      </c>
      <c r="F187" t="inlineStr">
        <is>
          <t>VÄSTRA GÖTALANDS LÄN</t>
        </is>
      </c>
      <c r="G187" t="inlineStr">
        <is>
          <t>UDDEVALLA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45907</v>
      </c>
      <c r="E188" s="1" t="n">
        <v>46304</v>
      </c>
      <c r="F188" t="inlineStr">
        <is>
          <t>VÄSTRA GÖTALANDS LÄN</t>
        </is>
      </c>
      <c r="G188" t="inlineStr">
        <is>
          <t>UDDEVALLA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46304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46304</v>
      </c>
      <c r="F190" t="inlineStr">
        <is>
          <t>VÄSTRA GÖTALANDS LÄN</t>
        </is>
      </c>
      <c r="G190" t="inlineStr">
        <is>
          <t>UDDEVALLA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45279</v>
      </c>
      <c r="E191" s="1" t="n">
        <v>46304</v>
      </c>
      <c r="F191" t="inlineStr">
        <is>
          <t>VÄSTRA GÖTALANDS LÄN</t>
        </is>
      </c>
      <c r="G191" t="inlineStr">
        <is>
          <t>UDDEVALLA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62365-2025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46304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46304</v>
      </c>
      <c r="F193" t="inlineStr">
        <is>
          <t>VÄSTRA GÖTALANDS LÄN</t>
        </is>
      </c>
      <c r="G193" t="inlineStr">
        <is>
          <t>UDDEVALLA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45656</v>
      </c>
      <c r="E194" s="1" t="n">
        <v>46304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44973</v>
      </c>
      <c r="E195" s="1" t="n">
        <v>46304</v>
      </c>
      <c r="F195" t="inlineStr">
        <is>
          <t>VÄSTRA GÖTALANDS LÄN</t>
        </is>
      </c>
      <c r="G195" t="inlineStr">
        <is>
          <t>UDDEVALLA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46304</v>
      </c>
      <c r="F196" t="inlineStr">
        <is>
          <t>VÄSTRA GÖTALANDS LÄN</t>
        </is>
      </c>
      <c r="G196" t="inlineStr">
        <is>
          <t>UDDEVALLA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46304</v>
      </c>
      <c r="F197" t="inlineStr">
        <is>
          <t>VÄSTRA GÖTALANDS LÄN</t>
        </is>
      </c>
      <c r="G197" t="inlineStr">
        <is>
          <t>UDDEVALLA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45314</v>
      </c>
      <c r="E198" s="1" t="n">
        <v>46304</v>
      </c>
      <c r="F198" t="inlineStr">
        <is>
          <t>VÄSTRA GÖTALANDS LÄN</t>
        </is>
      </c>
      <c r="G198" t="inlineStr">
        <is>
          <t>UDDEVALLA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46304</v>
      </c>
      <c r="F199" t="inlineStr">
        <is>
          <t>VÄSTRA GÖTALANDS LÄN</t>
        </is>
      </c>
      <c r="G199" t="inlineStr">
        <is>
          <t>UDDEVALLA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45374</v>
      </c>
      <c r="E200" s="1" t="n">
        <v>46304</v>
      </c>
      <c r="F200" t="inlineStr">
        <is>
          <t>VÄSTRA GÖTALANDS LÄN</t>
        </is>
      </c>
      <c r="G200" t="inlineStr">
        <is>
          <t>UDDEVALLA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46304</v>
      </c>
      <c r="F201" t="inlineStr">
        <is>
          <t>VÄSTRA GÖTALANDS LÄN</t>
        </is>
      </c>
      <c r="G201" t="inlineStr">
        <is>
          <t>UDDEVALLA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1147-2024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45302</v>
      </c>
      <c r="E202" s="1" t="n">
        <v>46304</v>
      </c>
      <c r="F202" t="inlineStr">
        <is>
          <t>VÄSTRA GÖTALANDS LÄN</t>
        </is>
      </c>
      <c r="G202" t="inlineStr">
        <is>
          <t>UDDEVALLA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46026</v>
      </c>
      <c r="E203" s="1" t="n">
        <v>46304</v>
      </c>
      <c r="F203" t="inlineStr">
        <is>
          <t>VÄSTRA GÖTALANDS LÄN</t>
        </is>
      </c>
      <c r="G203" t="inlineStr">
        <is>
          <t>UDDEVALLA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45456</v>
      </c>
      <c r="E204" s="1" t="n">
        <v>46304</v>
      </c>
      <c r="F204" t="inlineStr">
        <is>
          <t>VÄSTRA GÖTALANDS LÄN</t>
        </is>
      </c>
      <c r="G204" t="inlineStr">
        <is>
          <t>UDDEVALLA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46027</v>
      </c>
      <c r="E205" s="1" t="n">
        <v>46304</v>
      </c>
      <c r="F205" t="inlineStr">
        <is>
          <t>VÄSTRA GÖTALANDS LÄN</t>
        </is>
      </c>
      <c r="G205" t="inlineStr">
        <is>
          <t>UDDEVALLA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46304</v>
      </c>
      <c r="F206" t="inlineStr">
        <is>
          <t>VÄSTRA GÖTALANDS LÄN</t>
        </is>
      </c>
      <c r="G206" t="inlineStr">
        <is>
          <t>UDDEVALLA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46304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45583</v>
      </c>
      <c r="E208" s="1" t="n">
        <v>46304</v>
      </c>
      <c r="F208" t="inlineStr">
        <is>
          <t>VÄSTRA GÖTALANDS LÄN</t>
        </is>
      </c>
      <c r="G208" t="inlineStr">
        <is>
          <t>UDDEVALLA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45239</v>
      </c>
      <c r="E209" s="1" t="n">
        <v>46304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46304</v>
      </c>
      <c r="F210" t="inlineStr">
        <is>
          <t>VÄSTRA GÖTALANDS LÄN</t>
        </is>
      </c>
      <c r="G210" t="inlineStr">
        <is>
          <t>UDDEVALLA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46304</v>
      </c>
      <c r="F211" t="inlineStr">
        <is>
          <t>VÄSTRA GÖTALANDS LÄN</t>
        </is>
      </c>
      <c r="G211" t="inlineStr">
        <is>
          <t>UDDEVALLA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46304</v>
      </c>
      <c r="F212" t="inlineStr">
        <is>
          <t>VÄSTRA GÖTALANDS LÄN</t>
        </is>
      </c>
      <c r="G212" t="inlineStr">
        <is>
          <t>UDDEVALLA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46304</v>
      </c>
      <c r="F213" t="inlineStr">
        <is>
          <t>VÄSTRA GÖTALANDS LÄN</t>
        </is>
      </c>
      <c r="G213" t="inlineStr">
        <is>
          <t>UDDEVALLA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73437-2021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46304</v>
      </c>
      <c r="F214" t="inlineStr">
        <is>
          <t>VÄSTRA GÖTALANDS LÄN</t>
        </is>
      </c>
      <c r="G214" t="inlineStr">
        <is>
          <t>UDDEVALLA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46304</v>
      </c>
      <c r="F215" t="inlineStr">
        <is>
          <t>VÄSTRA GÖTALANDS LÄN</t>
        </is>
      </c>
      <c r="G215" t="inlineStr">
        <is>
          <t>UDDEVALLA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46304</v>
      </c>
      <c r="F216" t="inlineStr">
        <is>
          <t>VÄSTRA GÖTALANDS LÄN</t>
        </is>
      </c>
      <c r="G216" t="inlineStr">
        <is>
          <t>UDDEVALLA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20401-2026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46139</v>
      </c>
      <c r="E217" s="1" t="n">
        <v>46304</v>
      </c>
      <c r="F217" t="inlineStr">
        <is>
          <t>VÄSTRA GÖTALANDS LÄN</t>
        </is>
      </c>
      <c r="G217" t="inlineStr">
        <is>
          <t>UDDEVALLA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45141</v>
      </c>
      <c r="E218" s="1" t="n">
        <v>46304</v>
      </c>
      <c r="F218" t="inlineStr">
        <is>
          <t>VÄSTRA GÖTALANDS LÄN</t>
        </is>
      </c>
      <c r="G218" t="inlineStr">
        <is>
          <t>UDDEVALLA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46304</v>
      </c>
      <c r="F219" t="inlineStr">
        <is>
          <t>VÄSTRA GÖTALANDS LÄN</t>
        </is>
      </c>
      <c r="G219" t="inlineStr">
        <is>
          <t>UDDEVALLA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46304</v>
      </c>
      <c r="F220" t="inlineStr">
        <is>
          <t>VÄSTRA GÖTALANDS LÄN</t>
        </is>
      </c>
      <c r="G220" t="inlineStr">
        <is>
          <t>UDDEVALLA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46062</v>
      </c>
      <c r="E221" s="1" t="n">
        <v>46304</v>
      </c>
      <c r="F221" t="inlineStr">
        <is>
          <t>VÄSTRA GÖTALANDS LÄN</t>
        </is>
      </c>
      <c r="G221" t="inlineStr">
        <is>
          <t>UDDEVALLA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46304</v>
      </c>
      <c r="F222" t="inlineStr">
        <is>
          <t>VÄSTRA GÖTALANDS LÄN</t>
        </is>
      </c>
      <c r="G222" t="inlineStr">
        <is>
          <t>UDDEVALLA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8893-2024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45355</v>
      </c>
      <c r="E223" s="1" t="n">
        <v>46304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46304</v>
      </c>
      <c r="F224" t="inlineStr">
        <is>
          <t>VÄSTRA GÖTALANDS LÄN</t>
        </is>
      </c>
      <c r="G224" t="inlineStr">
        <is>
          <t>UDDEVALLA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46304</v>
      </c>
      <c r="F225" t="inlineStr">
        <is>
          <t>VÄSTRA GÖTALANDS LÄN</t>
        </is>
      </c>
      <c r="G225" t="inlineStr">
        <is>
          <t>UDDEVALLA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10436-2026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46076</v>
      </c>
      <c r="E226" s="1" t="n">
        <v>46304</v>
      </c>
      <c r="F226" t="inlineStr">
        <is>
          <t>VÄSTRA GÖTALANDS LÄN</t>
        </is>
      </c>
      <c r="G226" t="inlineStr">
        <is>
          <t>UDDEVALLA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44578</v>
      </c>
      <c r="E227" s="1" t="n">
        <v>46304</v>
      </c>
      <c r="F227" t="inlineStr">
        <is>
          <t>VÄSTRA GÖTALANDS LÄN</t>
        </is>
      </c>
      <c r="G227" t="inlineStr">
        <is>
          <t>UDDEVALLA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46083</v>
      </c>
      <c r="E228" s="1" t="n">
        <v>46304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Kyrkan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73007-2021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46304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46304</v>
      </c>
      <c r="F230" t="inlineStr">
        <is>
          <t>VÄSTRA GÖTALANDS LÄN</t>
        </is>
      </c>
      <c r="G230" t="inlineStr">
        <is>
          <t>UDDEVALLA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46147</v>
      </c>
      <c r="E231" s="1" t="n">
        <v>46304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46304</v>
      </c>
      <c r="F232" t="inlineStr">
        <is>
          <t>VÄSTRA GÖTALANDS LÄN</t>
        </is>
      </c>
      <c r="G232" t="inlineStr">
        <is>
          <t>UDDEVALLA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46304</v>
      </c>
      <c r="F233" t="inlineStr">
        <is>
          <t>VÄSTRA GÖTALANDS LÄN</t>
        </is>
      </c>
      <c r="G233" t="inlineStr">
        <is>
          <t>UDDEVALLA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46304</v>
      </c>
      <c r="F234" t="inlineStr">
        <is>
          <t>VÄSTRA GÖTALANDS LÄN</t>
        </is>
      </c>
      <c r="G234" t="inlineStr">
        <is>
          <t>UDDEVALLA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46304</v>
      </c>
      <c r="F235" t="inlineStr">
        <is>
          <t>VÄSTRA GÖTALANDS LÄN</t>
        </is>
      </c>
      <c r="G235" t="inlineStr">
        <is>
          <t>UDDEVALLA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46304</v>
      </c>
      <c r="F236" t="inlineStr">
        <is>
          <t>VÄSTRA GÖTALANDS LÄN</t>
        </is>
      </c>
      <c r="G236" t="inlineStr">
        <is>
          <t>UDDEVALLA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46304</v>
      </c>
      <c r="F237" t="inlineStr">
        <is>
          <t>VÄSTRA GÖTALANDS LÄN</t>
        </is>
      </c>
      <c r="G237" t="inlineStr">
        <is>
          <t>UDDEVALLA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46304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Övriga statliga verk och myndigheter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46304</v>
      </c>
      <c r="F239" t="inlineStr">
        <is>
          <t>VÄSTRA GÖTALANDS LÄN</t>
        </is>
      </c>
      <c r="G239" t="inlineStr">
        <is>
          <t>UDDEVALLA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46304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45071</v>
      </c>
      <c r="E241" s="1" t="n">
        <v>46304</v>
      </c>
      <c r="F241" t="inlineStr">
        <is>
          <t>VÄSTRA GÖTALANDS LÄN</t>
        </is>
      </c>
      <c r="G241" t="inlineStr">
        <is>
          <t>UDDEVALLA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45517</v>
      </c>
      <c r="E242" s="1" t="n">
        <v>46304</v>
      </c>
      <c r="F242" t="inlineStr">
        <is>
          <t>VÄSTRA GÖTALANDS LÄN</t>
        </is>
      </c>
      <c r="G242" t="inlineStr">
        <is>
          <t>UDDEVALLA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44733</v>
      </c>
      <c r="E243" s="1" t="n">
        <v>46304</v>
      </c>
      <c r="F243" t="inlineStr">
        <is>
          <t>VÄSTRA GÖTALANDS LÄN</t>
        </is>
      </c>
      <c r="G243" t="inlineStr">
        <is>
          <t>UDDEVALLA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46304</v>
      </c>
      <c r="F244" t="inlineStr">
        <is>
          <t>VÄSTRA GÖTALANDS LÄN</t>
        </is>
      </c>
      <c r="G244" t="inlineStr">
        <is>
          <t>UDDEVALLA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46304</v>
      </c>
      <c r="F245" t="inlineStr">
        <is>
          <t>VÄSTRA GÖTALANDS LÄN</t>
        </is>
      </c>
      <c r="G245" t="inlineStr">
        <is>
          <t>UDDEVALLA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46304</v>
      </c>
      <c r="F246" t="inlineStr">
        <is>
          <t>VÄSTRA GÖTALANDS LÄN</t>
        </is>
      </c>
      <c r="G246" t="inlineStr">
        <is>
          <t>UDDEVALLA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46304</v>
      </c>
      <c r="F247" t="inlineStr">
        <is>
          <t>VÄSTRA GÖTALANDS LÄN</t>
        </is>
      </c>
      <c r="G247" t="inlineStr">
        <is>
          <t>UDDEVALLA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46304</v>
      </c>
      <c r="F248" t="inlineStr">
        <is>
          <t>VÄSTRA GÖTALANDS LÄN</t>
        </is>
      </c>
      <c r="G248" t="inlineStr">
        <is>
          <t>UDDEVALLA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46304</v>
      </c>
      <c r="F249" t="inlineStr">
        <is>
          <t>VÄSTRA GÖTALANDS LÄN</t>
        </is>
      </c>
      <c r="G249" t="inlineStr">
        <is>
          <t>UDDEVALLA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63878-2021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44509</v>
      </c>
      <c r="E250" s="1" t="n">
        <v>46304</v>
      </c>
      <c r="F250" t="inlineStr">
        <is>
          <t>VÄSTRA GÖTALANDS LÄN</t>
        </is>
      </c>
      <c r="G250" t="inlineStr">
        <is>
          <t>UDDEVALLA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46304</v>
      </c>
      <c r="F251" t="inlineStr">
        <is>
          <t>VÄSTRA GÖTALANDS LÄN</t>
        </is>
      </c>
      <c r="G251" t="inlineStr">
        <is>
          <t>UDDEVALLA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44602</v>
      </c>
      <c r="E252" s="1" t="n">
        <v>46304</v>
      </c>
      <c r="F252" t="inlineStr">
        <is>
          <t>VÄSTRA GÖTALANDS LÄN</t>
        </is>
      </c>
      <c r="G252" t="inlineStr">
        <is>
          <t>UDDEVALLA</t>
        </is>
      </c>
      <c r="I252" t="n">
        <v>9.6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45035</v>
      </c>
      <c r="E253" s="1" t="n">
        <v>46304</v>
      </c>
      <c r="F253" t="inlineStr">
        <is>
          <t>VÄSTRA GÖTALANDS LÄN</t>
        </is>
      </c>
      <c r="G253" t="inlineStr">
        <is>
          <t>UDDEVALLA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17242-2023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46304</v>
      </c>
      <c r="F254" t="inlineStr">
        <is>
          <t>VÄSTRA GÖTALANDS LÄN</t>
        </is>
      </c>
      <c r="G254" t="inlineStr">
        <is>
          <t>UDDEVALLA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46304</v>
      </c>
      <c r="F255" t="inlineStr">
        <is>
          <t>VÄSTRA GÖTALANDS LÄN</t>
        </is>
      </c>
      <c r="G255" t="inlineStr">
        <is>
          <t>UDDEVALLA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46304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46304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17058-2025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45754</v>
      </c>
      <c r="E258" s="1" t="n">
        <v>46304</v>
      </c>
      <c r="F258" t="inlineStr">
        <is>
          <t>VÄSTRA GÖTALANDS LÄN</t>
        </is>
      </c>
      <c r="G258" t="inlineStr">
        <is>
          <t>UDDEVALLA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58625-2024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45635</v>
      </c>
      <c r="E259" s="1" t="n">
        <v>46304</v>
      </c>
      <c r="F259" t="inlineStr">
        <is>
          <t>VÄSTRA GÖTALANDS LÄN</t>
        </is>
      </c>
      <c r="G259" t="inlineStr">
        <is>
          <t>UDDEVALLA</t>
        </is>
      </c>
      <c r="I259" t="n">
        <v>14.9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46304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46304</v>
      </c>
      <c r="F261" t="inlineStr">
        <is>
          <t>VÄSTRA GÖTALANDS LÄN</t>
        </is>
      </c>
      <c r="G261" t="inlineStr">
        <is>
          <t>UDDEVALLA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46304</v>
      </c>
      <c r="F262" t="inlineStr">
        <is>
          <t>VÄSTRA GÖTALANDS LÄN</t>
        </is>
      </c>
      <c r="G262" t="inlineStr">
        <is>
          <t>UDDEVALLA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46304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46206</v>
      </c>
      <c r="E264" s="1" t="n">
        <v>46304</v>
      </c>
      <c r="F264" t="inlineStr">
        <is>
          <t>VÄSTRA GÖTALANDS LÄN</t>
        </is>
      </c>
      <c r="G264" t="inlineStr">
        <is>
          <t>UDDEVALLA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44655</v>
      </c>
      <c r="E265" s="1" t="n">
        <v>46304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46304</v>
      </c>
      <c r="F266" t="inlineStr">
        <is>
          <t>VÄSTRA GÖTALANDS LÄN</t>
        </is>
      </c>
      <c r="G266" t="inlineStr">
        <is>
          <t>UDDEVALLA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19982-2025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45771</v>
      </c>
      <c r="E267" s="1" t="n">
        <v>46304</v>
      </c>
      <c r="F267" t="inlineStr">
        <is>
          <t>VÄSTRA GÖTALANDS LÄN</t>
        </is>
      </c>
      <c r="G267" t="inlineStr">
        <is>
          <t>UDDEVALLA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45076</v>
      </c>
      <c r="E268" s="1" t="n">
        <v>46304</v>
      </c>
      <c r="F268" t="inlineStr">
        <is>
          <t>VÄSTRA GÖTALANDS LÄN</t>
        </is>
      </c>
      <c r="G268" t="inlineStr">
        <is>
          <t>UDDEVALLA</t>
        </is>
      </c>
      <c r="I268" t="n">
        <v>12.2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9797-2023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44984</v>
      </c>
      <c r="E269" s="1" t="n">
        <v>46304</v>
      </c>
      <c r="F269" t="inlineStr">
        <is>
          <t>VÄSTRA GÖTALANDS LÄN</t>
        </is>
      </c>
      <c r="G269" t="inlineStr">
        <is>
          <t>UDDEVALLA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45034</v>
      </c>
      <c r="E270" s="1" t="n">
        <v>46304</v>
      </c>
      <c r="F270" t="inlineStr">
        <is>
          <t>VÄSTRA GÖTALANDS LÄN</t>
        </is>
      </c>
      <c r="G270" t="inlineStr">
        <is>
          <t>UDDEVALLA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46210</v>
      </c>
      <c r="E271" s="1" t="n">
        <v>46304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Kommuner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46210</v>
      </c>
      <c r="E272" s="1" t="n">
        <v>46304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46212</v>
      </c>
      <c r="E273" s="1" t="n">
        <v>46304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46304</v>
      </c>
      <c r="F274" t="inlineStr">
        <is>
          <t>VÄSTRA GÖTALANDS LÄN</t>
        </is>
      </c>
      <c r="G274" t="inlineStr">
        <is>
          <t>UDDEVALLA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46304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69198-2021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44531</v>
      </c>
      <c r="E276" s="1" t="n">
        <v>46304</v>
      </c>
      <c r="F276" t="inlineStr">
        <is>
          <t>VÄSTRA GÖTALANDS LÄN</t>
        </is>
      </c>
      <c r="G276" t="inlineStr">
        <is>
          <t>UDDEVALLA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45554</v>
      </c>
      <c r="E277" s="1" t="n">
        <v>46304</v>
      </c>
      <c r="F277" t="inlineStr">
        <is>
          <t>VÄSTRA GÖTALANDS LÄN</t>
        </is>
      </c>
      <c r="G277" t="inlineStr">
        <is>
          <t>UDDEVALLA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45028</v>
      </c>
      <c r="E278" s="1" t="n">
        <v>46304</v>
      </c>
      <c r="F278" t="inlineStr">
        <is>
          <t>VÄSTRA GÖTALANDS LÄN</t>
        </is>
      </c>
      <c r="G278" t="inlineStr">
        <is>
          <t>UDDEVALLA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59674-2023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45255</v>
      </c>
      <c r="E279" s="1" t="n">
        <v>46304</v>
      </c>
      <c r="F279" t="inlineStr">
        <is>
          <t>VÄSTRA GÖTALANDS LÄN</t>
        </is>
      </c>
      <c r="G279" t="inlineStr">
        <is>
          <t>UDDEVALLA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45121</v>
      </c>
      <c r="E280" s="1" t="n">
        <v>46304</v>
      </c>
      <c r="F280" t="inlineStr">
        <is>
          <t>VÄSTRA GÖTALANDS LÄN</t>
        </is>
      </c>
      <c r="G280" t="inlineStr">
        <is>
          <t>UDDEVALLA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46304</v>
      </c>
      <c r="F281" t="inlineStr">
        <is>
          <t>VÄSTRA GÖTALANDS LÄN</t>
        </is>
      </c>
      <c r="G281" t="inlineStr">
        <is>
          <t>UDDEVALLA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31481-2026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46222</v>
      </c>
      <c r="E282" s="1" t="n">
        <v>46304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45205</v>
      </c>
      <c r="E283" s="1" t="n">
        <v>46304</v>
      </c>
      <c r="F283" t="inlineStr">
        <is>
          <t>VÄSTRA GÖTALANDS LÄN</t>
        </is>
      </c>
      <c r="G283" t="inlineStr">
        <is>
          <t>UDDEVALLA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36105-2026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46267</v>
      </c>
      <c r="E284" s="1" t="n">
        <v>46304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46304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46304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45426</v>
      </c>
      <c r="E287" s="1" t="n">
        <v>46304</v>
      </c>
      <c r="F287" t="inlineStr">
        <is>
          <t>VÄSTRA GÖTALANDS LÄN</t>
        </is>
      </c>
      <c r="G287" t="inlineStr">
        <is>
          <t>UDDEVALLA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46266</v>
      </c>
      <c r="E288" s="1" t="n">
        <v>46304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46267</v>
      </c>
      <c r="E289" s="1" t="n">
        <v>46304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45484</v>
      </c>
      <c r="E290" s="1" t="n">
        <v>46304</v>
      </c>
      <c r="F290" t="inlineStr">
        <is>
          <t>VÄSTRA GÖTALANDS LÄN</t>
        </is>
      </c>
      <c r="G290" t="inlineStr">
        <is>
          <t>UDDEVALLA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44973</v>
      </c>
      <c r="E291" s="1" t="n">
        <v>46304</v>
      </c>
      <c r="F291" t="inlineStr">
        <is>
          <t>VÄSTRA GÖTALANDS LÄN</t>
        </is>
      </c>
      <c r="G291" t="inlineStr">
        <is>
          <t>UDDEVALLA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44967</v>
      </c>
      <c r="E292" s="1" t="n">
        <v>46304</v>
      </c>
      <c r="F292" t="inlineStr">
        <is>
          <t>VÄSTRA GÖTALANDS LÄN</t>
        </is>
      </c>
      <c r="G292" t="inlineStr">
        <is>
          <t>UDDEVALLA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45847</v>
      </c>
      <c r="E293" s="1" t="n">
        <v>46304</v>
      </c>
      <c r="F293" t="inlineStr">
        <is>
          <t>VÄSTRA GÖTALANDS LÄN</t>
        </is>
      </c>
      <c r="G293" t="inlineStr">
        <is>
          <t>UDDEVALLA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44794</v>
      </c>
      <c r="E294" s="1" t="n">
        <v>46304</v>
      </c>
      <c r="F294" t="inlineStr">
        <is>
          <t>VÄSTRA GÖTALANDS LÄN</t>
        </is>
      </c>
      <c r="G294" t="inlineStr">
        <is>
          <t>UDDEVALLA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46304</v>
      </c>
      <c r="F295" t="inlineStr">
        <is>
          <t>VÄSTRA GÖTALANDS LÄN</t>
        </is>
      </c>
      <c r="G295" t="inlineStr">
        <is>
          <t>UDDEVALLA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46304</v>
      </c>
      <c r="F296" t="inlineStr">
        <is>
          <t>VÄSTRA GÖTALANDS LÄN</t>
        </is>
      </c>
      <c r="G296" t="inlineStr">
        <is>
          <t>UDDEVALLA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44582</v>
      </c>
      <c r="E297" s="1" t="n">
        <v>46304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46304</v>
      </c>
      <c r="F298" t="inlineStr">
        <is>
          <t>VÄSTRA GÖTALANDS LÄN</t>
        </is>
      </c>
      <c r="G298" t="inlineStr">
        <is>
          <t>UDDEVALLA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45387</v>
      </c>
      <c r="E299" s="1" t="n">
        <v>46304</v>
      </c>
      <c r="F299" t="inlineStr">
        <is>
          <t>VÄSTRA GÖTALANDS LÄN</t>
        </is>
      </c>
      <c r="G299" t="inlineStr">
        <is>
          <t>UDDEVALLA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46304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19847-2025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45771</v>
      </c>
      <c r="E301" s="1" t="n">
        <v>46304</v>
      </c>
      <c r="F301" t="inlineStr">
        <is>
          <t>VÄSTRA GÖTALANDS LÄN</t>
        </is>
      </c>
      <c r="G301" t="inlineStr">
        <is>
          <t>UDDEVALLA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45553</v>
      </c>
      <c r="E302" s="1" t="n">
        <v>46304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46304</v>
      </c>
      <c r="F303" t="inlineStr">
        <is>
          <t>VÄSTRA GÖTALANDS LÄN</t>
        </is>
      </c>
      <c r="G303" t="inlineStr">
        <is>
          <t>UDDEVALLA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44823</v>
      </c>
      <c r="E304" s="1" t="n">
        <v>46304</v>
      </c>
      <c r="F304" t="inlineStr">
        <is>
          <t>VÄSTRA GÖTALANDS LÄN</t>
        </is>
      </c>
      <c r="G304" t="inlineStr">
        <is>
          <t>UDDEVALLA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60819-2024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46304</v>
      </c>
      <c r="F305" t="inlineStr">
        <is>
          <t>VÄSTRA GÖTALANDS LÄN</t>
        </is>
      </c>
      <c r="G305" t="inlineStr">
        <is>
          <t>UDDEVALLA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46304</v>
      </c>
      <c r="F306" t="inlineStr">
        <is>
          <t>VÄSTRA GÖTALANDS LÄN</t>
        </is>
      </c>
      <c r="G306" t="inlineStr">
        <is>
          <t>UDDEVALLA</t>
        </is>
      </c>
      <c r="I306" t="n">
        <v>12.9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46304</v>
      </c>
      <c r="F307" t="inlineStr">
        <is>
          <t>VÄSTRA GÖTALANDS LÄN</t>
        </is>
      </c>
      <c r="G307" t="inlineStr">
        <is>
          <t>UDDEVALLA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46304</v>
      </c>
      <c r="F308" t="inlineStr">
        <is>
          <t>VÄSTRA GÖTALANDS LÄN</t>
        </is>
      </c>
      <c r="G308" t="inlineStr">
        <is>
          <t>UDDEVALLA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46304</v>
      </c>
      <c r="F309" t="inlineStr">
        <is>
          <t>VÄSTRA GÖTALANDS LÄN</t>
        </is>
      </c>
      <c r="G309" t="inlineStr">
        <is>
          <t>UDDEVALLA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46304</v>
      </c>
      <c r="F310" t="inlineStr">
        <is>
          <t>VÄSTRA GÖTALANDS LÄN</t>
        </is>
      </c>
      <c r="G310" t="inlineStr">
        <is>
          <t>UDDEVALLA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46304</v>
      </c>
      <c r="F311" t="inlineStr">
        <is>
          <t>VÄSTRA GÖTALANDS LÄN</t>
        </is>
      </c>
      <c r="G311" t="inlineStr">
        <is>
          <t>UDDEVALLA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46304</v>
      </c>
      <c r="F312" t="inlineStr">
        <is>
          <t>VÄSTRA GÖTALANDS LÄN</t>
        </is>
      </c>
      <c r="G312" t="inlineStr">
        <is>
          <t>UDDEVALLA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46304</v>
      </c>
      <c r="F313" t="inlineStr">
        <is>
          <t>VÄSTRA GÖTALANDS LÄN</t>
        </is>
      </c>
      <c r="G313" t="inlineStr">
        <is>
          <t>UDDEVALLA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46304</v>
      </c>
      <c r="F314" t="inlineStr">
        <is>
          <t>VÄSTRA GÖTALANDS LÄN</t>
        </is>
      </c>
      <c r="G314" t="inlineStr">
        <is>
          <t>UDDEVALLA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44624</v>
      </c>
      <c r="E315" s="1" t="n">
        <v>46304</v>
      </c>
      <c r="F315" t="inlineStr">
        <is>
          <t>VÄSTRA GÖTALANDS LÄN</t>
        </is>
      </c>
      <c r="G315" t="inlineStr">
        <is>
          <t>UDDEVALLA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10900-2025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46304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46304</v>
      </c>
      <c r="F317" t="inlineStr">
        <is>
          <t>VÄSTRA GÖTALANDS LÄN</t>
        </is>
      </c>
      <c r="G317" t="inlineStr">
        <is>
          <t>UDDEVALLA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45455</v>
      </c>
      <c r="E318" s="1" t="n">
        <v>46304</v>
      </c>
      <c r="F318" t="inlineStr">
        <is>
          <t>VÄSTRA GÖTALANDS LÄN</t>
        </is>
      </c>
      <c r="G318" t="inlineStr">
        <is>
          <t>UDDEVALLA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46304</v>
      </c>
      <c r="F319" t="inlineStr">
        <is>
          <t>VÄSTRA GÖTALANDS LÄN</t>
        </is>
      </c>
      <c r="G319" t="inlineStr">
        <is>
          <t>UDDEVALLA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45723</v>
      </c>
      <c r="E320" s="1" t="n">
        <v>46304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46304</v>
      </c>
      <c r="F321" t="inlineStr">
        <is>
          <t>VÄSTRA GÖTALANDS LÄN</t>
        </is>
      </c>
      <c r="G321" t="inlineStr">
        <is>
          <t>UDDEVALLA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46304</v>
      </c>
      <c r="F322" t="inlineStr">
        <is>
          <t>VÄSTRA GÖTALANDS LÄN</t>
        </is>
      </c>
      <c r="G322" t="inlineStr">
        <is>
          <t>UDDEVALLA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46304</v>
      </c>
      <c r="F323" t="inlineStr">
        <is>
          <t>VÄSTRA GÖTALANDS LÄN</t>
        </is>
      </c>
      <c r="G323" t="inlineStr">
        <is>
          <t>UDDEVALLA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46304</v>
      </c>
      <c r="F324" t="inlineStr">
        <is>
          <t>VÄSTRA GÖTALANDS LÄN</t>
        </is>
      </c>
      <c r="G324" t="inlineStr">
        <is>
          <t>UDDEVALLA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46304</v>
      </c>
      <c r="F325" t="inlineStr">
        <is>
          <t>VÄSTRA GÖTALANDS LÄN</t>
        </is>
      </c>
      <c r="G325" t="inlineStr">
        <is>
          <t>UDDEVALLA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46304</v>
      </c>
      <c r="F326" t="inlineStr">
        <is>
          <t>VÄSTRA GÖTALANDS LÄN</t>
        </is>
      </c>
      <c r="G326" t="inlineStr">
        <is>
          <t>UDDEVALLA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46148</v>
      </c>
      <c r="E327" s="1" t="n">
        <v>46304</v>
      </c>
      <c r="F327" t="inlineStr">
        <is>
          <t>VÄSTRA GÖTALANDS LÄN</t>
        </is>
      </c>
      <c r="G327" t="inlineStr">
        <is>
          <t>UDDEVALLA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25061-2026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46304</v>
      </c>
      <c r="F328" t="inlineStr">
        <is>
          <t>VÄSTRA GÖTALANDS LÄN</t>
        </is>
      </c>
      <c r="G328" t="inlineStr">
        <is>
          <t>UDDEVALLA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46211</v>
      </c>
      <c r="E329" s="1" t="n">
        <v>46304</v>
      </c>
      <c r="F329" t="inlineStr">
        <is>
          <t>VÄSTRA GÖTALANDS LÄN</t>
        </is>
      </c>
      <c r="G329" t="inlineStr">
        <is>
          <t>UDDEVALLA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46303</v>
      </c>
      <c r="E330" s="1" t="n">
        <v>46304</v>
      </c>
      <c r="F330" t="inlineStr">
        <is>
          <t>VÄSTRA GÖTALANDS LÄN</t>
        </is>
      </c>
      <c r="G330" t="inlineStr">
        <is>
          <t>UDDEVALLA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46302</v>
      </c>
      <c r="E331" s="1" t="n">
        <v>46304</v>
      </c>
      <c r="F331" t="inlineStr">
        <is>
          <t>VÄSTRA GÖTALANDS LÄN</t>
        </is>
      </c>
      <c r="G331" t="inlineStr">
        <is>
          <t>UDDEVALLA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46304</v>
      </c>
      <c r="F332" t="inlineStr">
        <is>
          <t>VÄSTRA GÖTALANDS LÄN</t>
        </is>
      </c>
      <c r="G332" t="inlineStr">
        <is>
          <t>UDDEVALLA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46304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46304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46304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2026-10-09T02:08:39Z</dcterms:created>
  <dcterms:modified xmlns:dcterms="http://purl.org/dc/terms/" xmlns:xsi="http://www.w3.org/2001/XMLSchema-instance" xsi:type="dcterms:W3CDTF">2026-10-09T02:08:39Z</dcterms:modified>
</cp:coreProperties>
</file>