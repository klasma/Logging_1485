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46284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46284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46284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46284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46284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46284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46284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46284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46284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46284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46284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46284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46284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46284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46284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46284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46284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46284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46284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46284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16882-2026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46113</v>
      </c>
      <c r="E27" s="1" t="n">
        <v>46284</v>
      </c>
      <c r="F27" t="inlineStr">
        <is>
          <t>VÄSTRA GÖTALANDS LÄN</t>
        </is>
      </c>
      <c r="G27" t="inlineStr">
        <is>
          <t>UDDEVALLA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Iller
Svinrot</t>
        </is>
      </c>
      <c r="W27">
        <f>HYPERLINK("https://klasma.github.io/Logging_1485/artfynd/A 16882-2026 artfynd.xlsx", "A 16882-2026")</f>
        <v/>
      </c>
      <c r="X27">
        <f>HYPERLINK("https://klasma.github.io/Logging_1485/kartor/A 16882-2026 karta.png", "A 16882-2026")</f>
        <v/>
      </c>
      <c r="Y27">
        <f>HYPERLINK("https://klasma.github.io/Logging_1485/kartor_geotiff/A 16882-2026 georefererad karta.tif", "A 16882-2026")</f>
        <v/>
      </c>
      <c r="AA27">
        <f>HYPERLINK("https://klasma.github.io/Logging_1485/klagomål/A 16882-2026 FSC-klagomål.docx", "A 16882-2026")</f>
        <v/>
      </c>
      <c r="AB27">
        <f>HYPERLINK("https://klasma.github.io/Logging_1485/klagomålsmail/A 16882-2026 FSC-klagomål mail.docx", "A 16882-2026")</f>
        <v/>
      </c>
      <c r="AC27">
        <f>HYPERLINK("https://klasma.github.io/Logging_1485/tillsyn/A 16882-2026 tillsynsbegäran.docx", "A 16882-2026")</f>
        <v/>
      </c>
      <c r="AD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46284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46284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46284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36880-2026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46284</v>
      </c>
      <c r="F31" t="inlineStr">
        <is>
          <t>VÄSTRA GÖTALANDS LÄN</t>
        </is>
      </c>
      <c r="G31" t="inlineStr">
        <is>
          <t>UDDEVALLA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Luddfingersvamp
Brandticka</t>
        </is>
      </c>
      <c r="W31">
        <f>HYPERLINK("https://klasma.github.io/Logging_1485/artfynd/A 36880-2026 artfynd.xlsx", "A 36880-2026")</f>
        <v/>
      </c>
      <c r="X31">
        <f>HYPERLINK("https://klasma.github.io/Logging_1485/kartor/A 36880-2026 karta.png", "A 36880-2026")</f>
        <v/>
      </c>
      <c r="Y31">
        <f>HYPERLINK("https://klasma.github.io/Logging_1485/kartor_geotiff/A 36880-2026 georefererad karta.tif", "A 36880-2026")</f>
        <v/>
      </c>
      <c r="AA31">
        <f>HYPERLINK("https://klasma.github.io/Logging_1485/klagomål/A 36880-2026 FSC-klagomål.docx", "A 36880-2026")</f>
        <v/>
      </c>
      <c r="AB31">
        <f>HYPERLINK("https://klasma.github.io/Logging_1485/klagomålsmail/A 36880-2026 FSC-klagomål mail.docx", "A 36880-2026")</f>
        <v/>
      </c>
      <c r="AC31">
        <f>HYPERLINK("https://klasma.github.io/Logging_1485/tillsyn/A 36880-2026 tillsynsbegäran.docx", "A 36880-2026")</f>
        <v/>
      </c>
      <c r="AD31">
        <f>HYPERLINK("https://klasma.github.io/Logging_1485/tillsynsmail/A 36880-2026 tillsynsbegäran mail.docx", "A 36880-2026")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46284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32808-2026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46241</v>
      </c>
      <c r="E33" s="1" t="n">
        <v>46284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Kyrkan</t>
        </is>
      </c>
      <c r="I33" t="n">
        <v>5.9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Revlummer</t>
        </is>
      </c>
      <c r="W33">
        <f>HYPERLINK("https://klasma.github.io/Logging_1485/artfynd/A 32808-2026 artfynd.xlsx", "A 32808-2026")</f>
        <v/>
      </c>
      <c r="X33">
        <f>HYPERLINK("https://klasma.github.io/Logging_1485/kartor/A 32808-2026 karta.png", "A 32808-2026")</f>
        <v/>
      </c>
      <c r="Y33">
        <f>HYPERLINK("https://klasma.github.io/Logging_1485/kartor_geotiff/A 32808-2026 georefererad karta.tif", "A 32808-2026")</f>
        <v/>
      </c>
      <c r="AA33">
        <f>HYPERLINK("https://klasma.github.io/Logging_1485/klagomål/A 32808-2026 FSC-klagomål.docx", "A 32808-2026")</f>
        <v/>
      </c>
      <c r="AB33">
        <f>HYPERLINK("https://klasma.github.io/Logging_1485/klagomålsmail/A 32808-2026 FSC-klagomål mail.docx", "A 32808-2026")</f>
        <v/>
      </c>
      <c r="AC33">
        <f>HYPERLINK("https://klasma.github.io/Logging_1485/tillsyn/A 32808-2026 tillsynsbegäran.docx", "A 32808-2026")</f>
        <v/>
      </c>
      <c r="AD33">
        <f>HYPERLINK("https://klasma.github.io/Logging_1485/tillsynsmail/A 32808-2026 tillsynsbegäran mail.docx", "A 32808-2026")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46284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46284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46284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46284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46284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46284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46284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46284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46284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46284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46284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46284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46284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46284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7770-2024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46284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6.2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HYPERLINK("https://klasma.github.io/Logging_1485/artfynd/A 7770-2024 artfynd.xlsx", "A 7770-2024")</f>
        <v/>
      </c>
      <c r="X48">
        <f>HYPERLINK("https://klasma.github.io/Logging_1485/kartor/A 7770-2024 karta.png", "A 7770-2024")</f>
        <v/>
      </c>
      <c r="Y48">
        <f>HYPERLINK("https://klasma.github.io/Logging_1485/kartor_geotiff/A 7770-2024 georefererad karta.tif", "A 7770-2024")</f>
        <v/>
      </c>
      <c r="AA48">
        <f>HYPERLINK("https://klasma.github.io/Logging_1485/klagomål/A 7770-2024 FSC-klagomål.docx", "A 7770-2024")</f>
        <v/>
      </c>
      <c r="AB48">
        <f>HYPERLINK("https://klasma.github.io/Logging_1485/klagomålsmail/A 7770-2024 FSC-klagomål mail.docx", "A 7770-2024")</f>
        <v/>
      </c>
      <c r="AC48">
        <f>HYPERLINK("https://klasma.github.io/Logging_1485/tillsyn/A 7770-2024 tillsynsbegäran.docx", "A 7770-2024")</f>
        <v/>
      </c>
      <c r="AD48">
        <f>HYPERLINK("https://klasma.github.io/Logging_1485/tillsynsmail/A 7770-2024 tillsynsbegäran mail.docx", "A 7770-2024")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46284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A 9424-2026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46284</v>
      </c>
      <c r="F50" t="inlineStr">
        <is>
          <t>VÄSTRA GÖTALANDS LÄN</t>
        </is>
      </c>
      <c r="G50" t="inlineStr">
        <is>
          <t>UDDEVALLA</t>
        </is>
      </c>
      <c r="I50" t="n">
        <v>4.3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Flotagräs</t>
        </is>
      </c>
      <c r="W50">
        <f>HYPERLINK("https://klasma.github.io/Logging_1485/artfynd/A 9424-2026 artfynd.xlsx", "A 9424-2026")</f>
        <v/>
      </c>
      <c r="X50">
        <f>HYPERLINK("https://klasma.github.io/Logging_1485/kartor/A 9424-2026 karta.png", "A 9424-2026")</f>
        <v/>
      </c>
      <c r="Y50">
        <f>HYPERLINK("https://klasma.github.io/Logging_1485/kartor_geotiff/A 9424-2026 georefererad karta.tif", "A 9424-2026")</f>
        <v/>
      </c>
      <c r="AA50">
        <f>HYPERLINK("https://klasma.github.io/Logging_1485/klagomål/A 9424-2026 FSC-klagomål.docx", "A 9424-2026")</f>
        <v/>
      </c>
      <c r="AB50">
        <f>HYPERLINK("https://klasma.github.io/Logging_1485/klagomålsmail/A 9424-2026 FSC-klagomål mail.docx", "A 9424-2026")</f>
        <v/>
      </c>
      <c r="AC50">
        <f>HYPERLINK("https://klasma.github.io/Logging_1485/tillsyn/A 9424-2026 tillsynsbegäran.docx", "A 9424-2026")</f>
        <v/>
      </c>
      <c r="AD50">
        <f>HYPERLINK("https://klasma.github.io/Logging_1485/tillsynsmail/A 9424-2026 tillsynsbegäran mail.docx", "A 9424-2026")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46284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30954-2025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46284</v>
      </c>
      <c r="F52" t="inlineStr">
        <is>
          <t>VÄSTRA GÖTALANDS LÄN</t>
        </is>
      </c>
      <c r="G52" t="inlineStr">
        <is>
          <t>UDDEVALLA</t>
        </is>
      </c>
      <c r="I52" t="n">
        <v>11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HYPERLINK("https://klasma.github.io/Logging_1485/artfynd/A 30954-2025 artfynd.xlsx", "A 30954-2025")</f>
        <v/>
      </c>
      <c r="X52">
        <f>HYPERLINK("https://klasma.github.io/Logging_1485/kartor/A 30954-2025 karta.png", "A 30954-2025")</f>
        <v/>
      </c>
      <c r="Y52">
        <f>HYPERLINK("https://klasma.github.io/Logging_1485/kartor_geotiff/A 30954-2025 georefererad karta.tif", "A 30954-2025")</f>
        <v/>
      </c>
      <c r="AA52">
        <f>HYPERLINK("https://klasma.github.io/Logging_1485/klagomål/A 30954-2025 FSC-klagomål.docx", "A 30954-2025")</f>
        <v/>
      </c>
      <c r="AB52">
        <f>HYPERLINK("https://klasma.github.io/Logging_1485/klagomålsmail/A 30954-2025 FSC-klagomål mail.docx", "A 30954-2025")</f>
        <v/>
      </c>
      <c r="AC52">
        <f>HYPERLINK("https://klasma.github.io/Logging_1485/tillsyn/A 30954-2025 tillsynsbegäran.docx", "A 30954-2025")</f>
        <v/>
      </c>
      <c r="AD52">
        <f>HYPERLINK("https://klasma.github.io/Logging_1485/tillsynsmail/A 30954-2025 tillsynsbegäran mail.docx", "A 30954-2025")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46284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46284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46284</v>
      </c>
      <c r="F55" t="inlineStr">
        <is>
          <t>VÄSTRA GÖTALANDS LÄN</t>
        </is>
      </c>
      <c r="G55" t="inlineStr">
        <is>
          <t>UDDEVALLA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46284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46284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46284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46284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46284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46284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46284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46284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46284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46284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46284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46284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46284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46284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46284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46284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46284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46284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46284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46284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46284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46284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46284</v>
      </c>
      <c r="F78" t="inlineStr">
        <is>
          <t>VÄSTRA GÖTALANDS LÄN</t>
        </is>
      </c>
      <c r="G78" t="inlineStr">
        <is>
          <t>UDDEVALLA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46284</v>
      </c>
      <c r="F79" t="inlineStr">
        <is>
          <t>VÄSTRA GÖTALANDS LÄN</t>
        </is>
      </c>
      <c r="G79" t="inlineStr">
        <is>
          <t>UDDEVALLA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46284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46284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46284</v>
      </c>
      <c r="F82" t="inlineStr">
        <is>
          <t>VÄSTRA GÖTALANDS LÄN</t>
        </is>
      </c>
      <c r="G82" t="inlineStr">
        <is>
          <t>UDDEVALLA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46284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46284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46284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46284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46284</v>
      </c>
      <c r="F87" t="inlineStr">
        <is>
          <t>VÄSTRA GÖTALANDS LÄN</t>
        </is>
      </c>
      <c r="G87" t="inlineStr">
        <is>
          <t>UDDEVALLA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46284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46284</v>
      </c>
      <c r="F89" t="inlineStr">
        <is>
          <t>VÄSTRA GÖTALANDS LÄN</t>
        </is>
      </c>
      <c r="G89" t="inlineStr">
        <is>
          <t>UDDEVALLA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46284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46284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46284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45551</v>
      </c>
      <c r="E93" s="1" t="n">
        <v>46284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46284</v>
      </c>
      <c r="F94" t="inlineStr">
        <is>
          <t>VÄSTRA GÖTALANDS LÄN</t>
        </is>
      </c>
      <c r="G94" t="inlineStr">
        <is>
          <t>UDDEVALLA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46284</v>
      </c>
      <c r="F95" t="inlineStr">
        <is>
          <t>VÄSTRA GÖTALANDS LÄN</t>
        </is>
      </c>
      <c r="G95" t="inlineStr">
        <is>
          <t>UDDEVALLA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46284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44592</v>
      </c>
      <c r="E97" s="1" t="n">
        <v>46284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46284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46284</v>
      </c>
      <c r="F99" t="inlineStr">
        <is>
          <t>VÄSTRA GÖTALANDS LÄN</t>
        </is>
      </c>
      <c r="G99" t="inlineStr">
        <is>
          <t>UDDEVALLA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46284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46284</v>
      </c>
      <c r="F101" t="inlineStr">
        <is>
          <t>VÄSTRA GÖTALANDS LÄN</t>
        </is>
      </c>
      <c r="G101" t="inlineStr">
        <is>
          <t>UDDEVALLA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46284</v>
      </c>
      <c r="F102" t="inlineStr">
        <is>
          <t>VÄSTRA GÖTALANDS LÄN</t>
        </is>
      </c>
      <c r="G102" t="inlineStr">
        <is>
          <t>UDDEVALLA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46284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46284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58958-2021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44489</v>
      </c>
      <c r="E105" s="1" t="n">
        <v>46284</v>
      </c>
      <c r="F105" t="inlineStr">
        <is>
          <t>VÄSTRA GÖTALANDS LÄN</t>
        </is>
      </c>
      <c r="G105" t="inlineStr">
        <is>
          <t>UDDEVALLA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46284</v>
      </c>
      <c r="F106" t="inlineStr">
        <is>
          <t>VÄSTRA GÖTALANDS LÄN</t>
        </is>
      </c>
      <c r="G106" t="inlineStr">
        <is>
          <t>UDDEVALLA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46284</v>
      </c>
      <c r="F107" t="inlineStr">
        <is>
          <t>VÄSTRA GÖTALANDS LÄN</t>
        </is>
      </c>
      <c r="G107" t="inlineStr">
        <is>
          <t>UDDEVALLA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45150</v>
      </c>
      <c r="E108" s="1" t="n">
        <v>46284</v>
      </c>
      <c r="F108" t="inlineStr">
        <is>
          <t>VÄSTRA GÖTALANDS LÄN</t>
        </is>
      </c>
      <c r="G108" t="inlineStr">
        <is>
          <t>UDDEVALLA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46284</v>
      </c>
      <c r="F109" t="inlineStr">
        <is>
          <t>VÄSTRA GÖTALANDS LÄN</t>
        </is>
      </c>
      <c r="G109" t="inlineStr">
        <is>
          <t>UDDEVALLA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46284</v>
      </c>
      <c r="F110" t="inlineStr">
        <is>
          <t>VÄSTRA GÖTALANDS LÄN</t>
        </is>
      </c>
      <c r="G110" t="inlineStr">
        <is>
          <t>UDDEVALLA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46284</v>
      </c>
      <c r="F111" t="inlineStr">
        <is>
          <t>VÄSTRA GÖTALANDS LÄN</t>
        </is>
      </c>
      <c r="G111" t="inlineStr">
        <is>
          <t>UDDEVALLA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46284</v>
      </c>
      <c r="F112" t="inlineStr">
        <is>
          <t>VÄSTRA GÖTALANDS LÄN</t>
        </is>
      </c>
      <c r="G112" t="inlineStr">
        <is>
          <t>UDDEVALLA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46284</v>
      </c>
      <c r="F113" t="inlineStr">
        <is>
          <t>VÄSTRA GÖTALANDS LÄN</t>
        </is>
      </c>
      <c r="G113" t="inlineStr">
        <is>
          <t>UDDEVALLA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46284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45656</v>
      </c>
      <c r="E115" s="1" t="n">
        <v>46284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46284</v>
      </c>
      <c r="F116" t="inlineStr">
        <is>
          <t>VÄSTRA GÖTALANDS LÄN</t>
        </is>
      </c>
      <c r="G116" t="inlineStr">
        <is>
          <t>UDDEVALLA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46284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46284</v>
      </c>
      <c r="F118" t="inlineStr">
        <is>
          <t>VÄSTRA GÖTALANDS LÄN</t>
        </is>
      </c>
      <c r="G118" t="inlineStr">
        <is>
          <t>UDDEVALLA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46284</v>
      </c>
      <c r="F119" t="inlineStr">
        <is>
          <t>VÄSTRA GÖTALANDS LÄN</t>
        </is>
      </c>
      <c r="G119" t="inlineStr">
        <is>
          <t>UDDEVALLA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44715</v>
      </c>
      <c r="E120" s="1" t="n">
        <v>46284</v>
      </c>
      <c r="F120" t="inlineStr">
        <is>
          <t>VÄSTRA GÖTALANDS LÄN</t>
        </is>
      </c>
      <c r="G120" t="inlineStr">
        <is>
          <t>UDDEVALLA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46284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46284</v>
      </c>
      <c r="F122" t="inlineStr">
        <is>
          <t>VÄSTRA GÖTALANDS LÄN</t>
        </is>
      </c>
      <c r="G122" t="inlineStr">
        <is>
          <t>UDDEVALLA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46284</v>
      </c>
      <c r="F123" t="inlineStr">
        <is>
          <t>VÄSTRA GÖTALANDS LÄN</t>
        </is>
      </c>
      <c r="G123" t="inlineStr">
        <is>
          <t>UDDEVALLA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46284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46284</v>
      </c>
      <c r="F125" t="inlineStr">
        <is>
          <t>VÄSTRA GÖTALANDS LÄN</t>
        </is>
      </c>
      <c r="G125" t="inlineStr">
        <is>
          <t>UDDEVALLA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46284</v>
      </c>
      <c r="F126" t="inlineStr">
        <is>
          <t>VÄSTRA GÖTALANDS LÄN</t>
        </is>
      </c>
      <c r="G126" t="inlineStr">
        <is>
          <t>UDDEVALLA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46284</v>
      </c>
      <c r="F127" t="inlineStr">
        <is>
          <t>VÄSTRA GÖTALANDS LÄN</t>
        </is>
      </c>
      <c r="G127" t="inlineStr">
        <is>
          <t>UDDEVALLA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46284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46284</v>
      </c>
      <c r="F129" t="inlineStr">
        <is>
          <t>VÄSTRA GÖTALANDS LÄN</t>
        </is>
      </c>
      <c r="G129" t="inlineStr">
        <is>
          <t>UDDEVALLA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46284</v>
      </c>
      <c r="F130" t="inlineStr">
        <is>
          <t>VÄSTRA GÖTALANDS LÄN</t>
        </is>
      </c>
      <c r="G130" t="inlineStr">
        <is>
          <t>UDDEVALLA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20401-2026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46139</v>
      </c>
      <c r="E131" s="1" t="n">
        <v>46284</v>
      </c>
      <c r="F131" t="inlineStr">
        <is>
          <t>VÄSTRA GÖTALANDS LÄN</t>
        </is>
      </c>
      <c r="G131" t="inlineStr">
        <is>
          <t>UDDEVALLA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46284</v>
      </c>
      <c r="F132" t="inlineStr">
        <is>
          <t>VÄSTRA GÖTALANDS LÄN</t>
        </is>
      </c>
      <c r="G132" t="inlineStr">
        <is>
          <t>UDDEVALLA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45914</v>
      </c>
      <c r="E133" s="1" t="n">
        <v>46284</v>
      </c>
      <c r="F133" t="inlineStr">
        <is>
          <t>VÄSTRA GÖTALANDS LÄN</t>
        </is>
      </c>
      <c r="G133" t="inlineStr">
        <is>
          <t>UDDEVALLA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45914</v>
      </c>
      <c r="E134" s="1" t="n">
        <v>46284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46284</v>
      </c>
      <c r="F135" t="inlineStr">
        <is>
          <t>VÄSTRA GÖTALANDS LÄN</t>
        </is>
      </c>
      <c r="G135" t="inlineStr">
        <is>
          <t>UDDEVALLA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46284</v>
      </c>
      <c r="F136" t="inlineStr">
        <is>
          <t>VÄSTRA GÖTALANDS LÄN</t>
        </is>
      </c>
      <c r="G136" t="inlineStr">
        <is>
          <t>UDDEVALLA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46284</v>
      </c>
      <c r="F137" t="inlineStr">
        <is>
          <t>VÄSTRA GÖTALANDS LÄN</t>
        </is>
      </c>
      <c r="G137" t="inlineStr">
        <is>
          <t>UDDEVALLA</t>
        </is>
      </c>
      <c r="I137" t="n">
        <v>19.4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46284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46284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46284</v>
      </c>
      <c r="F140" t="inlineStr">
        <is>
          <t>VÄSTRA GÖTALANDS LÄN</t>
        </is>
      </c>
      <c r="G140" t="inlineStr">
        <is>
          <t>UDDEVALLA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46284</v>
      </c>
      <c r="F141" t="inlineStr">
        <is>
          <t>VÄSTRA GÖTALANDS LÄN</t>
        </is>
      </c>
      <c r="G141" t="inlineStr">
        <is>
          <t>UDDEVALLA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46284</v>
      </c>
      <c r="F142" t="inlineStr">
        <is>
          <t>VÄSTRA GÖTALANDS LÄN</t>
        </is>
      </c>
      <c r="G142" t="inlineStr">
        <is>
          <t>UDDEVALLA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46284</v>
      </c>
      <c r="F143" t="inlineStr">
        <is>
          <t>VÄSTRA GÖTALANDS LÄN</t>
        </is>
      </c>
      <c r="G143" t="inlineStr">
        <is>
          <t>UDDEVALLA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46284</v>
      </c>
      <c r="F144" t="inlineStr">
        <is>
          <t>VÄSTRA GÖTALANDS LÄN</t>
        </is>
      </c>
      <c r="G144" t="inlineStr">
        <is>
          <t>UDDEVALLA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46284</v>
      </c>
      <c r="F145" t="inlineStr">
        <is>
          <t>VÄSTRA GÖTALANDS LÄN</t>
        </is>
      </c>
      <c r="G145" t="inlineStr">
        <is>
          <t>UDDEVALLA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46284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46284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46284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44683</v>
      </c>
      <c r="E149" s="1" t="n">
        <v>46284</v>
      </c>
      <c r="F149" t="inlineStr">
        <is>
          <t>VÄSTRA GÖTALANDS LÄN</t>
        </is>
      </c>
      <c r="G149" t="inlineStr">
        <is>
          <t>UDDEVALLA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46284</v>
      </c>
      <c r="F150" t="inlineStr">
        <is>
          <t>VÄSTRA GÖTALANDS LÄN</t>
        </is>
      </c>
      <c r="G150" t="inlineStr">
        <is>
          <t>UDDEVALLA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46284</v>
      </c>
      <c r="F151" t="inlineStr">
        <is>
          <t>VÄSTRA GÖTALANDS LÄN</t>
        </is>
      </c>
      <c r="G151" t="inlineStr">
        <is>
          <t>UDDEVALLA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46284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46284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46284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46284</v>
      </c>
      <c r="F155" t="inlineStr">
        <is>
          <t>VÄSTRA GÖTALANDS LÄN</t>
        </is>
      </c>
      <c r="G155" t="inlineStr">
        <is>
          <t>UDDEVALLA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60241-2024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45642</v>
      </c>
      <c r="E156" s="1" t="n">
        <v>46284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45470</v>
      </c>
      <c r="E157" s="1" t="n">
        <v>46284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46284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45667</v>
      </c>
      <c r="E159" s="1" t="n">
        <v>46284</v>
      </c>
      <c r="F159" t="inlineStr">
        <is>
          <t>VÄSTRA GÖTALANDS LÄN</t>
        </is>
      </c>
      <c r="G159" t="inlineStr">
        <is>
          <t>UDDEVALLA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46147</v>
      </c>
      <c r="E160" s="1" t="n">
        <v>46284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46284</v>
      </c>
      <c r="F161" t="inlineStr">
        <is>
          <t>VÄSTRA GÖTALANDS LÄN</t>
        </is>
      </c>
      <c r="G161" t="inlineStr">
        <is>
          <t>UDDEVALLA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46284</v>
      </c>
      <c r="F162" t="inlineStr">
        <is>
          <t>VÄSTRA GÖTALANDS LÄN</t>
        </is>
      </c>
      <c r="G162" t="inlineStr">
        <is>
          <t>UDDEVALLA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46284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46284</v>
      </c>
      <c r="F164" t="inlineStr">
        <is>
          <t>VÄSTRA GÖTALANDS LÄN</t>
        </is>
      </c>
      <c r="G164" t="inlineStr">
        <is>
          <t>UDDEVALLA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46284</v>
      </c>
      <c r="F165" t="inlineStr">
        <is>
          <t>VÄSTRA GÖTALANDS LÄN</t>
        </is>
      </c>
      <c r="G165" t="inlineStr">
        <is>
          <t>UDDEVALLA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46284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46284</v>
      </c>
      <c r="F167" t="inlineStr">
        <is>
          <t>VÄSTRA GÖTALANDS LÄN</t>
        </is>
      </c>
      <c r="G167" t="inlineStr">
        <is>
          <t>UDDEVALLA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46284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46284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46284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46284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46284</v>
      </c>
      <c r="F172" t="inlineStr">
        <is>
          <t>VÄSTRA GÖTALANDS LÄN</t>
        </is>
      </c>
      <c r="G172" t="inlineStr">
        <is>
          <t>UDDEVALLA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46284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46284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46284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46284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46284</v>
      </c>
      <c r="F177" t="inlineStr">
        <is>
          <t>VÄSTRA GÖTALANDS LÄN</t>
        </is>
      </c>
      <c r="G177" t="inlineStr">
        <is>
          <t>UDDEVALLA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46284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46284</v>
      </c>
      <c r="F179" t="inlineStr">
        <is>
          <t>VÄSTRA GÖTALANDS LÄN</t>
        </is>
      </c>
      <c r="G179" t="inlineStr">
        <is>
          <t>UDDEVALLA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46284</v>
      </c>
      <c r="F180" t="inlineStr">
        <is>
          <t>VÄSTRA GÖTALANDS LÄN</t>
        </is>
      </c>
      <c r="G180" t="inlineStr">
        <is>
          <t>UDDEVALLA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46284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46284</v>
      </c>
      <c r="F182" t="inlineStr">
        <is>
          <t>VÄSTRA GÖTALANDS LÄN</t>
        </is>
      </c>
      <c r="G182" t="inlineStr">
        <is>
          <t>UDDEVALLA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45021</v>
      </c>
      <c r="E183" s="1" t="n">
        <v>46284</v>
      </c>
      <c r="F183" t="inlineStr">
        <is>
          <t>VÄSTRA GÖTALANDS LÄN</t>
        </is>
      </c>
      <c r="G183" t="inlineStr">
        <is>
          <t>UDDEVALLA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46284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46284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46284</v>
      </c>
      <c r="F186" t="inlineStr">
        <is>
          <t>VÄSTRA GÖTALANDS LÄN</t>
        </is>
      </c>
      <c r="G186" t="inlineStr">
        <is>
          <t>UDDEVALLA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46284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46284</v>
      </c>
      <c r="F188" t="inlineStr">
        <is>
          <t>VÄSTRA GÖTALANDS LÄN</t>
        </is>
      </c>
      <c r="G188" t="inlineStr">
        <is>
          <t>UDDEVALLA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73437-2021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46284</v>
      </c>
      <c r="F189" t="inlineStr">
        <is>
          <t>VÄSTRA GÖTALANDS LÄN</t>
        </is>
      </c>
      <c r="G189" t="inlineStr">
        <is>
          <t>UDDEVALLA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46284</v>
      </c>
      <c r="F190" t="inlineStr">
        <is>
          <t>VÄSTRA GÖTALANDS LÄN</t>
        </is>
      </c>
      <c r="G190" t="inlineStr">
        <is>
          <t>UDDEVALLA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46284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Övriga statliga verk och myndigheter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46284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46284</v>
      </c>
      <c r="F193" t="inlineStr">
        <is>
          <t>VÄSTRA GÖTALANDS LÄN</t>
        </is>
      </c>
      <c r="G193" t="inlineStr">
        <is>
          <t>UDDEVALLA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46284</v>
      </c>
      <c r="F194" t="inlineStr">
        <is>
          <t>VÄSTRA GÖTALANDS LÄN</t>
        </is>
      </c>
      <c r="G194" t="inlineStr">
        <is>
          <t>UDDEVALLA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46284</v>
      </c>
      <c r="F195" t="inlineStr">
        <is>
          <t>VÄSTRA GÖTALANDS LÄN</t>
        </is>
      </c>
      <c r="G195" t="inlineStr">
        <is>
          <t>UDDEVALLA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46284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46284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8893-2024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45355</v>
      </c>
      <c r="E198" s="1" t="n">
        <v>46284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44578</v>
      </c>
      <c r="E199" s="1" t="n">
        <v>46284</v>
      </c>
      <c r="F199" t="inlineStr">
        <is>
          <t>VÄSTRA GÖTALANDS LÄN</t>
        </is>
      </c>
      <c r="G199" t="inlineStr">
        <is>
          <t>UDDEVALLA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46284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46284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46284</v>
      </c>
      <c r="F202" t="inlineStr">
        <is>
          <t>VÄSTRA GÖTALANDS LÄN</t>
        </is>
      </c>
      <c r="G202" t="inlineStr">
        <is>
          <t>UDDEVALLA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46284</v>
      </c>
      <c r="F203" t="inlineStr">
        <is>
          <t>VÄSTRA GÖTALANDS LÄN</t>
        </is>
      </c>
      <c r="G203" t="inlineStr">
        <is>
          <t>UDDEVALLA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46284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46284</v>
      </c>
      <c r="F205" t="inlineStr">
        <is>
          <t>VÄSTRA GÖTALANDS LÄN</t>
        </is>
      </c>
      <c r="G205" t="inlineStr">
        <is>
          <t>UDDEVALLA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46284</v>
      </c>
      <c r="F206" t="inlineStr">
        <is>
          <t>VÄSTRA GÖTALANDS LÄN</t>
        </is>
      </c>
      <c r="G206" t="inlineStr">
        <is>
          <t>UDDEVALLA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46284</v>
      </c>
      <c r="F207" t="inlineStr">
        <is>
          <t>VÄSTRA GÖTALANDS LÄN</t>
        </is>
      </c>
      <c r="G207" t="inlineStr">
        <is>
          <t>UDDEVALLA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46284</v>
      </c>
      <c r="F208" t="inlineStr">
        <is>
          <t>VÄSTRA GÖTALANDS LÄN</t>
        </is>
      </c>
      <c r="G208" t="inlineStr">
        <is>
          <t>UDDEVALLA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46284</v>
      </c>
      <c r="F209" t="inlineStr">
        <is>
          <t>VÄSTRA GÖTALANDS LÄN</t>
        </is>
      </c>
      <c r="G209" t="inlineStr">
        <is>
          <t>UDDEVALLA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46284</v>
      </c>
      <c r="F210" t="inlineStr">
        <is>
          <t>VÄSTRA GÖTALANDS LÄN</t>
        </is>
      </c>
      <c r="G210" t="inlineStr">
        <is>
          <t>UDDEVALLA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46284</v>
      </c>
      <c r="F211" t="inlineStr">
        <is>
          <t>VÄSTRA GÖTALANDS LÄN</t>
        </is>
      </c>
      <c r="G211" t="inlineStr">
        <is>
          <t>UDDEVALLA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46284</v>
      </c>
      <c r="F212" t="inlineStr">
        <is>
          <t>VÄSTRA GÖTALANDS LÄN</t>
        </is>
      </c>
      <c r="G212" t="inlineStr">
        <is>
          <t>UDDEVALLA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46284</v>
      </c>
      <c r="F213" t="inlineStr">
        <is>
          <t>VÄSTRA GÖTALANDS LÄN</t>
        </is>
      </c>
      <c r="G213" t="inlineStr">
        <is>
          <t>UDDEVALLA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46284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46284</v>
      </c>
      <c r="F215" t="inlineStr">
        <is>
          <t>VÄSTRA GÖTALANDS LÄN</t>
        </is>
      </c>
      <c r="G215" t="inlineStr">
        <is>
          <t>UDDEVALLA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46284</v>
      </c>
      <c r="F216" t="inlineStr">
        <is>
          <t>VÄSTRA GÖTALANDS LÄN</t>
        </is>
      </c>
      <c r="G216" t="inlineStr">
        <is>
          <t>UDDEVALLA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46284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46284</v>
      </c>
      <c r="F218" t="inlineStr">
        <is>
          <t>VÄSTRA GÖTALANDS LÄN</t>
        </is>
      </c>
      <c r="G218" t="inlineStr">
        <is>
          <t>UDDEVALLA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46284</v>
      </c>
      <c r="F219" t="inlineStr">
        <is>
          <t>VÄSTRA GÖTALANDS LÄN</t>
        </is>
      </c>
      <c r="G219" t="inlineStr">
        <is>
          <t>UDDEVALLA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46284</v>
      </c>
      <c r="F220" t="inlineStr">
        <is>
          <t>VÄSTRA GÖTALANDS LÄN</t>
        </is>
      </c>
      <c r="G220" t="inlineStr">
        <is>
          <t>UDDEVALLA</t>
        </is>
      </c>
      <c r="I220" t="n">
        <v>9.699999999999999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46284</v>
      </c>
      <c r="F221" t="inlineStr">
        <is>
          <t>VÄSTRA GÖTALANDS LÄN</t>
        </is>
      </c>
      <c r="G221" t="inlineStr">
        <is>
          <t>UDDEVALLA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46284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46284</v>
      </c>
      <c r="F223" t="inlineStr">
        <is>
          <t>VÄSTRA GÖTALANDS LÄN</t>
        </is>
      </c>
      <c r="G223" t="inlineStr">
        <is>
          <t>UDDEVALLA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46284</v>
      </c>
      <c r="F224" t="inlineStr">
        <is>
          <t>VÄSTRA GÖTALANDS LÄN</t>
        </is>
      </c>
      <c r="G224" t="inlineStr">
        <is>
          <t>UDDEVALLA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46284</v>
      </c>
      <c r="F225" t="inlineStr">
        <is>
          <t>VÄSTRA GÖTALANDS LÄN</t>
        </is>
      </c>
      <c r="G225" t="inlineStr">
        <is>
          <t>UDDEVALLA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46284</v>
      </c>
      <c r="F226" t="inlineStr">
        <is>
          <t>VÄSTRA GÖTALANDS LÄN</t>
        </is>
      </c>
      <c r="G226" t="inlineStr">
        <is>
          <t>UDDEVALLA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46284</v>
      </c>
      <c r="F227" t="inlineStr">
        <is>
          <t>VÄSTRA GÖTALANDS LÄN</t>
        </is>
      </c>
      <c r="G227" t="inlineStr">
        <is>
          <t>UDDEVALLA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46284</v>
      </c>
      <c r="F228" t="inlineStr">
        <is>
          <t>VÄSTRA GÖTALANDS LÄN</t>
        </is>
      </c>
      <c r="G228" t="inlineStr">
        <is>
          <t>UDDEVALLA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46284</v>
      </c>
      <c r="F229" t="inlineStr">
        <is>
          <t>VÄSTRA GÖTALANDS LÄN</t>
        </is>
      </c>
      <c r="G229" t="inlineStr">
        <is>
          <t>UDDEVALLA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46284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45517</v>
      </c>
      <c r="E231" s="1" t="n">
        <v>46284</v>
      </c>
      <c r="F231" t="inlineStr">
        <is>
          <t>VÄSTRA GÖTALANDS LÄN</t>
        </is>
      </c>
      <c r="G231" t="inlineStr">
        <is>
          <t>UDDEVALLA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44733</v>
      </c>
      <c r="E232" s="1" t="n">
        <v>46284</v>
      </c>
      <c r="F232" t="inlineStr">
        <is>
          <t>VÄSTRA GÖTALANDS LÄN</t>
        </is>
      </c>
      <c r="G232" t="inlineStr">
        <is>
          <t>UDDEVALLA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46284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10436-2026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46076</v>
      </c>
      <c r="E234" s="1" t="n">
        <v>46284</v>
      </c>
      <c r="F234" t="inlineStr">
        <is>
          <t>VÄSTRA GÖTALANDS LÄN</t>
        </is>
      </c>
      <c r="G234" t="inlineStr">
        <is>
          <t>UDDEVALLA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46284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46284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46284</v>
      </c>
      <c r="F237" t="inlineStr">
        <is>
          <t>VÄSTRA GÖTALANDS LÄN</t>
        </is>
      </c>
      <c r="G237" t="inlineStr">
        <is>
          <t>UDDEVALLA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46284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46284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46284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46284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46284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46284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63878-2021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44509</v>
      </c>
      <c r="E244" s="1" t="n">
        <v>46284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46284</v>
      </c>
      <c r="F245" t="inlineStr">
        <is>
          <t>VÄSTRA GÖTALANDS LÄN</t>
        </is>
      </c>
      <c r="G245" t="inlineStr">
        <is>
          <t>UDDEVALLA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46284</v>
      </c>
      <c r="F246" t="inlineStr">
        <is>
          <t>VÄSTRA GÖTALANDS LÄN</t>
        </is>
      </c>
      <c r="G246" t="inlineStr">
        <is>
          <t>UDDEVALLA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46284</v>
      </c>
      <c r="F247" t="inlineStr">
        <is>
          <t>VÄSTRA GÖTALANDS LÄN</t>
        </is>
      </c>
      <c r="G247" t="inlineStr">
        <is>
          <t>UDDEVALLA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16819-2026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46113</v>
      </c>
      <c r="E248" s="1" t="n">
        <v>46284</v>
      </c>
      <c r="F248" t="inlineStr">
        <is>
          <t>VÄSTRA GÖTALANDS LÄN</t>
        </is>
      </c>
      <c r="G248" t="inlineStr">
        <is>
          <t>UDDEVALLA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46284</v>
      </c>
      <c r="F249" t="inlineStr">
        <is>
          <t>VÄSTRA GÖTALANDS LÄN</t>
        </is>
      </c>
      <c r="G249" t="inlineStr">
        <is>
          <t>UDDEVALLA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46284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46284</v>
      </c>
      <c r="F251" t="inlineStr">
        <is>
          <t>VÄSTRA GÖTALANDS LÄN</t>
        </is>
      </c>
      <c r="G251" t="inlineStr">
        <is>
          <t>UDDEVALLA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46284</v>
      </c>
      <c r="F252" t="inlineStr">
        <is>
          <t>VÄSTRA GÖTALANDS LÄN</t>
        </is>
      </c>
      <c r="G252" t="inlineStr">
        <is>
          <t>UDDEVALLA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46284</v>
      </c>
      <c r="F253" t="inlineStr">
        <is>
          <t>VÄSTRA GÖTALANDS LÄN</t>
        </is>
      </c>
      <c r="G253" t="inlineStr">
        <is>
          <t>UDDEVALLA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46284</v>
      </c>
      <c r="F254" t="inlineStr">
        <is>
          <t>VÄSTRA GÖTALANDS LÄN</t>
        </is>
      </c>
      <c r="G254" t="inlineStr">
        <is>
          <t>UDDEVALLA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46284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46284</v>
      </c>
      <c r="F256" t="inlineStr">
        <is>
          <t>VÄSTRA GÖTALANDS LÄN</t>
        </is>
      </c>
      <c r="G256" t="inlineStr">
        <is>
          <t>UDDEVALLA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46125</v>
      </c>
      <c r="E257" s="1" t="n">
        <v>46284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46284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46284</v>
      </c>
      <c r="F259" t="inlineStr">
        <is>
          <t>VÄSTRA GÖTALANDS LÄN</t>
        </is>
      </c>
      <c r="G259" t="inlineStr">
        <is>
          <t>UDDEVALLA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46128</v>
      </c>
      <c r="E260" s="1" t="n">
        <v>46284</v>
      </c>
      <c r="F260" t="inlineStr">
        <is>
          <t>VÄSTRA GÖTALANDS LÄN</t>
        </is>
      </c>
      <c r="G260" t="inlineStr">
        <is>
          <t>UDDEVALLA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46128</v>
      </c>
      <c r="E261" s="1" t="n">
        <v>46284</v>
      </c>
      <c r="F261" t="inlineStr">
        <is>
          <t>VÄSTRA GÖTALANDS LÄN</t>
        </is>
      </c>
      <c r="G261" t="inlineStr">
        <is>
          <t>UDDEVALLA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17058-2025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45754</v>
      </c>
      <c r="E262" s="1" t="n">
        <v>46284</v>
      </c>
      <c r="F262" t="inlineStr">
        <is>
          <t>VÄSTRA GÖTALANDS LÄN</t>
        </is>
      </c>
      <c r="G262" t="inlineStr">
        <is>
          <t>UDDEVALLA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45635</v>
      </c>
      <c r="E263" s="1" t="n">
        <v>46284</v>
      </c>
      <c r="F263" t="inlineStr">
        <is>
          <t>VÄSTRA GÖTALANDS LÄN</t>
        </is>
      </c>
      <c r="G263" t="inlineStr">
        <is>
          <t>UDDEVALLA</t>
        </is>
      </c>
      <c r="I263" t="n">
        <v>14.9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46284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46284</v>
      </c>
      <c r="F265" t="inlineStr">
        <is>
          <t>VÄSTRA GÖTALANDS LÄN</t>
        </is>
      </c>
      <c r="G265" t="inlineStr">
        <is>
          <t>UDDEVALLA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46284</v>
      </c>
      <c r="F266" t="inlineStr">
        <is>
          <t>VÄSTRA GÖTALANDS LÄN</t>
        </is>
      </c>
      <c r="G266" t="inlineStr">
        <is>
          <t>UDDEVALLA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46284</v>
      </c>
      <c r="F267" t="inlineStr">
        <is>
          <t>VÄSTRA GÖTALANDS LÄN</t>
        </is>
      </c>
      <c r="G267" t="inlineStr">
        <is>
          <t>UDDEVALLA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42658-2025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45907</v>
      </c>
      <c r="E268" s="1" t="n">
        <v>46284</v>
      </c>
      <c r="F268" t="inlineStr">
        <is>
          <t>VÄSTRA GÖTALANDS LÄN</t>
        </is>
      </c>
      <c r="G268" t="inlineStr">
        <is>
          <t>UDDEVALLA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46284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44655</v>
      </c>
      <c r="E270" s="1" t="n">
        <v>46284</v>
      </c>
      <c r="F270" t="inlineStr">
        <is>
          <t>VÄSTRA GÖTALANDS LÄN</t>
        </is>
      </c>
      <c r="G270" t="inlineStr">
        <is>
          <t>UDDEVALLA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46284</v>
      </c>
      <c r="F271" t="inlineStr">
        <is>
          <t>VÄSTRA GÖTALANDS LÄN</t>
        </is>
      </c>
      <c r="G271" t="inlineStr">
        <is>
          <t>UDDEVALLA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46284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46284</v>
      </c>
      <c r="F273" t="inlineStr">
        <is>
          <t>VÄSTRA GÖTALANDS LÄN</t>
        </is>
      </c>
      <c r="G273" t="inlineStr">
        <is>
          <t>UDDEVALLA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46284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46284</v>
      </c>
      <c r="F275" t="inlineStr">
        <is>
          <t>VÄSTRA GÖTALANDS LÄN</t>
        </is>
      </c>
      <c r="G275" t="inlineStr">
        <is>
          <t>UDDEVALLA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46284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46284</v>
      </c>
      <c r="F277" t="inlineStr">
        <is>
          <t>VÄSTRA GÖTALANDS LÄN</t>
        </is>
      </c>
      <c r="G277" t="inlineStr">
        <is>
          <t>UDDEVALLA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46284</v>
      </c>
      <c r="F278" t="inlineStr">
        <is>
          <t>VÄSTRA GÖTALANDS LÄN</t>
        </is>
      </c>
      <c r="G278" t="inlineStr">
        <is>
          <t>UDDEVALLA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45475</v>
      </c>
      <c r="E279" s="1" t="n">
        <v>46284</v>
      </c>
      <c r="F279" t="inlineStr">
        <is>
          <t>VÄSTRA GÖTALANDS LÄN</t>
        </is>
      </c>
      <c r="G279" t="inlineStr">
        <is>
          <t>UDDEVALLA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69198-2021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44531</v>
      </c>
      <c r="E280" s="1" t="n">
        <v>46284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46284</v>
      </c>
      <c r="F281" t="inlineStr">
        <is>
          <t>VÄSTRA GÖTALANDS LÄN</t>
        </is>
      </c>
      <c r="G281" t="inlineStr">
        <is>
          <t>UDDEVALLA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45028</v>
      </c>
      <c r="E282" s="1" t="n">
        <v>46284</v>
      </c>
      <c r="F282" t="inlineStr">
        <is>
          <t>VÄSTRA GÖTALANDS LÄN</t>
        </is>
      </c>
      <c r="G282" t="inlineStr">
        <is>
          <t>UDDEVALLA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45255</v>
      </c>
      <c r="E283" s="1" t="n">
        <v>46284</v>
      </c>
      <c r="F283" t="inlineStr">
        <is>
          <t>VÄSTRA GÖTALANDS LÄN</t>
        </is>
      </c>
      <c r="G283" t="inlineStr">
        <is>
          <t>UDDEVALLA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46284</v>
      </c>
      <c r="F284" t="inlineStr">
        <is>
          <t>VÄSTRA GÖTALANDS LÄN</t>
        </is>
      </c>
      <c r="G284" t="inlineStr">
        <is>
          <t>UDDEVALLA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46284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Kommuner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46284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46284</v>
      </c>
      <c r="F287" t="inlineStr">
        <is>
          <t>VÄSTRA GÖTALANDS LÄN</t>
        </is>
      </c>
      <c r="G287" t="inlineStr">
        <is>
          <t>UDDEVALLA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45205</v>
      </c>
      <c r="E288" s="1" t="n">
        <v>46284</v>
      </c>
      <c r="F288" t="inlineStr">
        <is>
          <t>VÄSTRA GÖTALANDS LÄN</t>
        </is>
      </c>
      <c r="G288" t="inlineStr">
        <is>
          <t>UDDEVALLA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46284</v>
      </c>
      <c r="F289" t="inlineStr">
        <is>
          <t>VÄSTRA GÖTALANDS LÄN</t>
        </is>
      </c>
      <c r="G289" t="inlineStr">
        <is>
          <t>UDDEVALLA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46212</v>
      </c>
      <c r="E290" s="1" t="n">
        <v>46284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45426</v>
      </c>
      <c r="E291" s="1" t="n">
        <v>46284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45484</v>
      </c>
      <c r="E292" s="1" t="n">
        <v>46284</v>
      </c>
      <c r="F292" t="inlineStr">
        <is>
          <t>VÄSTRA GÖTALANDS LÄN</t>
        </is>
      </c>
      <c r="G292" t="inlineStr">
        <is>
          <t>UDDEVALLA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46284</v>
      </c>
      <c r="F293" t="inlineStr">
        <is>
          <t>VÄSTRA GÖTALANDS LÄN</t>
        </is>
      </c>
      <c r="G293" t="inlineStr">
        <is>
          <t>UDDEVALLA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44967</v>
      </c>
      <c r="E294" s="1" t="n">
        <v>46284</v>
      </c>
      <c r="F294" t="inlineStr">
        <is>
          <t>VÄSTRA GÖTALANDS LÄN</t>
        </is>
      </c>
      <c r="G294" t="inlineStr">
        <is>
          <t>UDDEVALLA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46284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44794</v>
      </c>
      <c r="E296" s="1" t="n">
        <v>46284</v>
      </c>
      <c r="F296" t="inlineStr">
        <is>
          <t>VÄSTRA GÖTALANDS LÄN</t>
        </is>
      </c>
      <c r="G296" t="inlineStr">
        <is>
          <t>UDDEVALLA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46284</v>
      </c>
      <c r="F297" t="inlineStr">
        <is>
          <t>VÄSTRA GÖTALANDS LÄN</t>
        </is>
      </c>
      <c r="G297" t="inlineStr">
        <is>
          <t>UDDEVALLA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46284</v>
      </c>
      <c r="F298" t="inlineStr">
        <is>
          <t>VÄSTRA GÖTALANDS LÄN</t>
        </is>
      </c>
      <c r="G298" t="inlineStr">
        <is>
          <t>UDDEVALLA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46284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45484</v>
      </c>
      <c r="E300" s="1" t="n">
        <v>46284</v>
      </c>
      <c r="F300" t="inlineStr">
        <is>
          <t>VÄSTRA GÖTALANDS LÄN</t>
        </is>
      </c>
      <c r="G300" t="inlineStr">
        <is>
          <t>UDDEVALLA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46284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46284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46284</v>
      </c>
      <c r="F303" t="inlineStr">
        <is>
          <t>VÄSTRA GÖTALANDS LÄN</t>
        </is>
      </c>
      <c r="G303" t="inlineStr">
        <is>
          <t>UDDEVALLA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46284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46284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46284</v>
      </c>
      <c r="F306" t="inlineStr">
        <is>
          <t>VÄSTRA GÖTALANDS LÄN</t>
        </is>
      </c>
      <c r="G306" t="inlineStr">
        <is>
          <t>UDDEVALLA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46267</v>
      </c>
      <c r="E307" s="1" t="n">
        <v>46284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46284</v>
      </c>
      <c r="F308" t="inlineStr">
        <is>
          <t>VÄSTRA GÖTALANDS LÄN</t>
        </is>
      </c>
      <c r="G308" t="inlineStr">
        <is>
          <t>UDDEVALLA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46266</v>
      </c>
      <c r="E309" s="1" t="n">
        <v>46284</v>
      </c>
      <c r="F309" t="inlineStr">
        <is>
          <t>VÄSTRA GÖTALANDS LÄN</t>
        </is>
      </c>
      <c r="G309" t="inlineStr">
        <is>
          <t>UDDEVALLA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46284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46284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46284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46284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46284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46284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46284</v>
      </c>
      <c r="F316" t="inlineStr">
        <is>
          <t>VÄSTRA GÖTALANDS LÄN</t>
        </is>
      </c>
      <c r="G316" t="inlineStr">
        <is>
          <t>UDDEVALLA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46284</v>
      </c>
      <c r="F317" t="inlineStr">
        <is>
          <t>VÄSTRA GÖTALANDS LÄN</t>
        </is>
      </c>
      <c r="G317" t="inlineStr">
        <is>
          <t>UDDEVALLA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46284</v>
      </c>
      <c r="F318" t="inlineStr">
        <is>
          <t>VÄSTRA GÖTALANDS LÄN</t>
        </is>
      </c>
      <c r="G318" t="inlineStr">
        <is>
          <t>UDDEVALLA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46284</v>
      </c>
      <c r="F319" t="inlineStr">
        <is>
          <t>VÄSTRA GÖTALANDS LÄN</t>
        </is>
      </c>
      <c r="G319" t="inlineStr">
        <is>
          <t>UDDEVALLA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46284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46284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46284</v>
      </c>
      <c r="F322" t="inlineStr">
        <is>
          <t>VÄSTRA GÖTALANDS LÄN</t>
        </is>
      </c>
      <c r="G322" t="inlineStr">
        <is>
          <t>UDDEVALLA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45455</v>
      </c>
      <c r="E323" s="1" t="n">
        <v>46284</v>
      </c>
      <c r="F323" t="inlineStr">
        <is>
          <t>VÄSTRA GÖTALANDS LÄN</t>
        </is>
      </c>
      <c r="G323" t="inlineStr">
        <is>
          <t>UDDEVALLA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45723</v>
      </c>
      <c r="E324" s="1" t="n">
        <v>46284</v>
      </c>
      <c r="F324" t="inlineStr">
        <is>
          <t>VÄSTRA GÖTALANDS LÄN</t>
        </is>
      </c>
      <c r="G324" t="inlineStr">
        <is>
          <t>UDDEVALLA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46284</v>
      </c>
      <c r="F325" t="inlineStr">
        <is>
          <t>VÄSTRA GÖTALANDS LÄN</t>
        </is>
      </c>
      <c r="G325" t="inlineStr">
        <is>
          <t>UDDEVALLA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46284</v>
      </c>
      <c r="F326" t="inlineStr">
        <is>
          <t>VÄSTRA GÖTALANDS LÄN</t>
        </is>
      </c>
      <c r="G326" t="inlineStr">
        <is>
          <t>UDDEVALLA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46284</v>
      </c>
      <c r="F327" t="inlineStr">
        <is>
          <t>VÄSTRA GÖTALANDS LÄN</t>
        </is>
      </c>
      <c r="G327" t="inlineStr">
        <is>
          <t>UDDEVALLA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46284</v>
      </c>
      <c r="F328" t="inlineStr">
        <is>
          <t>VÄSTRA GÖTALANDS LÄN</t>
        </is>
      </c>
      <c r="G328" t="inlineStr">
        <is>
          <t>UDDEVALLA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45843</v>
      </c>
      <c r="E329" s="1" t="n">
        <v>46284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46284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46284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46284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45672</v>
      </c>
      <c r="E333" s="1" t="n">
        <v>46284</v>
      </c>
      <c r="F333" t="inlineStr">
        <is>
          <t>VÄSTRA GÖTALANDS LÄN</t>
        </is>
      </c>
      <c r="G333" t="inlineStr">
        <is>
          <t>UDDEVALLA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46284</v>
      </c>
      <c r="F334" t="inlineStr">
        <is>
          <t>VÄSTRA GÖTALANDS LÄN</t>
        </is>
      </c>
      <c r="G334" t="inlineStr">
        <is>
          <t>UDDEVALLA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46284</v>
      </c>
      <c r="F335" t="inlineStr">
        <is>
          <t>VÄSTRA GÖTALANDS LÄN</t>
        </is>
      </c>
      <c r="G335" t="inlineStr">
        <is>
          <t>UDDEVALLA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46284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46284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46284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46284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2026-09-19T02:03:28Z</dcterms:created>
  <dcterms:modified xmlns:dcterms="http://purl.org/dc/terms/" xmlns:xsi="http://www.w3.org/2001/XMLSchema-instance" xsi:type="dcterms:W3CDTF">2026-09-19T02:03:28Z</dcterms:modified>
</cp:coreProperties>
</file>