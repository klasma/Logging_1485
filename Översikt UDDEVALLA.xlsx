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46309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46309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46309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46309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46309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46309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46309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46309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46309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46309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46309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46309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14063-2025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46309</v>
      </c>
      <c r="F14" t="inlineStr">
        <is>
          <t>VÄSTRA GÖTALANDS LÄN</t>
        </is>
      </c>
      <c r="G14" t="inlineStr">
        <is>
          <t>UDDEVALLA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Granspira
Mattlummer
Lopplummer (aggregat)</t>
        </is>
      </c>
      <c r="W14">
        <f>HYPERLINK("https://klasma.github.io/Logging_1485/artfynd/A 14063-2025 artfynd.xlsx", "A 14063-2025")</f>
        <v/>
      </c>
      <c r="X14">
        <f>HYPERLINK("https://klasma.github.io/Logging_1485/kartor/A 14063-2025 karta.png", "A 14063-2025")</f>
        <v/>
      </c>
      <c r="Y14">
        <f>HYPERLINK("https://klasma.github.io/Logging_1485/kartor_geotiff/A 14063-2025 georefererad karta.tif", "A 14063-2025")</f>
        <v/>
      </c>
      <c r="AA14">
        <f>HYPERLINK("https://klasma.github.io/Logging_1485/klagomål/A 14063-2025 FSC-klagomål.docx", "A 14063-2025")</f>
        <v/>
      </c>
      <c r="AB14">
        <f>HYPERLINK("https://klasma.github.io/Logging_1485/klagomålsmail/A 14063-2025 FSC-klagomål mail.docx", "A 14063-2025")</f>
        <v/>
      </c>
      <c r="AC14">
        <f>HYPERLINK("https://klasma.github.io/Logging_1485/tillsyn/A 14063-2025 tillsynsbegäran.docx", "A 14063-2025")</f>
        <v/>
      </c>
      <c r="AD14">
        <f>HYPERLINK("https://klasma.github.io/Logging_1485/tillsynsmail/A 14063-2025 tillsynsbegäran mail.docx", "A 14063-2025")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46309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46309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46309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46309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24986-2026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46174</v>
      </c>
      <c r="E20" s="1" t="n">
        <v>46309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Kommuner</t>
        </is>
      </c>
      <c r="I20" t="n">
        <v>2.4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Kråka
Gullviva
Revlummer</t>
        </is>
      </c>
      <c r="W20">
        <f>HYPERLINK("https://klasma.github.io/Logging_1485/artfynd/A 24986-2026 artfynd.xlsx", "A 24986-2026")</f>
        <v/>
      </c>
      <c r="X20">
        <f>HYPERLINK("https://klasma.github.io/Logging_1485/kartor/A 24986-2026 karta.png", "A 24986-2026")</f>
        <v/>
      </c>
      <c r="Y20">
        <f>HYPERLINK("https://klasma.github.io/Logging_1485/kartor_geotiff/A 24986-2026 georefererad karta.tif", "A 24986-2026")</f>
        <v/>
      </c>
      <c r="AA20">
        <f>HYPERLINK("https://klasma.github.io/Logging_1485/klagomål/A 24986-2026 FSC-klagomål.docx", "A 24986-2026")</f>
        <v/>
      </c>
      <c r="AB20">
        <f>HYPERLINK("https://klasma.github.io/Logging_1485/klagomålsmail/A 24986-2026 FSC-klagomål mail.docx", "A 24986-2026")</f>
        <v/>
      </c>
      <c r="AC20">
        <f>HYPERLINK("https://klasma.github.io/Logging_1485/tillsyn/A 24986-2026 tillsynsbegäran.docx", "A 24986-2026")</f>
        <v/>
      </c>
      <c r="AD20">
        <f>HYPERLINK("https://klasma.github.io/Logging_1485/tillsynsmail/A 24986-2026 tillsynsbegäran mail.docx", "A 24986-2026")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46309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46309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51747-2025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45950</v>
      </c>
      <c r="E23" s="1" t="n">
        <v>46309</v>
      </c>
      <c r="F23" t="inlineStr">
        <is>
          <t>VÄSTRA GÖTALANDS LÄN</t>
        </is>
      </c>
      <c r="G23" t="inlineStr">
        <is>
          <t>UDDEVALLA</t>
        </is>
      </c>
      <c r="I23" t="n">
        <v>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Mattlummer
Äkta lopplummer</t>
        </is>
      </c>
      <c r="W23">
        <f>HYPERLINK("https://klasma.github.io/Logging_1485/artfynd/A 51747-2025 artfynd.xlsx", "A 51747-2025")</f>
        <v/>
      </c>
      <c r="X23">
        <f>HYPERLINK("https://klasma.github.io/Logging_1485/kartor/A 51747-2025 karta.png", "A 51747-2025")</f>
        <v/>
      </c>
      <c r="Y23">
        <f>HYPERLINK("https://klasma.github.io/Logging_1485/kartor_geotiff/A 51747-2025 georefererad karta.tif", "A 51747-2025")</f>
        <v/>
      </c>
      <c r="AA23">
        <f>HYPERLINK("https://klasma.github.io/Logging_1485/klagomål/A 51747-2025 FSC-klagomål.docx", "A 51747-2025")</f>
        <v/>
      </c>
      <c r="AB23">
        <f>HYPERLINK("https://klasma.github.io/Logging_1485/klagomålsmail/A 51747-2025 FSC-klagomål mail.docx", "A 51747-2025")</f>
        <v/>
      </c>
      <c r="AC23">
        <f>HYPERLINK("https://klasma.github.io/Logging_1485/tillsyn/A 51747-2025 tillsynsbegäran.docx", "A 51747-2025")</f>
        <v/>
      </c>
      <c r="AD23">
        <f>HYPERLINK("https://klasma.github.io/Logging_1485/tillsynsmail/A 51747-2025 tillsynsbegäran mail.docx", "A 51747-2025")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46309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46309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46309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46309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46309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46309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46309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46309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46309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46309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34390-2026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46309</v>
      </c>
      <c r="F34" t="inlineStr">
        <is>
          <t>VÄSTRA GÖTALANDS LÄN</t>
        </is>
      </c>
      <c r="G34" t="inlineStr">
        <is>
          <t>UDDEVALLA</t>
        </is>
      </c>
      <c r="I34" t="n">
        <v>2.5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Större träfjäril</t>
        </is>
      </c>
      <c r="W34">
        <f>HYPERLINK("https://klasma.github.io/Logging_1485/artfynd/A 34390-2026 artfynd.xlsx", "A 34390-2026")</f>
        <v/>
      </c>
      <c r="X34">
        <f>HYPERLINK("https://klasma.github.io/Logging_1485/kartor/A 34390-2026 karta.png", "A 34390-2026")</f>
        <v/>
      </c>
      <c r="Y34">
        <f>HYPERLINK("https://klasma.github.io/Logging_1485/kartor_geotiff/A 34390-2026 georefererad karta.tif", "A 34390-2026")</f>
        <v/>
      </c>
      <c r="AA34">
        <f>HYPERLINK("https://klasma.github.io/Logging_1485/klagomål/A 34390-2026 FSC-klagomål.docx", "A 34390-2026")</f>
        <v/>
      </c>
      <c r="AB34">
        <f>HYPERLINK("https://klasma.github.io/Logging_1485/klagomålsmail/A 34390-2026 FSC-klagomål mail.docx", "A 34390-2026")</f>
        <v/>
      </c>
      <c r="AC34">
        <f>HYPERLINK("https://klasma.github.io/Logging_1485/tillsyn/A 34390-2026 tillsynsbegäran.docx", "A 34390-2026")</f>
        <v/>
      </c>
      <c r="AD34">
        <f>HYPERLINK("https://klasma.github.io/Logging_1485/tillsynsmail/A 34390-2026 tillsynsbegäran mail.docx", "A 34390-2026")</f>
        <v/>
      </c>
      <c r="AE34">
        <f>HYPERLINK("https://klasma.github.io/Logging_1485/fåglar/A 34390-2026 prioriterade fågelarter.docx", "A 34390-2026")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46309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46309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HYPERLINK("https://klasma.github.io/Logging_1485/artfynd/A 23322-2025 artfynd.xlsx", "A 23322-2025")</f>
        <v/>
      </c>
      <c r="X36">
        <f>HYPERLINK("https://klasma.github.io/Logging_1485/kartor/A 23322-2025 karta.png", "A 23322-2025")</f>
        <v/>
      </c>
      <c r="Y36">
        <f>HYPERLINK("https://klasma.github.io/Logging_1485/kartor_geotiff/A 23322-2025 georefererad karta.tif", "A 23322-2025")</f>
        <v/>
      </c>
      <c r="AA36">
        <f>HYPERLINK("https://klasma.github.io/Logging_1485/klagomål/A 23322-2025 FSC-klagomål.docx", "A 23322-2025")</f>
        <v/>
      </c>
      <c r="AB36">
        <f>HYPERLINK("https://klasma.github.io/Logging_1485/klagomålsmail/A 23322-2025 FSC-klagomål mail.docx", "A 23322-2025")</f>
        <v/>
      </c>
      <c r="AC36">
        <f>HYPERLINK("https://klasma.github.io/Logging_1485/tillsyn/A 23322-2025 tillsynsbegäran.docx", "A 23322-2025")</f>
        <v/>
      </c>
      <c r="AD36">
        <f>HYPERLINK("https://klasma.github.io/Logging_1485/tillsynsmail/A 23322-2025 tillsynsbegäran mail.docx", "A 23322-2025")</f>
        <v/>
      </c>
      <c r="AE36">
        <f>HYPERLINK("https://klasma.github.io/Logging_1485/fåglar/A 23322-2025 prioriterade fågelarter.docx", "A 23322-2025")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46309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495-2023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44930</v>
      </c>
      <c r="E38" s="1" t="n">
        <v>46309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Kommuner</t>
        </is>
      </c>
      <c r="I38" t="n">
        <v>3.7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HYPERLINK("https://klasma.github.io/Logging_1485/artfynd/A 495-2023 artfynd.xlsx", "A 495-2023")</f>
        <v/>
      </c>
      <c r="X38">
        <f>HYPERLINK("https://klasma.github.io/Logging_1485/kartor/A 495-2023 karta.png", "A 495-2023")</f>
        <v/>
      </c>
      <c r="Y38">
        <f>HYPERLINK("https://klasma.github.io/Logging_1485/kartor_geotiff/A 495-2023 georefererad karta.tif", "A 495-2023")</f>
        <v/>
      </c>
      <c r="AA38">
        <f>HYPERLINK("https://klasma.github.io/Logging_1485/klagomål/A 495-2023 FSC-klagomål.docx", "A 495-2023")</f>
        <v/>
      </c>
      <c r="AB38">
        <f>HYPERLINK("https://klasma.github.io/Logging_1485/klagomålsmail/A 495-2023 FSC-klagomål mail.docx", "A 495-2023")</f>
        <v/>
      </c>
      <c r="AC38">
        <f>HYPERLINK("https://klasma.github.io/Logging_1485/tillsyn/A 495-2023 tillsynsbegäran.docx", "A 495-2023")</f>
        <v/>
      </c>
      <c r="AD38">
        <f>HYPERLINK("https://klasma.github.io/Logging_1485/tillsynsmail/A 495-2023 tillsynsbegäran mail.docx", "A 495-2023")</f>
        <v/>
      </c>
      <c r="AE38">
        <f>HYPERLINK("https://klasma.github.io/Logging_1485/fåglar/A 495-2023 prioriterade fågelarter.docx", "A 495-2023")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46309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46309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46309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46309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Kopparödla</t>
        </is>
      </c>
      <c r="W42">
        <f>HYPERLINK("https://klasma.github.io/Logging_1485/artfynd/A 29691-2023 artfynd.xlsx", "A 29691-2023")</f>
        <v/>
      </c>
      <c r="X42">
        <f>HYPERLINK("https://klasma.github.io/Logging_1485/kartor/A 29691-2023 karta.png", "A 29691-2023")</f>
        <v/>
      </c>
      <c r="Y42">
        <f>HYPERLINK("https://klasma.github.io/Logging_1485/kartor_geotiff/A 29691-2023 georefererad karta.tif", "A 29691-2023")</f>
        <v/>
      </c>
      <c r="AA42">
        <f>HYPERLINK("https://klasma.github.io/Logging_1485/klagomål/A 29691-2023 FSC-klagomål.docx", "A 29691-2023")</f>
        <v/>
      </c>
      <c r="AB42">
        <f>HYPERLINK("https://klasma.github.io/Logging_1485/klagomålsmail/A 29691-2023 FSC-klagomål mail.docx", "A 29691-2023")</f>
        <v/>
      </c>
      <c r="AC42">
        <f>HYPERLINK("https://klasma.github.io/Logging_1485/tillsyn/A 29691-2023 tillsynsbegäran.docx", "A 29691-2023")</f>
        <v/>
      </c>
      <c r="AD42">
        <f>HYPERLINK("https://klasma.github.io/Logging_1485/tillsynsmail/A 29691-2023 tillsynsbegäran mail.docx", "A 29691-2023")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46309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46309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46309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46309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46309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46309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236-2023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46309</v>
      </c>
      <c r="F49" t="inlineStr">
        <is>
          <t>VÄSTRA GÖTALANDS LÄN</t>
        </is>
      </c>
      <c r="G49" t="inlineStr">
        <is>
          <t>UDDEVALLA</t>
        </is>
      </c>
      <c r="I49" t="n">
        <v>16.7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Rödgul trumpetsvamp</t>
        </is>
      </c>
      <c r="W49">
        <f>HYPERLINK("https://klasma.github.io/Logging_1485/artfynd/A 236-2023 artfynd.xlsx", "A 236-2023")</f>
        <v/>
      </c>
      <c r="X49">
        <f>HYPERLINK("https://klasma.github.io/Logging_1485/kartor/A 236-2023 karta.png", "A 236-2023")</f>
        <v/>
      </c>
      <c r="Y49">
        <f>HYPERLINK("https://klasma.github.io/Logging_1485/kartor_geotiff/A 236-2023 georefererad karta.tif", "A 236-2023")</f>
        <v/>
      </c>
      <c r="AA49">
        <f>HYPERLINK("https://klasma.github.io/Logging_1485/klagomål/A 236-2023 FSC-klagomål.docx", "A 236-2023")</f>
        <v/>
      </c>
      <c r="AB49">
        <f>HYPERLINK("https://klasma.github.io/Logging_1485/klagomålsmail/A 236-2023 FSC-klagomål mail.docx", "A 236-2023")</f>
        <v/>
      </c>
      <c r="AC49">
        <f>HYPERLINK("https://klasma.github.io/Logging_1485/tillsyn/A 236-2023 tillsynsbegäran.docx", "A 236-2023")</f>
        <v/>
      </c>
      <c r="AD49">
        <f>HYPERLINK("https://klasma.github.io/Logging_1485/tillsynsmail/A 236-2023 tillsynsbegäran mail.docx", "A 236-2023")</f>
        <v/>
      </c>
    </row>
    <row r="50" ht="15" customHeight="1">
      <c r="A50" t="inlineStr">
        <is>
          <t>A 23401-2023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46309</v>
      </c>
      <c r="F50" t="inlineStr">
        <is>
          <t>VÄSTRA GÖTALANDS LÄN</t>
        </is>
      </c>
      <c r="G50" t="inlineStr">
        <is>
          <t>UDDEVALLA</t>
        </is>
      </c>
      <c r="I50" t="n">
        <v>3.3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Vedticka</t>
        </is>
      </c>
      <c r="W50">
        <f>HYPERLINK("https://klasma.github.io/Logging_1485/artfynd/A 23401-2023 artfynd.xlsx", "A 23401-2023")</f>
        <v/>
      </c>
      <c r="X50">
        <f>HYPERLINK("https://klasma.github.io/Logging_1485/kartor/A 23401-2023 karta.png", "A 23401-2023")</f>
        <v/>
      </c>
      <c r="Y50">
        <f>HYPERLINK("https://klasma.github.io/Logging_1485/kartor_geotiff/A 23401-2023 georefererad karta.tif", "A 23401-2023")</f>
        <v/>
      </c>
      <c r="AA50">
        <f>HYPERLINK("https://klasma.github.io/Logging_1485/klagomål/A 23401-2023 FSC-klagomål.docx", "A 23401-2023")</f>
        <v/>
      </c>
      <c r="AB50">
        <f>HYPERLINK("https://klasma.github.io/Logging_1485/klagomålsmail/A 23401-2023 FSC-klagomål mail.docx", "A 23401-2023")</f>
        <v/>
      </c>
      <c r="AC50">
        <f>HYPERLINK("https://klasma.github.io/Logging_1485/tillsyn/A 23401-2023 tillsynsbegäran.docx", "A 23401-2023")</f>
        <v/>
      </c>
      <c r="AD50">
        <f>HYPERLINK("https://klasma.github.io/Logging_1485/tillsynsmail/A 23401-2023 tillsynsbegäran mail.docx", "A 23401-2023")</f>
        <v/>
      </c>
    </row>
    <row r="51" ht="15" customHeight="1">
      <c r="A51" t="inlineStr">
        <is>
          <t>A 39966-2026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46292</v>
      </c>
      <c r="E51" s="1" t="n">
        <v>46309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Kommuner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HYPERLINK("https://klasma.github.io/Logging_1485/artfynd/A 39966-2026 artfynd.xlsx", "A 39966-2026")</f>
        <v/>
      </c>
      <c r="X51">
        <f>HYPERLINK("https://klasma.github.io/Logging_1485/kartor/A 39966-2026 karta.png", "A 39966-2026")</f>
        <v/>
      </c>
      <c r="Y51">
        <f>HYPERLINK("https://klasma.github.io/Logging_1485/kartor_geotiff/A 39966-2026 georefererad karta.tif", "A 39966-2026")</f>
        <v/>
      </c>
      <c r="AA51">
        <f>HYPERLINK("https://klasma.github.io/Logging_1485/klagomål/A 39966-2026 FSC-klagomål.docx", "A 39966-2026")</f>
        <v/>
      </c>
      <c r="AB51">
        <f>HYPERLINK("https://klasma.github.io/Logging_1485/klagomålsmail/A 39966-2026 FSC-klagomål mail.docx", "A 39966-2026")</f>
        <v/>
      </c>
      <c r="AC51">
        <f>HYPERLINK("https://klasma.github.io/Logging_1485/tillsyn/A 39966-2026 tillsynsbegäran.docx", "A 39966-2026")</f>
        <v/>
      </c>
      <c r="AD51">
        <f>HYPERLINK("https://klasma.github.io/Logging_1485/tillsynsmail/A 39966-2026 tillsynsbegäran mail.docx", "A 39966-2026")</f>
        <v/>
      </c>
    </row>
    <row r="52" ht="15" customHeight="1">
      <c r="A52" t="inlineStr">
        <is>
          <t>A 33812-2026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46251</v>
      </c>
      <c r="E52" s="1" t="n">
        <v>46309</v>
      </c>
      <c r="F52" t="inlineStr">
        <is>
          <t>VÄSTRA GÖTALANDS LÄN</t>
        </is>
      </c>
      <c r="G52" t="inlineStr">
        <is>
          <t>UDDEVALLA</t>
        </is>
      </c>
      <c r="H52" t="inlineStr">
        <is>
          <t>Kyrkan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Skogsbräsma</t>
        </is>
      </c>
      <c r="W52">
        <f>HYPERLINK("https://klasma.github.io/Logging_1485/artfynd/A 33812-2026 artfynd.xlsx", "A 33812-2026")</f>
        <v/>
      </c>
      <c r="X52">
        <f>HYPERLINK("https://klasma.github.io/Logging_1485/kartor/A 33812-2026 karta.png", "A 33812-2026")</f>
        <v/>
      </c>
      <c r="Y52">
        <f>HYPERLINK("https://klasma.github.io/Logging_1485/kartor_geotiff/A 33812-2026 georefererad karta.tif", "A 33812-2026")</f>
        <v/>
      </c>
      <c r="AA52">
        <f>HYPERLINK("https://klasma.github.io/Logging_1485/klagomål/A 33812-2026 FSC-klagomål.docx", "A 33812-2026")</f>
        <v/>
      </c>
      <c r="AB52">
        <f>HYPERLINK("https://klasma.github.io/Logging_1485/klagomålsmail/A 33812-2026 FSC-klagomål mail.docx", "A 33812-2026")</f>
        <v/>
      </c>
      <c r="AC52">
        <f>HYPERLINK("https://klasma.github.io/Logging_1485/tillsyn/A 33812-2026 tillsynsbegäran.docx", "A 33812-2026")</f>
        <v/>
      </c>
      <c r="AD52">
        <f>HYPERLINK("https://klasma.github.io/Logging_1485/tillsynsmail/A 33812-2026 tillsynsbegäran mail.docx", "A 33812-2026")</f>
        <v/>
      </c>
    </row>
    <row r="53" ht="15" customHeight="1">
      <c r="A53" t="inlineStr">
        <is>
          <t>A 42009-2026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46309</v>
      </c>
      <c r="F53" t="inlineStr">
        <is>
          <t>VÄSTRA GÖTALANDS LÄN</t>
        </is>
      </c>
      <c r="G53" t="inlineStr">
        <is>
          <t>UDDEVALLA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42009-2026 artfynd.xlsx", "A 42009-2026")</f>
        <v/>
      </c>
      <c r="X53">
        <f>HYPERLINK("https://klasma.github.io/Logging_1485/kartor/A 42009-2026 karta.png", "A 42009-2026")</f>
        <v/>
      </c>
      <c r="Y53">
        <f>HYPERLINK("https://klasma.github.io/Logging_1485/kartor_geotiff/A 42009-2026 georefererad karta.tif", "A 42009-2026")</f>
        <v/>
      </c>
      <c r="AA53">
        <f>HYPERLINK("https://klasma.github.io/Logging_1485/klagomål/A 42009-2026 FSC-klagomål.docx", "A 42009-2026")</f>
        <v/>
      </c>
      <c r="AB53">
        <f>HYPERLINK("https://klasma.github.io/Logging_1485/klagomålsmail/A 42009-2026 FSC-klagomål mail.docx", "A 42009-2026")</f>
        <v/>
      </c>
      <c r="AC53">
        <f>HYPERLINK("https://klasma.github.io/Logging_1485/tillsyn/A 42009-2026 tillsynsbegäran.docx", "A 42009-2026")</f>
        <v/>
      </c>
      <c r="AD53">
        <f>HYPERLINK("https://klasma.github.io/Logging_1485/tillsynsmail/A 42009-2026 tillsynsbegäran mail.docx", "A 42009-2026")</f>
        <v/>
      </c>
    </row>
    <row r="54" ht="15" customHeight="1">
      <c r="A54" t="inlineStr">
        <is>
          <t>A 42008-2026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46303</v>
      </c>
      <c r="E54" s="1" t="n">
        <v>46309</v>
      </c>
      <c r="F54" t="inlineStr">
        <is>
          <t>VÄSTRA GÖTALANDS LÄN</t>
        </is>
      </c>
      <c r="G54" t="inlineStr">
        <is>
          <t>UDDEVALLA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HYPERLINK("https://klasma.github.io/Logging_1485/artfynd/A 42008-2026 artfynd.xlsx", "A 42008-2026")</f>
        <v/>
      </c>
      <c r="X54">
        <f>HYPERLINK("https://klasma.github.io/Logging_1485/kartor/A 42008-2026 karta.png", "A 42008-2026")</f>
        <v/>
      </c>
      <c r="Y54">
        <f>HYPERLINK("https://klasma.github.io/Logging_1485/kartor_geotiff/A 42008-2026 georefererad karta.tif", "A 42008-2026")</f>
        <v/>
      </c>
      <c r="AA54">
        <f>HYPERLINK("https://klasma.github.io/Logging_1485/klagomål/A 42008-2026 FSC-klagomål.docx", "A 42008-2026")</f>
        <v/>
      </c>
      <c r="AB54">
        <f>HYPERLINK("https://klasma.github.io/Logging_1485/klagomålsmail/A 42008-2026 FSC-klagomål mail.docx", "A 42008-2026")</f>
        <v/>
      </c>
      <c r="AC54">
        <f>HYPERLINK("https://klasma.github.io/Logging_1485/tillsyn/A 42008-2026 tillsynsbegäran.docx", "A 42008-2026")</f>
        <v/>
      </c>
      <c r="AD54">
        <f>HYPERLINK("https://klasma.github.io/Logging_1485/tillsynsmail/A 42008-2026 tillsynsbegäran mail.docx", "A 42008-2026")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46309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41964-2022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46309</v>
      </c>
      <c r="F56" t="inlineStr">
        <is>
          <t>VÄSTRA GÖTALANDS LÄN</t>
        </is>
      </c>
      <c r="G56" t="inlineStr">
        <is>
          <t>UDDEVALLA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46309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46309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46309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46309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46309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46309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46309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46309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46309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46309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46309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46309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46309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46309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46309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46309</v>
      </c>
      <c r="F72" t="inlineStr">
        <is>
          <t>VÄSTRA GÖTALANDS LÄN</t>
        </is>
      </c>
      <c r="G72" t="inlineStr">
        <is>
          <t>UDDEVALLA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44794</v>
      </c>
      <c r="E73" s="1" t="n">
        <v>46309</v>
      </c>
      <c r="F73" t="inlineStr">
        <is>
          <t>VÄSTRA GÖTALANDS LÄN</t>
        </is>
      </c>
      <c r="G73" t="inlineStr">
        <is>
          <t>UDDEVALLA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46309</v>
      </c>
      <c r="F74" t="inlineStr">
        <is>
          <t>VÄSTRA GÖTALANDS LÄN</t>
        </is>
      </c>
      <c r="G74" t="inlineStr">
        <is>
          <t>UDDEVALLA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46309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45426</v>
      </c>
      <c r="E76" s="1" t="n">
        <v>46309</v>
      </c>
      <c r="F76" t="inlineStr">
        <is>
          <t>VÄSTRA GÖTALANDS LÄN</t>
        </is>
      </c>
      <c r="G76" t="inlineStr">
        <is>
          <t>UDDEVALLA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46309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45374</v>
      </c>
      <c r="E78" s="1" t="n">
        <v>46309</v>
      </c>
      <c r="F78" t="inlineStr">
        <is>
          <t>VÄSTRA GÖTALANDS LÄN</t>
        </is>
      </c>
      <c r="G78" t="inlineStr">
        <is>
          <t>UDDEVALLA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46309</v>
      </c>
      <c r="F79" t="inlineStr">
        <is>
          <t>VÄSTRA GÖTALANDS LÄN</t>
        </is>
      </c>
      <c r="G79" t="inlineStr">
        <is>
          <t>UDDEVALLA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46309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45463</v>
      </c>
      <c r="E81" s="1" t="n">
        <v>46309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45366</v>
      </c>
      <c r="E82" s="1" t="n">
        <v>46309</v>
      </c>
      <c r="F82" t="inlineStr">
        <is>
          <t>VÄSTRA GÖTALANDS LÄN</t>
        </is>
      </c>
      <c r="G82" t="inlineStr">
        <is>
          <t>UDDEVALLA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45672</v>
      </c>
      <c r="E83" s="1" t="n">
        <v>46309</v>
      </c>
      <c r="F83" t="inlineStr">
        <is>
          <t>VÄSTRA GÖTALANDS LÄN</t>
        </is>
      </c>
      <c r="G83" t="inlineStr">
        <is>
          <t>UDDEVALLA</t>
        </is>
      </c>
      <c r="I83" t="n">
        <v>14.1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46309</v>
      </c>
      <c r="F84" t="inlineStr">
        <is>
          <t>VÄSTRA GÖTALANDS LÄN</t>
        </is>
      </c>
      <c r="G84" t="inlineStr">
        <is>
          <t>UDDEVALLA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46309</v>
      </c>
      <c r="F85" t="inlineStr">
        <is>
          <t>VÄSTRA GÖTALANDS LÄN</t>
        </is>
      </c>
      <c r="G85" t="inlineStr">
        <is>
          <t>UDDEVALLA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36562-2024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46309</v>
      </c>
      <c r="F86" t="inlineStr">
        <is>
          <t>VÄSTRA GÖTALANDS LÄN</t>
        </is>
      </c>
      <c r="G86" t="inlineStr">
        <is>
          <t>UDDEVALLA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46309</v>
      </c>
      <c r="F87" t="inlineStr">
        <is>
          <t>VÄSTRA GÖTALANDS LÄN</t>
        </is>
      </c>
      <c r="G87" t="inlineStr">
        <is>
          <t>UDDEVALLA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46026</v>
      </c>
      <c r="E88" s="1" t="n">
        <v>46309</v>
      </c>
      <c r="F88" t="inlineStr">
        <is>
          <t>VÄSTRA GÖTALANDS LÄN</t>
        </is>
      </c>
      <c r="G88" t="inlineStr">
        <is>
          <t>UDDEVALLA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19849-2025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46309</v>
      </c>
      <c r="F89" t="inlineStr">
        <is>
          <t>VÄSTRA GÖTALANDS LÄN</t>
        </is>
      </c>
      <c r="G89" t="inlineStr">
        <is>
          <t>UDDEVALLA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46309</v>
      </c>
      <c r="F90" t="inlineStr">
        <is>
          <t>VÄSTRA GÖTALANDS LÄN</t>
        </is>
      </c>
      <c r="G90" t="inlineStr">
        <is>
          <t>UDDEVALLA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46309</v>
      </c>
      <c r="F91" t="inlineStr">
        <is>
          <t>VÄSTRA GÖTALANDS LÄN</t>
        </is>
      </c>
      <c r="G91" t="inlineStr">
        <is>
          <t>UDDEVALLA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46309</v>
      </c>
      <c r="F92" t="inlineStr">
        <is>
          <t>VÄSTRA GÖTALANDS LÄN</t>
        </is>
      </c>
      <c r="G92" t="inlineStr">
        <is>
          <t>UDDEVALLA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46309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45484</v>
      </c>
      <c r="E94" s="1" t="n">
        <v>46309</v>
      </c>
      <c r="F94" t="inlineStr">
        <is>
          <t>VÄSTRA GÖTALANDS LÄN</t>
        </is>
      </c>
      <c r="G94" t="inlineStr">
        <is>
          <t>UDDEVALLA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46309</v>
      </c>
      <c r="F95" t="inlineStr">
        <is>
          <t>VÄSTRA GÖTALANDS LÄN</t>
        </is>
      </c>
      <c r="G95" t="inlineStr">
        <is>
          <t>UDDEVALLA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45551</v>
      </c>
      <c r="E96" s="1" t="n">
        <v>46309</v>
      </c>
      <c r="F96" t="inlineStr">
        <is>
          <t>VÄSTRA GÖTALANDS LÄN</t>
        </is>
      </c>
      <c r="G96" t="inlineStr">
        <is>
          <t>UDDEVALLA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44624</v>
      </c>
      <c r="E97" s="1" t="n">
        <v>46309</v>
      </c>
      <c r="F97" t="inlineStr">
        <is>
          <t>VÄSTRA GÖTALANDS LÄN</t>
        </is>
      </c>
      <c r="G97" t="inlineStr">
        <is>
          <t>UDDEVALLA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45722</v>
      </c>
      <c r="E98" s="1" t="n">
        <v>46309</v>
      </c>
      <c r="F98" t="inlineStr">
        <is>
          <t>VÄSTRA GÖTALANDS LÄN</t>
        </is>
      </c>
      <c r="G98" t="inlineStr">
        <is>
          <t>UDDEVALLA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46309</v>
      </c>
      <c r="F99" t="inlineStr">
        <is>
          <t>VÄSTRA GÖTALANDS LÄN</t>
        </is>
      </c>
      <c r="G99" t="inlineStr">
        <is>
          <t>UDDEVALLA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45034</v>
      </c>
      <c r="E100" s="1" t="n">
        <v>46309</v>
      </c>
      <c r="F100" t="inlineStr">
        <is>
          <t>VÄSTRA GÖTALANDS LÄN</t>
        </is>
      </c>
      <c r="G100" t="inlineStr">
        <is>
          <t>UDDEVALLA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45035</v>
      </c>
      <c r="E101" s="1" t="n">
        <v>46309</v>
      </c>
      <c r="F101" t="inlineStr">
        <is>
          <t>VÄSTRA GÖTALANDS LÄN</t>
        </is>
      </c>
      <c r="G101" t="inlineStr">
        <is>
          <t>UDDEVALLA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45035</v>
      </c>
      <c r="E102" s="1" t="n">
        <v>46309</v>
      </c>
      <c r="F102" t="inlineStr">
        <is>
          <t>VÄSTRA GÖTALANDS LÄN</t>
        </is>
      </c>
      <c r="G102" t="inlineStr">
        <is>
          <t>UDDEVALLA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41576-2025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46309</v>
      </c>
      <c r="F103" t="inlineStr">
        <is>
          <t>VÄSTRA GÖTALANDS LÄN</t>
        </is>
      </c>
      <c r="G103" t="inlineStr">
        <is>
          <t>UDDEVALLA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45723</v>
      </c>
      <c r="E104" s="1" t="n">
        <v>46309</v>
      </c>
      <c r="F104" t="inlineStr">
        <is>
          <t>VÄSTRA GÖTALANDS LÄN</t>
        </is>
      </c>
      <c r="G104" t="inlineStr">
        <is>
          <t>UDDEVALLA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46309</v>
      </c>
      <c r="F105" t="inlineStr">
        <is>
          <t>VÄSTRA GÖTALANDS LÄN</t>
        </is>
      </c>
      <c r="G105" t="inlineStr">
        <is>
          <t>UDDEVALLA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46309</v>
      </c>
      <c r="F106" t="inlineStr">
        <is>
          <t>VÄSTRA GÖTALANDS LÄN</t>
        </is>
      </c>
      <c r="G106" t="inlineStr">
        <is>
          <t>UDDEVALLA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46309</v>
      </c>
      <c r="F107" t="inlineStr">
        <is>
          <t>VÄSTRA GÖTALANDS LÄN</t>
        </is>
      </c>
      <c r="G107" t="inlineStr">
        <is>
          <t>UDDEVALLA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46309</v>
      </c>
      <c r="F108" t="inlineStr">
        <is>
          <t>VÄSTRA GÖTALANDS LÄN</t>
        </is>
      </c>
      <c r="G108" t="inlineStr">
        <is>
          <t>UDDEVALLA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46309</v>
      </c>
      <c r="F109" t="inlineStr">
        <is>
          <t>VÄSTRA GÖTALANDS LÄN</t>
        </is>
      </c>
      <c r="G109" t="inlineStr">
        <is>
          <t>UDDEVALLA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45517</v>
      </c>
      <c r="E110" s="1" t="n">
        <v>46309</v>
      </c>
      <c r="F110" t="inlineStr">
        <is>
          <t>VÄSTRA GÖTALANDS LÄN</t>
        </is>
      </c>
      <c r="G110" t="inlineStr">
        <is>
          <t>UDDEVALLA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45914</v>
      </c>
      <c r="E111" s="1" t="n">
        <v>46309</v>
      </c>
      <c r="F111" t="inlineStr">
        <is>
          <t>VÄSTRA GÖTALANDS LÄN</t>
        </is>
      </c>
      <c r="G111" t="inlineStr">
        <is>
          <t>UDDEVALLA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45914</v>
      </c>
      <c r="E112" s="1" t="n">
        <v>46309</v>
      </c>
      <c r="F112" t="inlineStr">
        <is>
          <t>VÄSTRA GÖTALANDS LÄN</t>
        </is>
      </c>
      <c r="G112" t="inlineStr">
        <is>
          <t>UDDEVALLA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46309</v>
      </c>
      <c r="F113" t="inlineStr">
        <is>
          <t>VÄSTRA GÖTALANDS LÄN</t>
        </is>
      </c>
      <c r="G113" t="inlineStr">
        <is>
          <t>UDDEVALLA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46309</v>
      </c>
      <c r="F114" t="inlineStr">
        <is>
          <t>VÄSTRA GÖTALANDS LÄN</t>
        </is>
      </c>
      <c r="G114" t="inlineStr">
        <is>
          <t>UDDEVALLA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46309</v>
      </c>
      <c r="F115" t="inlineStr">
        <is>
          <t>VÄSTRA GÖTALANDS LÄN</t>
        </is>
      </c>
      <c r="G115" t="inlineStr">
        <is>
          <t>UDDEVALLA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46309</v>
      </c>
      <c r="F116" t="inlineStr">
        <is>
          <t>VÄSTRA GÖTALANDS LÄN</t>
        </is>
      </c>
      <c r="G116" t="inlineStr">
        <is>
          <t>UDDEVALLA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46309</v>
      </c>
      <c r="F117" t="inlineStr">
        <is>
          <t>VÄSTRA GÖTALANDS LÄN</t>
        </is>
      </c>
      <c r="G117" t="inlineStr">
        <is>
          <t>UDDEVALLA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46309</v>
      </c>
      <c r="F118" t="inlineStr">
        <is>
          <t>VÄSTRA GÖTALANDS LÄN</t>
        </is>
      </c>
      <c r="G118" t="inlineStr">
        <is>
          <t>UDDEVALLA</t>
        </is>
      </c>
      <c r="I118" t="n">
        <v>19.4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46309</v>
      </c>
      <c r="F119" t="inlineStr">
        <is>
          <t>VÄSTRA GÖTALANDS LÄN</t>
        </is>
      </c>
      <c r="G119" t="inlineStr">
        <is>
          <t>UDDEVALLA</t>
        </is>
      </c>
      <c r="I119" t="n">
        <v>9.699999999999999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46309</v>
      </c>
      <c r="F120" t="inlineStr">
        <is>
          <t>VÄSTRA GÖTALANDS LÄN</t>
        </is>
      </c>
      <c r="G120" t="inlineStr">
        <is>
          <t>UDDEVALLA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46309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47083-2025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46309</v>
      </c>
      <c r="F122" t="inlineStr">
        <is>
          <t>VÄSTRA GÖTALANDS LÄN</t>
        </is>
      </c>
      <c r="G122" t="inlineStr">
        <is>
          <t>UDDEVALLA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46309</v>
      </c>
      <c r="F123" t="inlineStr">
        <is>
          <t>VÄSTRA GÖTALANDS LÄN</t>
        </is>
      </c>
      <c r="G123" t="inlineStr">
        <is>
          <t>UDDEVALLA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46309</v>
      </c>
      <c r="F124" t="inlineStr">
        <is>
          <t>VÄSTRA GÖTALANDS LÄN</t>
        </is>
      </c>
      <c r="G124" t="inlineStr">
        <is>
          <t>UDDEVALLA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46309</v>
      </c>
      <c r="F125" t="inlineStr">
        <is>
          <t>VÄSTRA GÖTALANDS LÄN</t>
        </is>
      </c>
      <c r="G125" t="inlineStr">
        <is>
          <t>UDDEVALLA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46309</v>
      </c>
      <c r="F126" t="inlineStr">
        <is>
          <t>VÄSTRA GÖTALANDS LÄN</t>
        </is>
      </c>
      <c r="G126" t="inlineStr">
        <is>
          <t>UDDEVALLA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46309</v>
      </c>
      <c r="F127" t="inlineStr">
        <is>
          <t>VÄSTRA GÖTALANDS LÄN</t>
        </is>
      </c>
      <c r="G127" t="inlineStr">
        <is>
          <t>UDDEVALLA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60241-2024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45642</v>
      </c>
      <c r="E128" s="1" t="n">
        <v>46309</v>
      </c>
      <c r="F128" t="inlineStr">
        <is>
          <t>VÄSTRA GÖTALANDS LÄN</t>
        </is>
      </c>
      <c r="G128" t="inlineStr">
        <is>
          <t>UDDEVALLA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46309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46309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45843</v>
      </c>
      <c r="E131" s="1" t="n">
        <v>46309</v>
      </c>
      <c r="F131" t="inlineStr">
        <is>
          <t>VÄSTRA GÖTALANDS LÄN</t>
        </is>
      </c>
      <c r="G131" t="inlineStr">
        <is>
          <t>UDDEVALLA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45470</v>
      </c>
      <c r="E132" s="1" t="n">
        <v>46309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46309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46309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45440</v>
      </c>
      <c r="E135" s="1" t="n">
        <v>46309</v>
      </c>
      <c r="F135" t="inlineStr">
        <is>
          <t>VÄSTRA GÖTALANDS LÄN</t>
        </is>
      </c>
      <c r="G135" t="inlineStr">
        <is>
          <t>UDDEVALLA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46309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46309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46309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46309</v>
      </c>
      <c r="F139" t="inlineStr">
        <is>
          <t>VÄSTRA GÖTALANDS LÄN</t>
        </is>
      </c>
      <c r="G139" t="inlineStr">
        <is>
          <t>UDDEVALLA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46309</v>
      </c>
      <c r="F140" t="inlineStr">
        <is>
          <t>VÄSTRA GÖTALANDS LÄN</t>
        </is>
      </c>
      <c r="G140" t="inlineStr">
        <is>
          <t>UDDEVALLA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46309</v>
      </c>
      <c r="F141" t="inlineStr">
        <is>
          <t>VÄSTRA GÖTALANDS LÄN</t>
        </is>
      </c>
      <c r="G141" t="inlineStr">
        <is>
          <t>UDDEVALLA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46309</v>
      </c>
      <c r="F142" t="inlineStr">
        <is>
          <t>VÄSTRA GÖTALANDS LÄN</t>
        </is>
      </c>
      <c r="G142" t="inlineStr">
        <is>
          <t>UDDEVALLA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46309</v>
      </c>
      <c r="F143" t="inlineStr">
        <is>
          <t>VÄSTRA GÖTALANDS LÄN</t>
        </is>
      </c>
      <c r="G143" t="inlineStr">
        <is>
          <t>UDDEVALLA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46309</v>
      </c>
      <c r="F144" t="inlineStr">
        <is>
          <t>VÄSTRA GÖTALANDS LÄN</t>
        </is>
      </c>
      <c r="G144" t="inlineStr">
        <is>
          <t>UDDEVALLA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46309</v>
      </c>
      <c r="F145" t="inlineStr">
        <is>
          <t>VÄSTRA GÖTALANDS LÄN</t>
        </is>
      </c>
      <c r="G145" t="inlineStr">
        <is>
          <t>UDDEVALLA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46309</v>
      </c>
      <c r="F146" t="inlineStr">
        <is>
          <t>VÄSTRA GÖTALANDS LÄN</t>
        </is>
      </c>
      <c r="G146" t="inlineStr">
        <is>
          <t>UDDEVALLA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46309</v>
      </c>
      <c r="F147" t="inlineStr">
        <is>
          <t>VÄSTRA GÖTALANDS LÄN</t>
        </is>
      </c>
      <c r="G147" t="inlineStr">
        <is>
          <t>UDDEVALLA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46309</v>
      </c>
      <c r="F148" t="inlineStr">
        <is>
          <t>VÄSTRA GÖTALANDS LÄN</t>
        </is>
      </c>
      <c r="G148" t="inlineStr">
        <is>
          <t>UDDEVALLA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46309</v>
      </c>
      <c r="F149" t="inlineStr">
        <is>
          <t>VÄSTRA GÖTALANDS LÄN</t>
        </is>
      </c>
      <c r="G149" t="inlineStr">
        <is>
          <t>UDDEVALLA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44592</v>
      </c>
      <c r="E150" s="1" t="n">
        <v>46309</v>
      </c>
      <c r="F150" t="inlineStr">
        <is>
          <t>VÄSTRA GÖTALANDS LÄN</t>
        </is>
      </c>
      <c r="G150" t="inlineStr">
        <is>
          <t>UDDEVALLA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46309</v>
      </c>
      <c r="F151" t="inlineStr">
        <is>
          <t>VÄSTRA GÖTALANDS LÄN</t>
        </is>
      </c>
      <c r="G151" t="inlineStr">
        <is>
          <t>UDDEVALLA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45633</v>
      </c>
      <c r="E152" s="1" t="n">
        <v>46309</v>
      </c>
      <c r="F152" t="inlineStr">
        <is>
          <t>VÄSTRA GÖTALANDS LÄN</t>
        </is>
      </c>
      <c r="G152" t="inlineStr">
        <is>
          <t>UDDEVALLA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45882</v>
      </c>
      <c r="E153" s="1" t="n">
        <v>46309</v>
      </c>
      <c r="F153" t="inlineStr">
        <is>
          <t>VÄSTRA GÖTALANDS LÄN</t>
        </is>
      </c>
      <c r="G153" t="inlineStr">
        <is>
          <t>UDDEVALLA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46309</v>
      </c>
      <c r="F154" t="inlineStr">
        <is>
          <t>VÄSTRA GÖTALANDS LÄN</t>
        </is>
      </c>
      <c r="G154" t="inlineStr">
        <is>
          <t>UDDEVALLA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46309</v>
      </c>
      <c r="F155" t="inlineStr">
        <is>
          <t>VÄSTRA GÖTALANDS LÄN</t>
        </is>
      </c>
      <c r="G155" t="inlineStr">
        <is>
          <t>UDDEVALLA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46309</v>
      </c>
      <c r="F156" t="inlineStr">
        <is>
          <t>VÄSTRA GÖTALANDS LÄN</t>
        </is>
      </c>
      <c r="G156" t="inlineStr">
        <is>
          <t>UDDEVALLA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46309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46309</v>
      </c>
      <c r="F158" t="inlineStr">
        <is>
          <t>VÄSTRA GÖTALANDS LÄN</t>
        </is>
      </c>
      <c r="G158" t="inlineStr">
        <is>
          <t>UDDEVALLA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46309</v>
      </c>
      <c r="F159" t="inlineStr">
        <is>
          <t>VÄSTRA GÖTALANDS LÄN</t>
        </is>
      </c>
      <c r="G159" t="inlineStr">
        <is>
          <t>UDDEVALLA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46309</v>
      </c>
      <c r="F160" t="inlineStr">
        <is>
          <t>VÄSTRA GÖTALANDS LÄN</t>
        </is>
      </c>
      <c r="G160" t="inlineStr">
        <is>
          <t>UDDEVALLA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46309</v>
      </c>
      <c r="F161" t="inlineStr">
        <is>
          <t>VÄSTRA GÖTALANDS LÄN</t>
        </is>
      </c>
      <c r="G161" t="inlineStr">
        <is>
          <t>UDDEVALLA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44634</v>
      </c>
      <c r="E162" s="1" t="n">
        <v>46309</v>
      </c>
      <c r="F162" t="inlineStr">
        <is>
          <t>VÄSTRA GÖTALANDS LÄN</t>
        </is>
      </c>
      <c r="G162" t="inlineStr">
        <is>
          <t>UDDEVALLA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59674-2023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45255</v>
      </c>
      <c r="E163" s="1" t="n">
        <v>46309</v>
      </c>
      <c r="F163" t="inlineStr">
        <is>
          <t>VÄSTRA GÖTALANDS LÄN</t>
        </is>
      </c>
      <c r="G163" t="inlineStr">
        <is>
          <t>UDDEVALLA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44956</v>
      </c>
      <c r="E164" s="1" t="n">
        <v>46309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46309</v>
      </c>
      <c r="F165" t="inlineStr">
        <is>
          <t>VÄSTRA GÖTALANDS LÄN</t>
        </is>
      </c>
      <c r="G165" t="inlineStr">
        <is>
          <t>UDDEVALLA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46062</v>
      </c>
      <c r="E166" s="1" t="n">
        <v>46309</v>
      </c>
      <c r="F166" t="inlineStr">
        <is>
          <t>VÄSTRA GÖTALANDS LÄN</t>
        </is>
      </c>
      <c r="G166" t="inlineStr">
        <is>
          <t>UDDEVALLA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46309</v>
      </c>
      <c r="F167" t="inlineStr">
        <is>
          <t>VÄSTRA GÖTALANDS LÄN</t>
        </is>
      </c>
      <c r="G167" t="inlineStr">
        <is>
          <t>UDDEVALLA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46309</v>
      </c>
      <c r="F168" t="inlineStr">
        <is>
          <t>VÄSTRA GÖTALANDS LÄN</t>
        </is>
      </c>
      <c r="G168" t="inlineStr">
        <is>
          <t>UDDEVALLA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46309</v>
      </c>
      <c r="F169" t="inlineStr">
        <is>
          <t>VÄSTRA GÖTALANDS LÄN</t>
        </is>
      </c>
      <c r="G169" t="inlineStr">
        <is>
          <t>UDDEVALLA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46309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46309</v>
      </c>
      <c r="F171" t="inlineStr">
        <is>
          <t>VÄSTRA GÖTALANDS LÄN</t>
        </is>
      </c>
      <c r="G171" t="inlineStr">
        <is>
          <t>UDDEVALLA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46309</v>
      </c>
      <c r="F172" t="inlineStr">
        <is>
          <t>VÄSTRA GÖTALANDS LÄN</t>
        </is>
      </c>
      <c r="G172" t="inlineStr">
        <is>
          <t>UDDEVALLA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38389-2023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46309</v>
      </c>
      <c r="F173" t="inlineStr">
        <is>
          <t>VÄSTRA GÖTALANDS LÄN</t>
        </is>
      </c>
      <c r="G173" t="inlineStr">
        <is>
          <t>UDDEVALLA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10436-2026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46076</v>
      </c>
      <c r="E174" s="1" t="n">
        <v>46309</v>
      </c>
      <c r="F174" t="inlineStr">
        <is>
          <t>VÄSTRA GÖTALANDS LÄN</t>
        </is>
      </c>
      <c r="G174" t="inlineStr">
        <is>
          <t>UDDEVALLA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46309</v>
      </c>
      <c r="F175" t="inlineStr">
        <is>
          <t>VÄSTRA GÖTALANDS LÄN</t>
        </is>
      </c>
      <c r="G175" t="inlineStr">
        <is>
          <t>UDDEVALLA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46083</v>
      </c>
      <c r="E176" s="1" t="n">
        <v>46309</v>
      </c>
      <c r="F176" t="inlineStr">
        <is>
          <t>VÄSTRA GÖTALANDS LÄN</t>
        </is>
      </c>
      <c r="G176" t="inlineStr">
        <is>
          <t>UDDEVALLA</t>
        </is>
      </c>
      <c r="H176" t="inlineStr">
        <is>
          <t>Kyrkan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46309</v>
      </c>
      <c r="F177" t="inlineStr">
        <is>
          <t>VÄSTRA GÖTALANDS LÄN</t>
        </is>
      </c>
      <c r="G177" t="inlineStr">
        <is>
          <t>UDDEVALLA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45121</v>
      </c>
      <c r="E178" s="1" t="n">
        <v>46309</v>
      </c>
      <c r="F178" t="inlineStr">
        <is>
          <t>VÄSTRA GÖTALANDS LÄN</t>
        </is>
      </c>
      <c r="G178" t="inlineStr">
        <is>
          <t>UDDEVALLA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46309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45992</v>
      </c>
      <c r="E180" s="1" t="n">
        <v>46309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46309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16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46309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46309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45484</v>
      </c>
      <c r="E184" s="1" t="n">
        <v>46309</v>
      </c>
      <c r="F184" t="inlineStr">
        <is>
          <t>VÄSTRA GÖTALANDS LÄN</t>
        </is>
      </c>
      <c r="G184" t="inlineStr">
        <is>
          <t>UDDEVALLA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45540</v>
      </c>
      <c r="E185" s="1" t="n">
        <v>46309</v>
      </c>
      <c r="F185" t="inlineStr">
        <is>
          <t>VÄSTRA GÖTALANDS LÄN</t>
        </is>
      </c>
      <c r="G185" t="inlineStr">
        <is>
          <t>UDDEVALLA</t>
        </is>
      </c>
      <c r="H185" t="inlineStr">
        <is>
          <t>Kyrkan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46309</v>
      </c>
      <c r="F186" t="inlineStr">
        <is>
          <t>VÄSTRA GÖTALANDS LÄN</t>
        </is>
      </c>
      <c r="G186" t="inlineStr">
        <is>
          <t>UDDEVALLA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46309</v>
      </c>
      <c r="F187" t="inlineStr">
        <is>
          <t>VÄSTRA GÖTALANDS LÄN</t>
        </is>
      </c>
      <c r="G187" t="inlineStr">
        <is>
          <t>UDDEVALLA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44823</v>
      </c>
      <c r="E188" s="1" t="n">
        <v>46309</v>
      </c>
      <c r="F188" t="inlineStr">
        <is>
          <t>VÄSTRA GÖTALANDS LÄN</t>
        </is>
      </c>
      <c r="G188" t="inlineStr">
        <is>
          <t>UDDEVALLA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46309</v>
      </c>
      <c r="F189" t="inlineStr">
        <is>
          <t>VÄSTRA GÖTALANDS LÄN</t>
        </is>
      </c>
      <c r="G189" t="inlineStr">
        <is>
          <t>UDDEVALLA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63878-2021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46309</v>
      </c>
      <c r="F190" t="inlineStr">
        <is>
          <t>VÄSTRA GÖTALANDS LÄN</t>
        </is>
      </c>
      <c r="G190" t="inlineStr">
        <is>
          <t>UDDEVALLA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46309</v>
      </c>
      <c r="F191" t="inlineStr">
        <is>
          <t>VÄSTRA GÖTALANDS LÄN</t>
        </is>
      </c>
      <c r="G191" t="inlineStr">
        <is>
          <t>UDDEVALLA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45212</v>
      </c>
      <c r="E192" s="1" t="n">
        <v>46309</v>
      </c>
      <c r="F192" t="inlineStr">
        <is>
          <t>VÄSTRA GÖTALANDS LÄN</t>
        </is>
      </c>
      <c r="G192" t="inlineStr">
        <is>
          <t>UDDEVALLA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46309</v>
      </c>
      <c r="F193" t="inlineStr">
        <is>
          <t>VÄSTRA GÖTALANDS LÄN</t>
        </is>
      </c>
      <c r="G193" t="inlineStr">
        <is>
          <t>UDDEVALLA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46106</v>
      </c>
      <c r="E194" s="1" t="n">
        <v>46309</v>
      </c>
      <c r="F194" t="inlineStr">
        <is>
          <t>VÄSTRA GÖTALANDS LÄN</t>
        </is>
      </c>
      <c r="G194" t="inlineStr">
        <is>
          <t>UDDEVALLA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45071</v>
      </c>
      <c r="E195" s="1" t="n">
        <v>46309</v>
      </c>
      <c r="F195" t="inlineStr">
        <is>
          <t>VÄSTRA GÖTALANDS LÄN</t>
        </is>
      </c>
      <c r="G195" t="inlineStr">
        <is>
          <t>UDDEVALLA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45672</v>
      </c>
      <c r="E196" s="1" t="n">
        <v>46309</v>
      </c>
      <c r="F196" t="inlineStr">
        <is>
          <t>VÄSTRA GÖTALANDS LÄN</t>
        </is>
      </c>
      <c r="G196" t="inlineStr">
        <is>
          <t>UDDEVALLA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16819-2026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46113</v>
      </c>
      <c r="E197" s="1" t="n">
        <v>46309</v>
      </c>
      <c r="F197" t="inlineStr">
        <is>
          <t>VÄSTRA GÖTALANDS LÄN</t>
        </is>
      </c>
      <c r="G197" t="inlineStr">
        <is>
          <t>UDDEVALLA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46309</v>
      </c>
      <c r="F198" t="inlineStr">
        <is>
          <t>VÄSTRA GÖTALANDS LÄN</t>
        </is>
      </c>
      <c r="G198" t="inlineStr">
        <is>
          <t>UDDEVALLA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46309</v>
      </c>
      <c r="F199" t="inlineStr">
        <is>
          <t>VÄSTRA GÖTALANDS LÄN</t>
        </is>
      </c>
      <c r="G199" t="inlineStr">
        <is>
          <t>UDDEVALLA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46120</v>
      </c>
      <c r="E200" s="1" t="n">
        <v>46309</v>
      </c>
      <c r="F200" t="inlineStr">
        <is>
          <t>VÄSTRA GÖTALANDS LÄN</t>
        </is>
      </c>
      <c r="G200" t="inlineStr">
        <is>
          <t>UDDEVALLA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45754</v>
      </c>
      <c r="E201" s="1" t="n">
        <v>46309</v>
      </c>
      <c r="F201" t="inlineStr">
        <is>
          <t>VÄSTRA GÖTALANDS LÄN</t>
        </is>
      </c>
      <c r="G201" t="inlineStr">
        <is>
          <t>UDDEVALLA</t>
        </is>
      </c>
      <c r="I201" t="n">
        <v>12.2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17058-2025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45754</v>
      </c>
      <c r="E202" s="1" t="n">
        <v>46309</v>
      </c>
      <c r="F202" t="inlineStr">
        <is>
          <t>VÄSTRA GÖTALANDS LÄN</t>
        </is>
      </c>
      <c r="G202" t="inlineStr">
        <is>
          <t>UDDEVALLA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46309</v>
      </c>
      <c r="F203" t="inlineStr">
        <is>
          <t>VÄSTRA GÖTALANDS LÄN</t>
        </is>
      </c>
      <c r="G203" t="inlineStr">
        <is>
          <t>UDDEVALLA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46125</v>
      </c>
      <c r="E204" s="1" t="n">
        <v>46309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Kommuner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45551</v>
      </c>
      <c r="E205" s="1" t="n">
        <v>46309</v>
      </c>
      <c r="F205" t="inlineStr">
        <is>
          <t>VÄSTRA GÖTALANDS LÄN</t>
        </is>
      </c>
      <c r="G205" t="inlineStr">
        <is>
          <t>UDDEVALLA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46309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73437-2021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46309</v>
      </c>
      <c r="F207" t="inlineStr">
        <is>
          <t>VÄSTRA GÖTALANDS LÄN</t>
        </is>
      </c>
      <c r="G207" t="inlineStr">
        <is>
          <t>UDDEVALLA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46128</v>
      </c>
      <c r="E208" s="1" t="n">
        <v>46309</v>
      </c>
      <c r="F208" t="inlineStr">
        <is>
          <t>VÄSTRA GÖTALANDS LÄN</t>
        </is>
      </c>
      <c r="G208" t="inlineStr">
        <is>
          <t>UDDEVALLA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46128</v>
      </c>
      <c r="E209" s="1" t="n">
        <v>46309</v>
      </c>
      <c r="F209" t="inlineStr">
        <is>
          <t>VÄSTRA GÖTALANDS LÄN</t>
        </is>
      </c>
      <c r="G209" t="inlineStr">
        <is>
          <t>UDDEVALLA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45455</v>
      </c>
      <c r="E210" s="1" t="n">
        <v>46309</v>
      </c>
      <c r="F210" t="inlineStr">
        <is>
          <t>VÄSTRA GÖTALANDS LÄN</t>
        </is>
      </c>
      <c r="G210" t="inlineStr">
        <is>
          <t>UDDEVALLA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46309</v>
      </c>
      <c r="F211" t="inlineStr">
        <is>
          <t>VÄSTRA GÖTALANDS LÄN</t>
        </is>
      </c>
      <c r="G211" t="inlineStr">
        <is>
          <t>UDDEVALLA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1147-2024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45302</v>
      </c>
      <c r="E212" s="1" t="n">
        <v>46309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46309</v>
      </c>
      <c r="F213" t="inlineStr">
        <is>
          <t>VÄSTRA GÖTALANDS LÄN</t>
        </is>
      </c>
      <c r="G213" t="inlineStr">
        <is>
          <t>UDDEVALLA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46309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Kyrkan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63397-2021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46309</v>
      </c>
      <c r="F215" t="inlineStr">
        <is>
          <t>VÄSTRA GÖTALANDS LÄN</t>
        </is>
      </c>
      <c r="G215" t="inlineStr">
        <is>
          <t>UDDEVALLA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46309</v>
      </c>
      <c r="F216" t="inlineStr">
        <is>
          <t>VÄSTRA GÖTALANDS LÄN</t>
        </is>
      </c>
      <c r="G216" t="inlineStr">
        <is>
          <t>UDDEVALLA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45656</v>
      </c>
      <c r="E217" s="1" t="n">
        <v>46309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45907</v>
      </c>
      <c r="E218" s="1" t="n">
        <v>46309</v>
      </c>
      <c r="F218" t="inlineStr">
        <is>
          <t>VÄSTRA GÖTALANDS LÄN</t>
        </is>
      </c>
      <c r="G218" t="inlineStr">
        <is>
          <t>UDDEVALLA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46309</v>
      </c>
      <c r="F219" t="inlineStr">
        <is>
          <t>VÄSTRA GÖTALANDS LÄN</t>
        </is>
      </c>
      <c r="G219" t="inlineStr">
        <is>
          <t>UDDEVALLA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44973</v>
      </c>
      <c r="E220" s="1" t="n">
        <v>46309</v>
      </c>
      <c r="F220" t="inlineStr">
        <is>
          <t>VÄSTRA GÖTALANDS LÄN</t>
        </is>
      </c>
      <c r="G220" t="inlineStr">
        <is>
          <t>UDDEVALLA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46309</v>
      </c>
      <c r="F221" t="inlineStr">
        <is>
          <t>VÄSTRA GÖTALANDS LÄN</t>
        </is>
      </c>
      <c r="G221" t="inlineStr">
        <is>
          <t>UDDEVALLA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17378-2026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46309</v>
      </c>
      <c r="F222" t="inlineStr">
        <is>
          <t>VÄSTRA GÖTALANDS LÄN</t>
        </is>
      </c>
      <c r="G222" t="inlineStr">
        <is>
          <t>UDDEVALLA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69198-2021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46309</v>
      </c>
      <c r="F223" t="inlineStr">
        <is>
          <t>VÄSTRA GÖTALANDS LÄN</t>
        </is>
      </c>
      <c r="G223" t="inlineStr">
        <is>
          <t>UDDEVALLA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20401-2026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46139</v>
      </c>
      <c r="E224" s="1" t="n">
        <v>46309</v>
      </c>
      <c r="F224" t="inlineStr">
        <is>
          <t>VÄSTRA GÖTALANDS LÄN</t>
        </is>
      </c>
      <c r="G224" t="inlineStr">
        <is>
          <t>UDDEVALLA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46309</v>
      </c>
      <c r="F225" t="inlineStr">
        <is>
          <t>VÄSTRA GÖTALANDS LÄN</t>
        </is>
      </c>
      <c r="G225" t="inlineStr">
        <is>
          <t>UDDEVALLA</t>
        </is>
      </c>
      <c r="I225" t="n">
        <v>8.6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45583</v>
      </c>
      <c r="E226" s="1" t="n">
        <v>46309</v>
      </c>
      <c r="F226" t="inlineStr">
        <is>
          <t>VÄSTRA GÖTALANDS LÄN</t>
        </is>
      </c>
      <c r="G226" t="inlineStr">
        <is>
          <t>UDDEVALLA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44967</v>
      </c>
      <c r="E227" s="1" t="n">
        <v>46309</v>
      </c>
      <c r="F227" t="inlineStr">
        <is>
          <t>VÄSTRA GÖTALANDS LÄN</t>
        </is>
      </c>
      <c r="G227" t="inlineStr">
        <is>
          <t>UDDEVALLA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45150</v>
      </c>
      <c r="E228" s="1" t="n">
        <v>46309</v>
      </c>
      <c r="F228" t="inlineStr">
        <is>
          <t>VÄSTRA GÖTALANDS LÄN</t>
        </is>
      </c>
      <c r="G228" t="inlineStr">
        <is>
          <t>UDDEVALLA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45133</v>
      </c>
      <c r="E229" s="1" t="n">
        <v>46309</v>
      </c>
      <c r="F229" t="inlineStr">
        <is>
          <t>VÄSTRA GÖTALANDS LÄN</t>
        </is>
      </c>
      <c r="G229" t="inlineStr">
        <is>
          <t>UDDEVALLA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46309</v>
      </c>
      <c r="F230" t="inlineStr">
        <is>
          <t>VÄSTRA GÖTALANDS LÄN</t>
        </is>
      </c>
      <c r="G230" t="inlineStr">
        <is>
          <t>UDDEVALLA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46309</v>
      </c>
      <c r="F231" t="inlineStr">
        <is>
          <t>VÄSTRA GÖTALANDS LÄN</t>
        </is>
      </c>
      <c r="G231" t="inlineStr">
        <is>
          <t>UDDEVALLA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45387</v>
      </c>
      <c r="E232" s="1" t="n">
        <v>46309</v>
      </c>
      <c r="F232" t="inlineStr">
        <is>
          <t>VÄSTRA GÖTALANDS LÄN</t>
        </is>
      </c>
      <c r="G232" t="inlineStr">
        <is>
          <t>UDDEVALLA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46309</v>
      </c>
      <c r="F233" t="inlineStr">
        <is>
          <t>VÄSTRA GÖTALANDS LÄN</t>
        </is>
      </c>
      <c r="G233" t="inlineStr">
        <is>
          <t>UDDEVALLA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32846-2023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46309</v>
      </c>
      <c r="F234" t="inlineStr">
        <is>
          <t>VÄSTRA GÖTALANDS LÄN</t>
        </is>
      </c>
      <c r="G234" t="inlineStr">
        <is>
          <t>UDDEVALLA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58958-2021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44489</v>
      </c>
      <c r="E235" s="1" t="n">
        <v>46309</v>
      </c>
      <c r="F235" t="inlineStr">
        <is>
          <t>VÄSTRA GÖTALANDS LÄN</t>
        </is>
      </c>
      <c r="G235" t="inlineStr">
        <is>
          <t>UDDEVALLA</t>
        </is>
      </c>
      <c r="I235" t="n">
        <v>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46309</v>
      </c>
      <c r="F236" t="inlineStr">
        <is>
          <t>VÄSTRA GÖTALANDS LÄN</t>
        </is>
      </c>
      <c r="G236" t="inlineStr">
        <is>
          <t>UDDEVALLA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45226</v>
      </c>
      <c r="E237" s="1" t="n">
        <v>46309</v>
      </c>
      <c r="F237" t="inlineStr">
        <is>
          <t>VÄSTRA GÖTALANDS LÄN</t>
        </is>
      </c>
      <c r="G237" t="inlineStr">
        <is>
          <t>UDDEVALLA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46309</v>
      </c>
      <c r="F238" t="inlineStr">
        <is>
          <t>VÄSTRA GÖTALANDS LÄN</t>
        </is>
      </c>
      <c r="G238" t="inlineStr">
        <is>
          <t>UDDEVALLA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44981</v>
      </c>
      <c r="E239" s="1" t="n">
        <v>46309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46309</v>
      </c>
      <c r="F240" t="inlineStr">
        <is>
          <t>VÄSTRA GÖTALANDS LÄN</t>
        </is>
      </c>
      <c r="G240" t="inlineStr">
        <is>
          <t>UDDEVALLA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73007-2021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44550</v>
      </c>
      <c r="E241" s="1" t="n">
        <v>46309</v>
      </c>
      <c r="F241" t="inlineStr">
        <is>
          <t>VÄSTRA GÖTALANDS LÄN</t>
        </is>
      </c>
      <c r="G241" t="inlineStr">
        <is>
          <t>UDDEVALLA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46147</v>
      </c>
      <c r="E242" s="1" t="n">
        <v>46309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Kommuner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46309</v>
      </c>
      <c r="F243" t="inlineStr">
        <is>
          <t>VÄSTRA GÖTALANDS LÄN</t>
        </is>
      </c>
      <c r="G243" t="inlineStr">
        <is>
          <t>UDDEVALLA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44582</v>
      </c>
      <c r="E244" s="1" t="n">
        <v>46309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Kyrkan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46309</v>
      </c>
      <c r="F245" t="inlineStr">
        <is>
          <t>VÄSTRA GÖTALANDS LÄN</t>
        </is>
      </c>
      <c r="G245" t="inlineStr">
        <is>
          <t>UDDEVALLA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44578</v>
      </c>
      <c r="E246" s="1" t="n">
        <v>46309</v>
      </c>
      <c r="F246" t="inlineStr">
        <is>
          <t>VÄSTRA GÖTALANDS LÄN</t>
        </is>
      </c>
      <c r="G246" t="inlineStr">
        <is>
          <t>UDDEVALLA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40027-2024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46309</v>
      </c>
      <c r="F247" t="inlineStr">
        <is>
          <t>VÄSTRA GÖTALANDS LÄN</t>
        </is>
      </c>
      <c r="G247" t="inlineStr">
        <is>
          <t>UDDEVALLA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44602</v>
      </c>
      <c r="E248" s="1" t="n">
        <v>46309</v>
      </c>
      <c r="F248" t="inlineStr">
        <is>
          <t>VÄSTRA GÖTALANDS LÄN</t>
        </is>
      </c>
      <c r="G248" t="inlineStr">
        <is>
          <t>UDDEVALLA</t>
        </is>
      </c>
      <c r="I248" t="n">
        <v>9.6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45309</v>
      </c>
      <c r="E249" s="1" t="n">
        <v>46309</v>
      </c>
      <c r="F249" t="inlineStr">
        <is>
          <t>VÄSTRA GÖTALANDS LÄN</t>
        </is>
      </c>
      <c r="G249" t="inlineStr">
        <is>
          <t>UDDEVALLA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46198</v>
      </c>
      <c r="E250" s="1" t="n">
        <v>46309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Övriga statliga verk och myndigheter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46309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46309</v>
      </c>
      <c r="F252" t="inlineStr">
        <is>
          <t>VÄSTRA GÖTALANDS LÄN</t>
        </is>
      </c>
      <c r="G252" t="inlineStr">
        <is>
          <t>UDDEVALLA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45456</v>
      </c>
      <c r="E253" s="1" t="n">
        <v>46309</v>
      </c>
      <c r="F253" t="inlineStr">
        <is>
          <t>VÄSTRA GÖTALANDS LÄN</t>
        </is>
      </c>
      <c r="G253" t="inlineStr">
        <is>
          <t>UDDEVALLA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45664</v>
      </c>
      <c r="E254" s="1" t="n">
        <v>46309</v>
      </c>
      <c r="F254" t="inlineStr">
        <is>
          <t>VÄSTRA GÖTALANDS LÄN</t>
        </is>
      </c>
      <c r="G254" t="inlineStr">
        <is>
          <t>UDDEVALLA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46309</v>
      </c>
      <c r="F255" t="inlineStr">
        <is>
          <t>VÄSTRA GÖTALANDS LÄN</t>
        </is>
      </c>
      <c r="G255" t="inlineStr">
        <is>
          <t>UDDEVALLA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30639-2024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45495</v>
      </c>
      <c r="E256" s="1" t="n">
        <v>46309</v>
      </c>
      <c r="F256" t="inlineStr">
        <is>
          <t>VÄSTRA GÖTALANDS LÄN</t>
        </is>
      </c>
      <c r="G256" t="inlineStr">
        <is>
          <t>UDDEVALLA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46309</v>
      </c>
      <c r="F257" t="inlineStr">
        <is>
          <t>VÄSTRA GÖTALANDS LÄN</t>
        </is>
      </c>
      <c r="G257" t="inlineStr">
        <is>
          <t>UDDEVALLA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44133-2024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45572</v>
      </c>
      <c r="E258" s="1" t="n">
        <v>46309</v>
      </c>
      <c r="F258" t="inlineStr">
        <is>
          <t>VÄSTRA GÖTALANDS LÄN</t>
        </is>
      </c>
      <c r="G258" t="inlineStr">
        <is>
          <t>UDDEVALLA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46309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46309</v>
      </c>
      <c r="F260" t="inlineStr">
        <is>
          <t>VÄSTRA GÖTALANDS LÄN</t>
        </is>
      </c>
      <c r="G260" t="inlineStr">
        <is>
          <t>UDDEVALLA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45631</v>
      </c>
      <c r="E261" s="1" t="n">
        <v>46309</v>
      </c>
      <c r="F261" t="inlineStr">
        <is>
          <t>VÄSTRA GÖTALANDS LÄN</t>
        </is>
      </c>
      <c r="G261" t="inlineStr">
        <is>
          <t>UDDEVALLA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46309</v>
      </c>
      <c r="F262" t="inlineStr">
        <is>
          <t>VÄSTRA GÖTALANDS LÄN</t>
        </is>
      </c>
      <c r="G262" t="inlineStr">
        <is>
          <t>UDDEVALLA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46309</v>
      </c>
      <c r="F263" t="inlineStr">
        <is>
          <t>VÄSTRA GÖTALANDS LÄN</t>
        </is>
      </c>
      <c r="G263" t="inlineStr">
        <is>
          <t>UDDEVALLA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46309</v>
      </c>
      <c r="F264" t="inlineStr">
        <is>
          <t>VÄSTRA GÖTALANDS LÄN</t>
        </is>
      </c>
      <c r="G264" t="inlineStr">
        <is>
          <t>UDDEVALLA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44733</v>
      </c>
      <c r="E265" s="1" t="n">
        <v>46309</v>
      </c>
      <c r="F265" t="inlineStr">
        <is>
          <t>VÄSTRA GÖTALANDS LÄN</t>
        </is>
      </c>
      <c r="G265" t="inlineStr">
        <is>
          <t>UDDEVALLA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44715</v>
      </c>
      <c r="E266" s="1" t="n">
        <v>46309</v>
      </c>
      <c r="F266" t="inlineStr">
        <is>
          <t>VÄSTRA GÖTALANDS LÄN</t>
        </is>
      </c>
      <c r="G266" t="inlineStr">
        <is>
          <t>UDDEVALLA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45239</v>
      </c>
      <c r="E267" s="1" t="n">
        <v>46309</v>
      </c>
      <c r="F267" t="inlineStr">
        <is>
          <t>VÄSTRA GÖTALANDS LÄN</t>
        </is>
      </c>
      <c r="G267" t="inlineStr">
        <is>
          <t>UDDEVALLA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39991-2022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44820</v>
      </c>
      <c r="E268" s="1" t="n">
        <v>46309</v>
      </c>
      <c r="F268" t="inlineStr">
        <is>
          <t>VÄSTRA GÖTALANDS LÄN</t>
        </is>
      </c>
      <c r="G268" t="inlineStr">
        <is>
          <t>UDDEVALLA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46309</v>
      </c>
      <c r="F269" t="inlineStr">
        <is>
          <t>VÄSTRA GÖTALANDS LÄN</t>
        </is>
      </c>
      <c r="G269" t="inlineStr">
        <is>
          <t>UDDEVALLA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44817</v>
      </c>
      <c r="E270" s="1" t="n">
        <v>46309</v>
      </c>
      <c r="F270" t="inlineStr">
        <is>
          <t>VÄSTRA GÖTALANDS LÄN</t>
        </is>
      </c>
      <c r="G270" t="inlineStr">
        <is>
          <t>UDDEVALLA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46309</v>
      </c>
      <c r="F271" t="inlineStr">
        <is>
          <t>VÄSTRA GÖTALANDS LÄN</t>
        </is>
      </c>
      <c r="G271" t="inlineStr">
        <is>
          <t>UDDEVALLA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46309</v>
      </c>
      <c r="F272" t="inlineStr">
        <is>
          <t>VÄSTRA GÖTALANDS LÄN</t>
        </is>
      </c>
      <c r="G272" t="inlineStr">
        <is>
          <t>UDDEVALLA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45257</v>
      </c>
      <c r="E273" s="1" t="n">
        <v>46309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46309</v>
      </c>
      <c r="F274" t="inlineStr">
        <is>
          <t>VÄSTRA GÖTALANDS LÄN</t>
        </is>
      </c>
      <c r="G274" t="inlineStr">
        <is>
          <t>UDDEVALLA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9797-2023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44984</v>
      </c>
      <c r="E275" s="1" t="n">
        <v>46309</v>
      </c>
      <c r="F275" t="inlineStr">
        <is>
          <t>VÄSTRA GÖTALANDS LÄN</t>
        </is>
      </c>
      <c r="G275" t="inlineStr">
        <is>
          <t>UDDEVALLA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46309</v>
      </c>
      <c r="F276" t="inlineStr">
        <is>
          <t>VÄSTRA GÖTALANDS LÄN</t>
        </is>
      </c>
      <c r="G276" t="inlineStr">
        <is>
          <t>UDDEVALLA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44683</v>
      </c>
      <c r="E277" s="1" t="n">
        <v>46309</v>
      </c>
      <c r="F277" t="inlineStr">
        <is>
          <t>VÄSTRA GÖTALANDS LÄN</t>
        </is>
      </c>
      <c r="G277" t="inlineStr">
        <is>
          <t>UDDEVALLA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46309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46309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Kommuner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46309</v>
      </c>
      <c r="F280" t="inlineStr">
        <is>
          <t>VÄSTRA GÖTALANDS LÄN</t>
        </is>
      </c>
      <c r="G280" t="inlineStr">
        <is>
          <t>UDDEVALLA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46212</v>
      </c>
      <c r="E281" s="1" t="n">
        <v>46309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70491-2021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44536</v>
      </c>
      <c r="E282" s="1" t="n">
        <v>46309</v>
      </c>
      <c r="F282" t="inlineStr">
        <is>
          <t>VÄSTRA GÖTALANDS LÄN</t>
        </is>
      </c>
      <c r="G282" t="inlineStr">
        <is>
          <t>UDDEVALLA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46222</v>
      </c>
      <c r="E283" s="1" t="n">
        <v>46309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Kommuner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46309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46267</v>
      </c>
      <c r="E285" s="1" t="n">
        <v>46309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46309</v>
      </c>
      <c r="F286" t="inlineStr">
        <is>
          <t>VÄSTRA GÖTALANDS LÄN</t>
        </is>
      </c>
      <c r="G286" t="inlineStr">
        <is>
          <t>UDDEVALLA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36176-2026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46267</v>
      </c>
      <c r="E287" s="1" t="n">
        <v>46309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10286-2024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46309</v>
      </c>
      <c r="F288" t="inlineStr">
        <is>
          <t>VÄSTRA GÖTALANDS LÄN</t>
        </is>
      </c>
      <c r="G288" t="inlineStr">
        <is>
          <t>UDDEVALLA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46267</v>
      </c>
      <c r="E289" s="1" t="n">
        <v>46309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46309</v>
      </c>
      <c r="F290" t="inlineStr">
        <is>
          <t>VÄSTRA GÖTALANDS LÄN</t>
        </is>
      </c>
      <c r="G290" t="inlineStr">
        <is>
          <t>UDDEVALLA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46309</v>
      </c>
      <c r="F291" t="inlineStr">
        <is>
          <t>VÄSTRA GÖTALANDS LÄN</t>
        </is>
      </c>
      <c r="G291" t="inlineStr">
        <is>
          <t>UDDEVALLA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45847</v>
      </c>
      <c r="E292" s="1" t="n">
        <v>46309</v>
      </c>
      <c r="F292" t="inlineStr">
        <is>
          <t>VÄSTRA GÖTALANDS LÄN</t>
        </is>
      </c>
      <c r="G292" t="inlineStr">
        <is>
          <t>UDDEVALLA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46309</v>
      </c>
      <c r="F293" t="inlineStr">
        <is>
          <t>VÄSTRA GÖTALANDS LÄN</t>
        </is>
      </c>
      <c r="G293" t="inlineStr">
        <is>
          <t>UDDEVALLA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46309</v>
      </c>
      <c r="F294" t="inlineStr">
        <is>
          <t>VÄSTRA GÖTALANDS LÄN</t>
        </is>
      </c>
      <c r="G294" t="inlineStr">
        <is>
          <t>UDDEVALLA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45089</v>
      </c>
      <c r="E295" s="1" t="n">
        <v>46309</v>
      </c>
      <c r="F295" t="inlineStr">
        <is>
          <t>VÄSTRA GÖTALANDS LÄN</t>
        </is>
      </c>
      <c r="G295" t="inlineStr">
        <is>
          <t>UDDEVALLA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46309</v>
      </c>
      <c r="F296" t="inlineStr">
        <is>
          <t>VÄSTRA GÖTALANDS LÄN</t>
        </is>
      </c>
      <c r="G296" t="inlineStr">
        <is>
          <t>UDDEVALLA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8893-2024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45355</v>
      </c>
      <c r="E297" s="1" t="n">
        <v>46309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40121-2024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46309</v>
      </c>
      <c r="F298" t="inlineStr">
        <is>
          <t>VÄSTRA GÖTALANDS LÄN</t>
        </is>
      </c>
      <c r="G298" t="inlineStr">
        <is>
          <t>UDDEVALLA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45167</v>
      </c>
      <c r="E299" s="1" t="n">
        <v>46309</v>
      </c>
      <c r="F299" t="inlineStr">
        <is>
          <t>VÄSTRA GÖTALANDS LÄN</t>
        </is>
      </c>
      <c r="G299" t="inlineStr">
        <is>
          <t>UDDEVALLA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46288</v>
      </c>
      <c r="E300" s="1" t="n">
        <v>46309</v>
      </c>
      <c r="F300" t="inlineStr">
        <is>
          <t>VÄSTRA GÖTALANDS LÄN</t>
        </is>
      </c>
      <c r="G300" t="inlineStr">
        <is>
          <t>UDDEVALLA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46309</v>
      </c>
      <c r="F301" t="inlineStr">
        <is>
          <t>VÄSTRA GÖTALANDS LÄN</t>
        </is>
      </c>
      <c r="G301" t="inlineStr">
        <is>
          <t>UDDEVALLA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46309</v>
      </c>
      <c r="F302" t="inlineStr">
        <is>
          <t>VÄSTRA GÖTALANDS LÄN</t>
        </is>
      </c>
      <c r="G302" t="inlineStr">
        <is>
          <t>UDDEVALLA</t>
        </is>
      </c>
      <c r="H302" t="inlineStr">
        <is>
          <t>Kyrkan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45205</v>
      </c>
      <c r="E303" s="1" t="n">
        <v>46309</v>
      </c>
      <c r="F303" t="inlineStr">
        <is>
          <t>VÄSTRA GÖTALANDS LÄN</t>
        </is>
      </c>
      <c r="G303" t="inlineStr">
        <is>
          <t>UDDEVALLA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45902-2024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46309</v>
      </c>
      <c r="F304" t="inlineStr">
        <is>
          <t>VÄSTRA GÖTALANDS LÄN</t>
        </is>
      </c>
      <c r="G304" t="inlineStr">
        <is>
          <t>UDDEVALLA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46309</v>
      </c>
      <c r="F305" t="inlineStr">
        <is>
          <t>VÄSTRA GÖTALANDS LÄN</t>
        </is>
      </c>
      <c r="G305" t="inlineStr">
        <is>
          <t>UDDEVALLA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46309</v>
      </c>
      <c r="F306" t="inlineStr">
        <is>
          <t>VÄSTRA GÖTALANDS LÄN</t>
        </is>
      </c>
      <c r="G306" t="inlineStr">
        <is>
          <t>UDDEVALLA</t>
        </is>
      </c>
      <c r="I306" t="n">
        <v>12.2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46309</v>
      </c>
      <c r="F307" t="inlineStr">
        <is>
          <t>VÄSTRA GÖTALANDS LÄN</t>
        </is>
      </c>
      <c r="G307" t="inlineStr">
        <is>
          <t>UDDEVALLA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46309</v>
      </c>
      <c r="F308" t="inlineStr">
        <is>
          <t>VÄSTRA GÖTALANDS LÄN</t>
        </is>
      </c>
      <c r="G308" t="inlineStr">
        <is>
          <t>UDDEVALLA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45568</v>
      </c>
      <c r="E309" s="1" t="n">
        <v>46309</v>
      </c>
      <c r="F309" t="inlineStr">
        <is>
          <t>VÄSTRA GÖTALANDS LÄN</t>
        </is>
      </c>
      <c r="G309" t="inlineStr">
        <is>
          <t>UDDEVALLA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58625-2024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45635</v>
      </c>
      <c r="E310" s="1" t="n">
        <v>46309</v>
      </c>
      <c r="F310" t="inlineStr">
        <is>
          <t>VÄSTRA GÖTALANDS LÄN</t>
        </is>
      </c>
      <c r="G310" t="inlineStr">
        <is>
          <t>UDDEVALLA</t>
        </is>
      </c>
      <c r="I310" t="n">
        <v>14.9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44924</v>
      </c>
      <c r="E311" s="1" t="n">
        <v>46309</v>
      </c>
      <c r="F311" t="inlineStr">
        <is>
          <t>VÄSTRA GÖTALANDS LÄN</t>
        </is>
      </c>
      <c r="G311" t="inlineStr">
        <is>
          <t>UDDEVALLA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45684</v>
      </c>
      <c r="E312" s="1" t="n">
        <v>46309</v>
      </c>
      <c r="F312" t="inlineStr">
        <is>
          <t>VÄSTRA GÖTALANDS LÄN</t>
        </is>
      </c>
      <c r="G312" t="inlineStr">
        <is>
          <t>UDDEVALLA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45188</v>
      </c>
      <c r="E313" s="1" t="n">
        <v>46309</v>
      </c>
      <c r="F313" t="inlineStr">
        <is>
          <t>VÄSTRA GÖTALANDS LÄN</t>
        </is>
      </c>
      <c r="G313" t="inlineStr">
        <is>
          <t>UDDEVALLA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46309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Kyrkan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45596</v>
      </c>
      <c r="E315" s="1" t="n">
        <v>46309</v>
      </c>
      <c r="F315" t="inlineStr">
        <is>
          <t>VÄSTRA GÖTALANDS LÄN</t>
        </is>
      </c>
      <c r="G315" t="inlineStr">
        <is>
          <t>UDDEVALLA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46309</v>
      </c>
      <c r="F316" t="inlineStr">
        <is>
          <t>VÄSTRA GÖTALANDS LÄN</t>
        </is>
      </c>
      <c r="G316" t="inlineStr">
        <is>
          <t>UDDEVALLA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46293</v>
      </c>
      <c r="E317" s="1" t="n">
        <v>46309</v>
      </c>
      <c r="F317" t="inlineStr">
        <is>
          <t>VÄSTRA GÖTALANDS LÄN</t>
        </is>
      </c>
      <c r="G317" t="inlineStr">
        <is>
          <t>UDDEVALLA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46309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46309</v>
      </c>
      <c r="F319" t="inlineStr">
        <is>
          <t>VÄSTRA GÖTALANDS LÄN</t>
        </is>
      </c>
      <c r="G319" t="inlineStr">
        <is>
          <t>UDDEVALLA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45215</v>
      </c>
      <c r="E320" s="1" t="n">
        <v>46309</v>
      </c>
      <c r="F320" t="inlineStr">
        <is>
          <t>VÄSTRA GÖTALANDS LÄN</t>
        </is>
      </c>
      <c r="G320" t="inlineStr">
        <is>
          <t>UDDEVALLA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60819-2024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45644</v>
      </c>
      <c r="E321" s="1" t="n">
        <v>46309</v>
      </c>
      <c r="F321" t="inlineStr">
        <is>
          <t>VÄSTRA GÖTALANDS LÄN</t>
        </is>
      </c>
      <c r="G321" t="inlineStr">
        <is>
          <t>UDDEVALLA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46309</v>
      </c>
      <c r="F322" t="inlineStr">
        <is>
          <t>VÄSTRA GÖTALANDS LÄN</t>
        </is>
      </c>
      <c r="G322" t="inlineStr">
        <is>
          <t>UDDEVALLA</t>
        </is>
      </c>
      <c r="I322" t="n">
        <v>12.9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46309</v>
      </c>
      <c r="F323" t="inlineStr">
        <is>
          <t>VÄSTRA GÖTALANDS LÄN</t>
        </is>
      </c>
      <c r="G323" t="inlineStr">
        <is>
          <t>UDDEVALLA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46309</v>
      </c>
      <c r="F324" t="inlineStr">
        <is>
          <t>VÄSTRA GÖTALANDS LÄN</t>
        </is>
      </c>
      <c r="G324" t="inlineStr">
        <is>
          <t>UDDEVALLA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46211</v>
      </c>
      <c r="E325" s="1" t="n">
        <v>46309</v>
      </c>
      <c r="F325" t="inlineStr">
        <is>
          <t>VÄSTRA GÖTALANDS LÄN</t>
        </is>
      </c>
      <c r="G325" t="inlineStr">
        <is>
          <t>UDDEVALLA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46309</v>
      </c>
      <c r="F326" t="inlineStr">
        <is>
          <t>VÄSTRA GÖTALANDS LÄN</t>
        </is>
      </c>
      <c r="G326" t="inlineStr">
        <is>
          <t>UDDEVALLA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46148</v>
      </c>
      <c r="E327" s="1" t="n">
        <v>46309</v>
      </c>
      <c r="F327" t="inlineStr">
        <is>
          <t>VÄSTRA GÖTALANDS LÄN</t>
        </is>
      </c>
      <c r="G327" t="inlineStr">
        <is>
          <t>UDDEVALLA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46302</v>
      </c>
      <c r="E328" s="1" t="n">
        <v>46309</v>
      </c>
      <c r="F328" t="inlineStr">
        <is>
          <t>VÄSTRA GÖTALANDS LÄN</t>
        </is>
      </c>
      <c r="G328" t="inlineStr">
        <is>
          <t>UDDEVALLA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46309</v>
      </c>
      <c r="F329" t="inlineStr">
        <is>
          <t>VÄSTRA GÖTALANDS LÄN</t>
        </is>
      </c>
      <c r="G329" t="inlineStr">
        <is>
          <t>UDDEVALLA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46303</v>
      </c>
      <c r="E330" s="1" t="n">
        <v>46309</v>
      </c>
      <c r="F330" t="inlineStr">
        <is>
          <t>VÄSTRA GÖTALANDS LÄN</t>
        </is>
      </c>
      <c r="G330" t="inlineStr">
        <is>
          <t>UDDEVALLA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46303</v>
      </c>
      <c r="E331" s="1" t="n">
        <v>46309</v>
      </c>
      <c r="F331" t="inlineStr">
        <is>
          <t>VÄSTRA GÖTALANDS LÄN</t>
        </is>
      </c>
      <c r="G331" t="inlineStr">
        <is>
          <t>UDDEVALLA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46266</v>
      </c>
      <c r="E332" s="1" t="n">
        <v>46309</v>
      </c>
      <c r="F332" t="inlineStr">
        <is>
          <t>VÄSTRA GÖTALANDS LÄN</t>
        </is>
      </c>
      <c r="G332" t="inlineStr">
        <is>
          <t>UDDEVALLA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46309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46309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46309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2026-10-14T02:00:28Z</dcterms:created>
  <dcterms:modified xmlns:dcterms="http://purl.org/dc/terms/" xmlns:xsi="http://www.w3.org/2001/XMLSchema-instance" xsi:type="dcterms:W3CDTF">2026-10-14T02:00:29Z</dcterms:modified>
</cp:coreProperties>
</file>