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46088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46088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62048-2024</t>
        </is>
      </c>
      <c r="B4" s="1" t="n">
        <v>45656.36435185185</v>
      </c>
      <c r="C4" s="1" t="n">
        <v>46088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3.8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Klippfrullania
Stor revmossa
Västlig hakmossa
Lopplummer (aggregat)
Revlummer</t>
        </is>
      </c>
      <c r="S4">
        <f>HYPERLINK("https://klasma.github.io/Logging_1485/artfynd/A 62048-2024 artfynd.xlsx", "A 62048-2024")</f>
        <v/>
      </c>
      <c r="T4">
        <f>HYPERLINK("https://klasma.github.io/Logging_1485/kartor/A 62048-2024 karta.png", "A 62048-2024")</f>
        <v/>
      </c>
      <c r="V4">
        <f>HYPERLINK("https://klasma.github.io/Logging_1485/klagomål/A 62048-2024 FSC-klagomål.docx", "A 62048-2024")</f>
        <v/>
      </c>
      <c r="W4">
        <f>HYPERLINK("https://klasma.github.io/Logging_1485/klagomålsmail/A 62048-2024 FSC-klagomål mail.docx", "A 62048-2024")</f>
        <v/>
      </c>
      <c r="X4">
        <f>HYPERLINK("https://klasma.github.io/Logging_1485/tillsyn/A 62048-2024 tillsynsbegäran.docx", "A 62048-2024")</f>
        <v/>
      </c>
      <c r="Y4">
        <f>HYPERLINK("https://klasma.github.io/Logging_1485/tillsynsmail/A 62048-2024 tillsynsbegäran mail.docx", "A 62048-2024")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46088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Druvfingersvampar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46088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46088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46088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46088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46088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46088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46088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46088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46088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46088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46088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46088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969-2024</t>
        </is>
      </c>
      <c r="B18" s="1" t="n">
        <v>45301</v>
      </c>
      <c r="C18" s="1" t="n">
        <v>46088</v>
      </c>
      <c r="D18" t="inlineStr">
        <is>
          <t>VÄSTRA GÖTALANDS LÄN</t>
        </is>
      </c>
      <c r="E18" t="inlineStr">
        <is>
          <t>UDDEVALLA</t>
        </is>
      </c>
      <c r="G18" t="n">
        <v>17.4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Revlummer</t>
        </is>
      </c>
      <c r="S18">
        <f>HYPERLINK("https://klasma.github.io/Logging_1485/artfynd/A 969-2024 artfynd.xlsx", "A 969-2024")</f>
        <v/>
      </c>
      <c r="T18">
        <f>HYPERLINK("https://klasma.github.io/Logging_1485/kartor/A 969-2024 karta.png", "A 969-2024")</f>
        <v/>
      </c>
      <c r="V18">
        <f>HYPERLINK("https://klasma.github.io/Logging_1485/klagomål/A 969-2024 FSC-klagomål.docx", "A 969-2024")</f>
        <v/>
      </c>
      <c r="W18">
        <f>HYPERLINK("https://klasma.github.io/Logging_1485/klagomålsmail/A 969-2024 FSC-klagomål mail.docx", "A 969-2024")</f>
        <v/>
      </c>
      <c r="X18">
        <f>HYPERLINK("https://klasma.github.io/Logging_1485/tillsyn/A 969-2024 tillsynsbegäran.docx", "A 969-2024")</f>
        <v/>
      </c>
      <c r="Y18">
        <f>HYPERLINK("https://klasma.github.io/Logging_1485/tillsynsmail/A 969-2024 tillsynsbegäran mail.docx", "A 969-2024")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46088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46088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14063-2025</t>
        </is>
      </c>
      <c r="B21" s="1" t="n">
        <v>45740.41236111111</v>
      </c>
      <c r="C21" s="1" t="n">
        <v>46088</v>
      </c>
      <c r="D21" t="inlineStr">
        <is>
          <t>VÄSTRA GÖTALANDS LÄN</t>
        </is>
      </c>
      <c r="E21" t="inlineStr">
        <is>
          <t>UDDEVALLA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Mattlummer</t>
        </is>
      </c>
      <c r="S21">
        <f>HYPERLINK("https://klasma.github.io/Logging_1485/artfynd/A 14063-2025 artfynd.xlsx", "A 14063-2025")</f>
        <v/>
      </c>
      <c r="T21">
        <f>HYPERLINK("https://klasma.github.io/Logging_1485/kartor/A 14063-2025 karta.png", "A 14063-2025")</f>
        <v/>
      </c>
      <c r="V21">
        <f>HYPERLINK("https://klasma.github.io/Logging_1485/klagomål/A 14063-2025 FSC-klagomål.docx", "A 14063-2025")</f>
        <v/>
      </c>
      <c r="W21">
        <f>HYPERLINK("https://klasma.github.io/Logging_1485/klagomålsmail/A 14063-2025 FSC-klagomål mail.docx", "A 14063-2025")</f>
        <v/>
      </c>
      <c r="X21">
        <f>HYPERLINK("https://klasma.github.io/Logging_1485/tillsyn/A 14063-2025 tillsynsbegäran.docx", "A 14063-2025")</f>
        <v/>
      </c>
      <c r="Y21">
        <f>HYPERLINK("https://klasma.github.io/Logging_1485/tillsynsmail/A 14063-2025 tillsynsbegäran mail.docx", "A 14063-2025")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46088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46088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46088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46088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7725-2024</t>
        </is>
      </c>
      <c r="B26" s="1" t="n">
        <v>45349</v>
      </c>
      <c r="C26" s="1" t="n">
        <v>46088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HYPERLINK("https://klasma.github.io/Logging_1485/artfynd/A 7725-2024 artfynd.xlsx", "A 7725-2024")</f>
        <v/>
      </c>
      <c r="T26">
        <f>HYPERLINK("https://klasma.github.io/Logging_1485/kartor/A 7725-2024 karta.png", "A 7725-2024")</f>
        <v/>
      </c>
      <c r="V26">
        <f>HYPERLINK("https://klasma.github.io/Logging_1485/klagomål/A 7725-2024 FSC-klagomål.docx", "A 7725-2024")</f>
        <v/>
      </c>
      <c r="W26">
        <f>HYPERLINK("https://klasma.github.io/Logging_1485/klagomålsmail/A 7725-2024 FSC-klagomål mail.docx", "A 7725-2024")</f>
        <v/>
      </c>
      <c r="X26">
        <f>HYPERLINK("https://klasma.github.io/Logging_1485/tillsyn/A 7725-2024 tillsynsbegäran.docx", "A 7725-2024")</f>
        <v/>
      </c>
      <c r="Y26">
        <f>HYPERLINK("https://klasma.github.io/Logging_1485/tillsynsmail/A 7725-2024 tillsynsbegäran mail.docx", "A 7725-2024")</f>
        <v/>
      </c>
    </row>
    <row r="27" ht="15" customHeight="1">
      <c r="A27" t="inlineStr">
        <is>
          <t>A 22603-2023</t>
        </is>
      </c>
      <c r="B27" s="1" t="n">
        <v>45071</v>
      </c>
      <c r="C27" s="1" t="n">
        <v>46088</v>
      </c>
      <c r="D27" t="inlineStr">
        <is>
          <t>VÄSTRA GÖTALANDS LÄN</t>
        </is>
      </c>
      <c r="E27" t="inlineStr">
        <is>
          <t>UDDEVALLA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Gröngöling</t>
        </is>
      </c>
      <c r="S27">
        <f>HYPERLINK("https://klasma.github.io/Logging_1485/artfynd/A 22603-2023 artfynd.xlsx", "A 22603-2023")</f>
        <v/>
      </c>
      <c r="T27">
        <f>HYPERLINK("https://klasma.github.io/Logging_1485/kartor/A 22603-2023 karta.png", "A 22603-2023")</f>
        <v/>
      </c>
      <c r="V27">
        <f>HYPERLINK("https://klasma.github.io/Logging_1485/klagomål/A 22603-2023 FSC-klagomål.docx", "A 22603-2023")</f>
        <v/>
      </c>
      <c r="W27">
        <f>HYPERLINK("https://klasma.github.io/Logging_1485/klagomålsmail/A 22603-2023 FSC-klagomål mail.docx", "A 22603-2023")</f>
        <v/>
      </c>
      <c r="X27">
        <f>HYPERLINK("https://klasma.github.io/Logging_1485/tillsyn/A 22603-2023 tillsynsbegäran.docx", "A 22603-2023")</f>
        <v/>
      </c>
      <c r="Y27">
        <f>HYPERLINK("https://klasma.github.io/Logging_1485/tillsynsmail/A 22603-2023 tillsynsbegäran mail.docx", "A 22603-2023")</f>
        <v/>
      </c>
      <c r="Z27">
        <f>HYPERLINK("https://klasma.github.io/Logging_1485/fåglar/A 22603-2023 prioriterade fågelarter.docx", "A 22603-2023")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46088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10865-2022</t>
        </is>
      </c>
      <c r="B29" s="1" t="n">
        <v>44627.64710648148</v>
      </c>
      <c r="C29" s="1" t="n">
        <v>46088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46088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55288-2023</t>
        </is>
      </c>
      <c r="B31" s="1" t="n">
        <v>45237.75653935185</v>
      </c>
      <c r="C31" s="1" t="n">
        <v>46088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266-2025</t>
        </is>
      </c>
      <c r="B32" s="1" t="n">
        <v>45653</v>
      </c>
      <c r="C32" s="1" t="n">
        <v>46088</v>
      </c>
      <c r="D32" t="inlineStr">
        <is>
          <t>VÄSTRA GÖTALANDS LÄN</t>
        </is>
      </c>
      <c r="E32" t="inlineStr">
        <is>
          <t>UDDEVALLA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HYPERLINK("https://klasma.github.io/Logging_1485/artfynd/A 266-2025 artfynd.xlsx", "A 266-2025")</f>
        <v/>
      </c>
      <c r="T32">
        <f>HYPERLINK("https://klasma.github.io/Logging_1485/kartor/A 266-2025 karta.png", "A 266-2025")</f>
        <v/>
      </c>
      <c r="V32">
        <f>HYPERLINK("https://klasma.github.io/Logging_1485/klagomål/A 266-2025 FSC-klagomål.docx", "A 266-2025")</f>
        <v/>
      </c>
      <c r="W32">
        <f>HYPERLINK("https://klasma.github.io/Logging_1485/klagomålsmail/A 266-2025 FSC-klagomål mail.docx", "A 266-2025")</f>
        <v/>
      </c>
      <c r="X32">
        <f>HYPERLINK("https://klasma.github.io/Logging_1485/tillsyn/A 266-2025 tillsynsbegäran.docx", "A 266-2025")</f>
        <v/>
      </c>
      <c r="Y32">
        <f>HYPERLINK("https://klasma.github.io/Logging_1485/tillsynsmail/A 266-2025 tillsynsbegäran mail.docx", "A 266-2025")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46088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65109-2023</t>
        </is>
      </c>
      <c r="B34" s="1" t="n">
        <v>45288</v>
      </c>
      <c r="C34" s="1" t="n">
        <v>46088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HYPERLINK("https://klasma.github.io/Logging_1485/artfynd/A 65109-2023 artfynd.xlsx", "A 65109-2023")</f>
        <v/>
      </c>
      <c r="T34">
        <f>HYPERLINK("https://klasma.github.io/Logging_1485/kartor/A 65109-2023 karta.png", "A 65109-2023")</f>
        <v/>
      </c>
      <c r="V34">
        <f>HYPERLINK("https://klasma.github.io/Logging_1485/klagomål/A 65109-2023 FSC-klagomål.docx", "A 65109-2023")</f>
        <v/>
      </c>
      <c r="W34">
        <f>HYPERLINK("https://klasma.github.io/Logging_1485/klagomålsmail/A 65109-2023 FSC-klagomål mail.docx", "A 65109-2023")</f>
        <v/>
      </c>
      <c r="X34">
        <f>HYPERLINK("https://klasma.github.io/Logging_1485/tillsyn/A 65109-2023 tillsynsbegäran.docx", "A 65109-2023")</f>
        <v/>
      </c>
      <c r="Y34">
        <f>HYPERLINK("https://klasma.github.io/Logging_1485/tillsynsmail/A 65109-2023 tillsynsbegäran mail.docx", "A 65109-2023")</f>
        <v/>
      </c>
    </row>
    <row r="35" ht="15" customHeight="1">
      <c r="A35" t="inlineStr">
        <is>
          <t>A 58626-2024</t>
        </is>
      </c>
      <c r="B35" s="1" t="n">
        <v>45635</v>
      </c>
      <c r="C35" s="1" t="n">
        <v>46088</v>
      </c>
      <c r="D35" t="inlineStr">
        <is>
          <t>VÄSTRA GÖTALANDS LÄN</t>
        </is>
      </c>
      <c r="E35" t="inlineStr">
        <is>
          <t>UDDEVALLA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Lundvårlök</t>
        </is>
      </c>
      <c r="S35">
        <f>HYPERLINK("https://klasma.github.io/Logging_1485/artfynd/A 58626-2024 artfynd.xlsx", "A 58626-2024")</f>
        <v/>
      </c>
      <c r="T35">
        <f>HYPERLINK("https://klasma.github.io/Logging_1485/kartor/A 58626-2024 karta.png", "A 58626-2024")</f>
        <v/>
      </c>
      <c r="V35">
        <f>HYPERLINK("https://klasma.github.io/Logging_1485/klagomål/A 58626-2024 FSC-klagomål.docx", "A 58626-2024")</f>
        <v/>
      </c>
      <c r="W35">
        <f>HYPERLINK("https://klasma.github.io/Logging_1485/klagomålsmail/A 58626-2024 FSC-klagomål mail.docx", "A 58626-2024")</f>
        <v/>
      </c>
      <c r="X35">
        <f>HYPERLINK("https://klasma.github.io/Logging_1485/tillsyn/A 58626-2024 tillsynsbegäran.docx", "A 58626-2024")</f>
        <v/>
      </c>
      <c r="Y35">
        <f>HYPERLINK("https://klasma.github.io/Logging_1485/tillsynsmail/A 58626-2024 tillsynsbegäran mail.docx", "A 58626-2024")</f>
        <v/>
      </c>
    </row>
    <row r="36" ht="15" customHeight="1">
      <c r="A36" t="inlineStr">
        <is>
          <t>A 2429-2026</t>
        </is>
      </c>
      <c r="B36" s="1" t="n">
        <v>46036.80538194445</v>
      </c>
      <c r="C36" s="1" t="n">
        <v>46088</v>
      </c>
      <c r="D36" t="inlineStr">
        <is>
          <t>VÄSTRA GÖTALANDS LÄN</t>
        </is>
      </c>
      <c r="E36" t="inlineStr">
        <is>
          <t>UDDEVALLA</t>
        </is>
      </c>
      <c r="G36" t="n">
        <v>7.6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HYPERLINK("https://klasma.github.io/Logging_1485/artfynd/A 2429-2026 artfynd.xlsx", "A 2429-2026")</f>
        <v/>
      </c>
      <c r="T36">
        <f>HYPERLINK("https://klasma.github.io/Logging_1485/kartor/A 2429-2026 karta.png", "A 2429-2026")</f>
        <v/>
      </c>
      <c r="V36">
        <f>HYPERLINK("https://klasma.github.io/Logging_1485/klagomål/A 2429-2026 FSC-klagomål.docx", "A 2429-2026")</f>
        <v/>
      </c>
      <c r="W36">
        <f>HYPERLINK("https://klasma.github.io/Logging_1485/klagomålsmail/A 2429-2026 FSC-klagomål mail.docx", "A 2429-2026")</f>
        <v/>
      </c>
      <c r="X36">
        <f>HYPERLINK("https://klasma.github.io/Logging_1485/tillsyn/A 2429-2026 tillsynsbegäran.docx", "A 2429-2026")</f>
        <v/>
      </c>
      <c r="Y36">
        <f>HYPERLINK("https://klasma.github.io/Logging_1485/tillsynsmail/A 2429-2026 tillsynsbegäran mail.docx", "A 2429-2026")</f>
        <v/>
      </c>
    </row>
    <row r="37" ht="15" customHeight="1">
      <c r="A37" t="inlineStr">
        <is>
          <t>A 16347-2025</t>
        </is>
      </c>
      <c r="B37" s="1" t="n">
        <v>45751.37494212963</v>
      </c>
      <c r="C37" s="1" t="n">
        <v>46088</v>
      </c>
      <c r="D37" t="inlineStr">
        <is>
          <t>VÄSTRA GÖTALANDS LÄN</t>
        </is>
      </c>
      <c r="E37" t="inlineStr">
        <is>
          <t>UDDEVALLA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Klibbtickgnagare</t>
        </is>
      </c>
      <c r="S37">
        <f>HYPERLINK("https://klasma.github.io/Logging_1485/artfynd/A 16347-2025 artfynd.xlsx", "A 16347-2025")</f>
        <v/>
      </c>
      <c r="T37">
        <f>HYPERLINK("https://klasma.github.io/Logging_1485/kartor/A 16347-2025 karta.png", "A 16347-2025")</f>
        <v/>
      </c>
      <c r="V37">
        <f>HYPERLINK("https://klasma.github.io/Logging_1485/klagomål/A 16347-2025 FSC-klagomål.docx", "A 16347-2025")</f>
        <v/>
      </c>
      <c r="W37">
        <f>HYPERLINK("https://klasma.github.io/Logging_1485/klagomålsmail/A 16347-2025 FSC-klagomål mail.docx", "A 16347-2025")</f>
        <v/>
      </c>
      <c r="X37">
        <f>HYPERLINK("https://klasma.github.io/Logging_1485/tillsyn/A 16347-2025 tillsynsbegäran.docx", "A 16347-2025")</f>
        <v/>
      </c>
      <c r="Y37">
        <f>HYPERLINK("https://klasma.github.io/Logging_1485/tillsynsmail/A 16347-2025 tillsynsbegäran mail.docx", "A 16347-2025")</f>
        <v/>
      </c>
    </row>
    <row r="38" ht="15" customHeight="1">
      <c r="A38" t="inlineStr">
        <is>
          <t>A 2824-2025</t>
        </is>
      </c>
      <c r="B38" s="1" t="n">
        <v>45677</v>
      </c>
      <c r="C38" s="1" t="n">
        <v>46088</v>
      </c>
      <c r="D38" t="inlineStr">
        <is>
          <t>VÄSTRA GÖTALANDS LÄN</t>
        </is>
      </c>
      <c r="E38" t="inlineStr">
        <is>
          <t>UDDEVALLA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HYPERLINK("https://klasma.github.io/Logging_1485/artfynd/A 2824-2025 artfynd.xlsx", "A 2824-2025")</f>
        <v/>
      </c>
      <c r="T38">
        <f>HYPERLINK("https://klasma.github.io/Logging_1485/kartor/A 2824-2025 karta.png", "A 2824-2025")</f>
        <v/>
      </c>
      <c r="V38">
        <f>HYPERLINK("https://klasma.github.io/Logging_1485/klagomål/A 2824-2025 FSC-klagomål.docx", "A 2824-2025")</f>
        <v/>
      </c>
      <c r="W38">
        <f>HYPERLINK("https://klasma.github.io/Logging_1485/klagomålsmail/A 2824-2025 FSC-klagomål mail.docx", "A 2824-2025")</f>
        <v/>
      </c>
      <c r="X38">
        <f>HYPERLINK("https://klasma.github.io/Logging_1485/tillsyn/A 2824-2025 tillsynsbegäran.docx", "A 2824-2025")</f>
        <v/>
      </c>
      <c r="Y38">
        <f>HYPERLINK("https://klasma.github.io/Logging_1485/tillsynsmail/A 2824-2025 tillsynsbegäran mail.docx", "A 2824-2025")</f>
        <v/>
      </c>
    </row>
    <row r="39" ht="15" customHeight="1">
      <c r="A39" t="inlineStr">
        <is>
          <t>A 7770-2024</t>
        </is>
      </c>
      <c r="B39" s="1" t="n">
        <v>45348</v>
      </c>
      <c r="C39" s="1" t="n">
        <v>46088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Kyrkan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7770-2024 artfynd.xlsx", "A 7770-2024")</f>
        <v/>
      </c>
      <c r="T39">
        <f>HYPERLINK("https://klasma.github.io/Logging_1485/kartor/A 7770-2024 karta.png", "A 7770-2024")</f>
        <v/>
      </c>
      <c r="V39">
        <f>HYPERLINK("https://klasma.github.io/Logging_1485/klagomål/A 7770-2024 FSC-klagomål.docx", "A 7770-2024")</f>
        <v/>
      </c>
      <c r="W39">
        <f>HYPERLINK("https://klasma.github.io/Logging_1485/klagomålsmail/A 7770-2024 FSC-klagomål mail.docx", "A 7770-2024")</f>
        <v/>
      </c>
      <c r="X39">
        <f>HYPERLINK("https://klasma.github.io/Logging_1485/tillsyn/A 7770-2024 tillsynsbegäran.docx", "A 7770-2024")</f>
        <v/>
      </c>
      <c r="Y39">
        <f>HYPERLINK("https://klasma.github.io/Logging_1485/tillsynsmail/A 7770-2024 tillsynsbegäran mail.docx", "A 7770-2024")</f>
        <v/>
      </c>
    </row>
    <row r="40" ht="15" customHeight="1">
      <c r="A40" t="inlineStr">
        <is>
          <t>A 3607-2022</t>
        </is>
      </c>
      <c r="B40" s="1" t="n">
        <v>44586.38584490741</v>
      </c>
      <c r="C40" s="1" t="n">
        <v>46088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46088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46088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46088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46088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20911-2021</t>
        </is>
      </c>
      <c r="B45" s="1" t="n">
        <v>44319.44815972223</v>
      </c>
      <c r="C45" s="1" t="n">
        <v>46088</v>
      </c>
      <c r="D45" t="inlineStr">
        <is>
          <t>VÄSTRA GÖTALANDS LÄN</t>
        </is>
      </c>
      <c r="E45" t="inlineStr">
        <is>
          <t>UDDEVALLA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46088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46088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46088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46088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46088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46088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46088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46088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46088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46088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46088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46088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46088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46088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46088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46088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46088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46088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44614.63824074074</v>
      </c>
      <c r="C64" s="1" t="n">
        <v>46088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44462.73247685185</v>
      </c>
      <c r="C65" s="1" t="n">
        <v>46088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46088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46088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46088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27497-2021</t>
        </is>
      </c>
      <c r="B69" s="1" t="n">
        <v>44351.63715277778</v>
      </c>
      <c r="C69" s="1" t="n">
        <v>46088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39287-2021</t>
        </is>
      </c>
      <c r="B70" s="1" t="n">
        <v>44413.64280092593</v>
      </c>
      <c r="C70" s="1" t="n">
        <v>46088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29655-2021</t>
        </is>
      </c>
      <c r="B71" s="1" t="n">
        <v>44361.51533564815</v>
      </c>
      <c r="C71" s="1" t="n">
        <v>46088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50879-2024</t>
        </is>
      </c>
      <c r="B72" s="1" t="n">
        <v>45602.65221064815</v>
      </c>
      <c r="C72" s="1" t="n">
        <v>46088</v>
      </c>
      <c r="D72" t="inlineStr">
        <is>
          <t>VÄSTRA GÖTALANDS LÄN</t>
        </is>
      </c>
      <c r="E72" t="inlineStr">
        <is>
          <t>UDDEVALLA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58385-2024</t>
        </is>
      </c>
      <c r="B73" s="1" t="n">
        <v>45633.38069444444</v>
      </c>
      <c r="C73" s="1" t="n">
        <v>46088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49780-2023</t>
        </is>
      </c>
      <c r="B74" s="1" t="n">
        <v>45212</v>
      </c>
      <c r="C74" s="1" t="n">
        <v>46088</v>
      </c>
      <c r="D74" t="inlineStr">
        <is>
          <t>VÄSTRA GÖTALANDS LÄN</t>
        </is>
      </c>
      <c r="E74" t="inlineStr">
        <is>
          <t>UDDEVALLA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64102-2023</t>
        </is>
      </c>
      <c r="B75" s="1" t="n">
        <v>45279</v>
      </c>
      <c r="C75" s="1" t="n">
        <v>46088</v>
      </c>
      <c r="D75" t="inlineStr">
        <is>
          <t>VÄSTRA GÖTALANDS LÄN</t>
        </is>
      </c>
      <c r="E75" t="inlineStr">
        <is>
          <t>UDDEVALLA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2026-2025</t>
        </is>
      </c>
      <c r="B76" s="1" t="n">
        <v>45672.48296296296</v>
      </c>
      <c r="C76" s="1" t="n">
        <v>46088</v>
      </c>
      <c r="D76" t="inlineStr">
        <is>
          <t>VÄSTRA GÖTALANDS LÄN</t>
        </is>
      </c>
      <c r="E76" t="inlineStr">
        <is>
          <t>UDDEVALLA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40297-2024</t>
        </is>
      </c>
      <c r="B77" s="1" t="n">
        <v>45554</v>
      </c>
      <c r="C77" s="1" t="n">
        <v>46088</v>
      </c>
      <c r="D77" t="inlineStr">
        <is>
          <t>VÄSTRA GÖTALANDS LÄN</t>
        </is>
      </c>
      <c r="E77" t="inlineStr">
        <is>
          <t>UDDEVALLA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59474-2022</t>
        </is>
      </c>
      <c r="B78" s="1" t="n">
        <v>44900</v>
      </c>
      <c r="C78" s="1" t="n">
        <v>46088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44269-2022</t>
        </is>
      </c>
      <c r="B79" s="1" t="n">
        <v>44839.57752314815</v>
      </c>
      <c r="C79" s="1" t="n">
        <v>46088</v>
      </c>
      <c r="D79" t="inlineStr">
        <is>
          <t>VÄSTRA GÖTALANDS LÄN</t>
        </is>
      </c>
      <c r="E79" t="inlineStr">
        <is>
          <t>UDDEVALLA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26916-2023</t>
        </is>
      </c>
      <c r="B80" s="1" t="n">
        <v>45093</v>
      </c>
      <c r="C80" s="1" t="n">
        <v>46088</v>
      </c>
      <c r="D80" t="inlineStr">
        <is>
          <t>VÄSTRA GÖTALANDS LÄN</t>
        </is>
      </c>
      <c r="E80" t="inlineStr">
        <is>
          <t>UDDEVALLA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4037-2025</t>
        </is>
      </c>
      <c r="B81" s="1" t="n">
        <v>45684.59990740741</v>
      </c>
      <c r="C81" s="1" t="n">
        <v>46088</v>
      </c>
      <c r="D81" t="inlineStr">
        <is>
          <t>VÄSTRA GÖTALANDS LÄN</t>
        </is>
      </c>
      <c r="E81" t="inlineStr">
        <is>
          <t>UDDEVALLA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43271-2023</t>
        </is>
      </c>
      <c r="B82" s="1" t="n">
        <v>45183</v>
      </c>
      <c r="C82" s="1" t="n">
        <v>46088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45933-2024</t>
        </is>
      </c>
      <c r="B83" s="1" t="n">
        <v>45580.50152777778</v>
      </c>
      <c r="C83" s="1" t="n">
        <v>46088</v>
      </c>
      <c r="D83" t="inlineStr">
        <is>
          <t>VÄSTRA GÖTALANDS LÄN</t>
        </is>
      </c>
      <c r="E83" t="inlineStr">
        <is>
          <t>UDDEVALLA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5557-2023</t>
        </is>
      </c>
      <c r="B84" s="1" t="n">
        <v>44960</v>
      </c>
      <c r="C84" s="1" t="n">
        <v>46088</v>
      </c>
      <c r="D84" t="inlineStr">
        <is>
          <t>VÄSTRA GÖTALANDS LÄN</t>
        </is>
      </c>
      <c r="E84" t="inlineStr">
        <is>
          <t>UDDEVALLA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38389-2023</t>
        </is>
      </c>
      <c r="B85" s="1" t="n">
        <v>45162</v>
      </c>
      <c r="C85" s="1" t="n">
        <v>46088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25519-2023</t>
        </is>
      </c>
      <c r="B86" s="1" t="n">
        <v>45089.5193287037</v>
      </c>
      <c r="C86" s="1" t="n">
        <v>46088</v>
      </c>
      <c r="D86" t="inlineStr">
        <is>
          <t>VÄSTRA GÖTALANDS LÄN</t>
        </is>
      </c>
      <c r="E86" t="inlineStr">
        <is>
          <t>UDDEVALLA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43426-2024</t>
        </is>
      </c>
      <c r="B87" s="1" t="n">
        <v>45568.63729166667</v>
      </c>
      <c r="C87" s="1" t="n">
        <v>46088</v>
      </c>
      <c r="D87" t="inlineStr">
        <is>
          <t>VÄSTRA GÖTALANDS LÄN</t>
        </is>
      </c>
      <c r="E87" t="inlineStr">
        <is>
          <t>UDDEVALLA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10333-2024</t>
        </is>
      </c>
      <c r="B88" s="1" t="n">
        <v>45365.57087962963</v>
      </c>
      <c r="C88" s="1" t="n">
        <v>46088</v>
      </c>
      <c r="D88" t="inlineStr">
        <is>
          <t>VÄSTRA GÖTALANDS LÄN</t>
        </is>
      </c>
      <c r="E88" t="inlineStr">
        <is>
          <t>UDDEVALLA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1346-2022</t>
        </is>
      </c>
      <c r="B89" s="1" t="n">
        <v>44572</v>
      </c>
      <c r="C89" s="1" t="n">
        <v>46088</v>
      </c>
      <c r="D89" t="inlineStr">
        <is>
          <t>VÄSTRA GÖTALANDS LÄN</t>
        </is>
      </c>
      <c r="E89" t="inlineStr">
        <is>
          <t>UDDEVALLA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13715-2025</t>
        </is>
      </c>
      <c r="B90" s="1" t="n">
        <v>45737.35607638889</v>
      </c>
      <c r="C90" s="1" t="n">
        <v>46088</v>
      </c>
      <c r="D90" t="inlineStr">
        <is>
          <t>VÄSTRA GÖTALANDS LÄN</t>
        </is>
      </c>
      <c r="E90" t="inlineStr">
        <is>
          <t>UDDEVALLA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11770-2022</t>
        </is>
      </c>
      <c r="B91" s="1" t="n">
        <v>44634</v>
      </c>
      <c r="C91" s="1" t="n">
        <v>46088</v>
      </c>
      <c r="D91" t="inlineStr">
        <is>
          <t>VÄSTRA GÖTALANDS LÄN</t>
        </is>
      </c>
      <c r="E91" t="inlineStr">
        <is>
          <t>UDDEVALLA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495-2023</t>
        </is>
      </c>
      <c r="B92" s="1" t="n">
        <v>44930.32969907407</v>
      </c>
      <c r="C92" s="1" t="n">
        <v>46088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Kommuner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2099-2024</t>
        </is>
      </c>
      <c r="B93" s="1" t="n">
        <v>45309.45153935185</v>
      </c>
      <c r="C93" s="1" t="n">
        <v>46088</v>
      </c>
      <c r="D93" t="inlineStr">
        <is>
          <t>VÄSTRA GÖTALANDS LÄN</t>
        </is>
      </c>
      <c r="E93" t="inlineStr">
        <is>
          <t>UDDEVALLA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39431-2024</t>
        </is>
      </c>
      <c r="B94" s="1" t="n">
        <v>45551.59837962963</v>
      </c>
      <c r="C94" s="1" t="n">
        <v>46088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70491-2021</t>
        </is>
      </c>
      <c r="B95" s="1" t="n">
        <v>44536</v>
      </c>
      <c r="C95" s="1" t="n">
        <v>46088</v>
      </c>
      <c r="D95" t="inlineStr">
        <is>
          <t>VÄSTRA GÖTALANDS LÄN</t>
        </is>
      </c>
      <c r="E95" t="inlineStr">
        <is>
          <t>UDDEVALLA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49718-2024</t>
        </is>
      </c>
      <c r="B96" s="1" t="n">
        <v>45596.72018518519</v>
      </c>
      <c r="C96" s="1" t="n">
        <v>46088</v>
      </c>
      <c r="D96" t="inlineStr">
        <is>
          <t>VÄSTRA GÖTALANDS LÄN</t>
        </is>
      </c>
      <c r="E96" t="inlineStr">
        <is>
          <t>UDDEVALLA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13710-2025</t>
        </is>
      </c>
      <c r="B97" s="1" t="n">
        <v>45737.34603009259</v>
      </c>
      <c r="C97" s="1" t="n">
        <v>46088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17027-2025</t>
        </is>
      </c>
      <c r="B98" s="1" t="n">
        <v>45754</v>
      </c>
      <c r="C98" s="1" t="n">
        <v>46088</v>
      </c>
      <c r="D98" t="inlineStr">
        <is>
          <t>VÄSTRA GÖTALANDS LÄN</t>
        </is>
      </c>
      <c r="E98" t="inlineStr">
        <is>
          <t>UDDEVALLA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39084-2022</t>
        </is>
      </c>
      <c r="B99" s="1" t="n">
        <v>44817.40947916666</v>
      </c>
      <c r="C99" s="1" t="n">
        <v>46088</v>
      </c>
      <c r="D99" t="inlineStr">
        <is>
          <t>VÄSTRA GÖTALANDS LÄN</t>
        </is>
      </c>
      <c r="E99" t="inlineStr">
        <is>
          <t>UDDEVALLA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39121-2024</t>
        </is>
      </c>
      <c r="B100" s="1" t="n">
        <v>45548.5928587963</v>
      </c>
      <c r="C100" s="1" t="n">
        <v>46088</v>
      </c>
      <c r="D100" t="inlineStr">
        <is>
          <t>VÄSTRA GÖTALANDS LÄN</t>
        </is>
      </c>
      <c r="E100" t="inlineStr">
        <is>
          <t>UDDEVALLA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52889-2023</t>
        </is>
      </c>
      <c r="B101" s="1" t="n">
        <v>45226</v>
      </c>
      <c r="C101" s="1" t="n">
        <v>46088</v>
      </c>
      <c r="D101" t="inlineStr">
        <is>
          <t>VÄSTRA GÖTALANDS LÄN</t>
        </is>
      </c>
      <c r="E101" t="inlineStr">
        <is>
          <t>UDDEVALLA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36562-2024</t>
        </is>
      </c>
      <c r="B102" s="1" t="n">
        <v>45537.4814699074</v>
      </c>
      <c r="C102" s="1" t="n">
        <v>46088</v>
      </c>
      <c r="D102" t="inlineStr">
        <is>
          <t>VÄSTRA GÖTALANDS LÄN</t>
        </is>
      </c>
      <c r="E102" t="inlineStr">
        <is>
          <t>UDDEVALLA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23887-2024</t>
        </is>
      </c>
      <c r="B103" s="1" t="n">
        <v>45455.6478587963</v>
      </c>
      <c r="C103" s="1" t="n">
        <v>46088</v>
      </c>
      <c r="D103" t="inlineStr">
        <is>
          <t>VÄSTRA GÖTALANDS LÄN</t>
        </is>
      </c>
      <c r="E103" t="inlineStr">
        <is>
          <t>UDDEVALLA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41156-2024</t>
        </is>
      </c>
      <c r="B104" s="1" t="n">
        <v>45559.47763888889</v>
      </c>
      <c r="C104" s="1" t="n">
        <v>46088</v>
      </c>
      <c r="D104" t="inlineStr">
        <is>
          <t>VÄSTRA GÖTALANDS LÄN</t>
        </is>
      </c>
      <c r="E104" t="inlineStr">
        <is>
          <t>UDDEVALLA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73437-2021</t>
        </is>
      </c>
      <c r="B105" s="1" t="n">
        <v>44551</v>
      </c>
      <c r="C105" s="1" t="n">
        <v>46088</v>
      </c>
      <c r="D105" t="inlineStr">
        <is>
          <t>VÄSTRA GÖTALANDS LÄN</t>
        </is>
      </c>
      <c r="E105" t="inlineStr">
        <is>
          <t>UDDEVALLA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4639-2022</t>
        </is>
      </c>
      <c r="B106" s="1" t="n">
        <v>44592</v>
      </c>
      <c r="C106" s="1" t="n">
        <v>46088</v>
      </c>
      <c r="D106" t="inlineStr">
        <is>
          <t>VÄSTRA GÖTALANDS LÄN</t>
        </is>
      </c>
      <c r="E106" t="inlineStr">
        <is>
          <t>UDDEVALLA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7870-2026</t>
        </is>
      </c>
      <c r="B107" s="1" t="n">
        <v>46062.80136574074</v>
      </c>
      <c r="C107" s="1" t="n">
        <v>46088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25002-2025</t>
        </is>
      </c>
      <c r="B108" s="1" t="n">
        <v>45799.62091435185</v>
      </c>
      <c r="C108" s="1" t="n">
        <v>46088</v>
      </c>
      <c r="D108" t="inlineStr">
        <is>
          <t>VÄSTRA GÖTALANDS LÄN</t>
        </is>
      </c>
      <c r="E108" t="inlineStr">
        <is>
          <t>UDDEVALLA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24899-2025</t>
        </is>
      </c>
      <c r="B109" s="1" t="n">
        <v>45799.5200462963</v>
      </c>
      <c r="C109" s="1" t="n">
        <v>46088</v>
      </c>
      <c r="D109" t="inlineStr">
        <is>
          <t>VÄSTRA GÖTALANDS LÄN</t>
        </is>
      </c>
      <c r="E109" t="inlineStr">
        <is>
          <t>UDDEVALLA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7868-2026</t>
        </is>
      </c>
      <c r="B110" s="1" t="n">
        <v>46062.75895833333</v>
      </c>
      <c r="C110" s="1" t="n">
        <v>46088</v>
      </c>
      <c r="D110" t="inlineStr">
        <is>
          <t>VÄSTRA GÖTALANDS LÄN</t>
        </is>
      </c>
      <c r="E110" t="inlineStr">
        <is>
          <t>UDDEVALLA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6364-2025</t>
        </is>
      </c>
      <c r="B111" s="1" t="n">
        <v>45699.37768518519</v>
      </c>
      <c r="C111" s="1" t="n">
        <v>46088</v>
      </c>
      <c r="D111" t="inlineStr">
        <is>
          <t>VÄSTRA GÖTALANDS LÄN</t>
        </is>
      </c>
      <c r="E111" t="inlineStr">
        <is>
          <t>UDDEVALLA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37431-2024</t>
        </is>
      </c>
      <c r="B112" s="1" t="n">
        <v>45540.65302083334</v>
      </c>
      <c r="C112" s="1" t="n">
        <v>46088</v>
      </c>
      <c r="D112" t="inlineStr">
        <is>
          <t>VÄSTRA GÖTALANDS LÄN</t>
        </is>
      </c>
      <c r="E112" t="inlineStr">
        <is>
          <t>UDDEVALLA</t>
        </is>
      </c>
      <c r="F112" t="inlineStr">
        <is>
          <t>Kyrkan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18811-2024</t>
        </is>
      </c>
      <c r="B113" s="1" t="n">
        <v>45426.61703703704</v>
      </c>
      <c r="C113" s="1" t="n">
        <v>46088</v>
      </c>
      <c r="D113" t="inlineStr">
        <is>
          <t>VÄSTRA GÖTALANDS LÄN</t>
        </is>
      </c>
      <c r="E113" t="inlineStr">
        <is>
          <t>UDDEVALLA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39395-2025</t>
        </is>
      </c>
      <c r="B114" s="1" t="n">
        <v>45889.63163194444</v>
      </c>
      <c r="C114" s="1" t="n">
        <v>46088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25336-2025</t>
        </is>
      </c>
      <c r="B115" s="1" t="n">
        <v>45800.5974074074</v>
      </c>
      <c r="C115" s="1" t="n">
        <v>46088</v>
      </c>
      <c r="D115" t="inlineStr">
        <is>
          <t>VÄSTRA GÖTALANDS LÄN</t>
        </is>
      </c>
      <c r="E115" t="inlineStr">
        <is>
          <t>UDDEVALLA</t>
        </is>
      </c>
      <c r="G115" t="n">
        <v>19.5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15716-2025</t>
        </is>
      </c>
      <c r="B116" s="1" t="n">
        <v>45748.50568287037</v>
      </c>
      <c r="C116" s="1" t="n">
        <v>46088</v>
      </c>
      <c r="D116" t="inlineStr">
        <is>
          <t>VÄSTRA GÖTALANDS LÄN</t>
        </is>
      </c>
      <c r="E116" t="inlineStr">
        <is>
          <t>UDDEVALLA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39616-2025</t>
        </is>
      </c>
      <c r="B117" s="1" t="n">
        <v>45890.56574074074</v>
      </c>
      <c r="C117" s="1" t="n">
        <v>46088</v>
      </c>
      <c r="D117" t="inlineStr">
        <is>
          <t>VÄSTRA GÖTALANDS LÄN</t>
        </is>
      </c>
      <c r="E117" t="inlineStr">
        <is>
          <t>UDDEVALLA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57824-2024</t>
        </is>
      </c>
      <c r="B118" s="1" t="n">
        <v>45631.38447916666</v>
      </c>
      <c r="C118" s="1" t="n">
        <v>46088</v>
      </c>
      <c r="D118" t="inlineStr">
        <is>
          <t>VÄSTRA GÖTALANDS LÄN</t>
        </is>
      </c>
      <c r="E118" t="inlineStr">
        <is>
          <t>UDDEVALLA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39615-2025</t>
        </is>
      </c>
      <c r="B119" s="1" t="n">
        <v>45890.56453703704</v>
      </c>
      <c r="C119" s="1" t="n">
        <v>46088</v>
      </c>
      <c r="D119" t="inlineStr">
        <is>
          <t>VÄSTRA GÖTALANDS LÄN</t>
        </is>
      </c>
      <c r="E119" t="inlineStr">
        <is>
          <t>UDDEVALLA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10426-2023</t>
        </is>
      </c>
      <c r="B120" s="1" t="n">
        <v>44981</v>
      </c>
      <c r="C120" s="1" t="n">
        <v>46088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40135-2025</t>
        </is>
      </c>
      <c r="B121" s="1" t="n">
        <v>45894</v>
      </c>
      <c r="C121" s="1" t="n">
        <v>46088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39991-2022</t>
        </is>
      </c>
      <c r="B122" s="1" t="n">
        <v>44820.35342592592</v>
      </c>
      <c r="C122" s="1" t="n">
        <v>46088</v>
      </c>
      <c r="D122" t="inlineStr">
        <is>
          <t>VÄSTRA GÖTALANDS LÄN</t>
        </is>
      </c>
      <c r="E122" t="inlineStr">
        <is>
          <t>UDDEVALLA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40331-2025</t>
        </is>
      </c>
      <c r="B123" s="1" t="n">
        <v>45895</v>
      </c>
      <c r="C123" s="1" t="n">
        <v>46088</v>
      </c>
      <c r="D123" t="inlineStr">
        <is>
          <t>VÄSTRA GÖTALANDS LÄN</t>
        </is>
      </c>
      <c r="E123" t="inlineStr">
        <is>
          <t>UDDEVALLA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44133-2024</t>
        </is>
      </c>
      <c r="B124" s="1" t="n">
        <v>45572.65665509259</v>
      </c>
      <c r="C124" s="1" t="n">
        <v>46088</v>
      </c>
      <c r="D124" t="inlineStr">
        <is>
          <t>VÄSTRA GÖTALANDS LÄN</t>
        </is>
      </c>
      <c r="E124" t="inlineStr">
        <is>
          <t>UDDEVALLA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10684-2022</t>
        </is>
      </c>
      <c r="B125" s="1" t="n">
        <v>44624</v>
      </c>
      <c r="C125" s="1" t="n">
        <v>46088</v>
      </c>
      <c r="D125" t="inlineStr">
        <is>
          <t>VÄSTRA GÖTALANDS LÄN</t>
        </is>
      </c>
      <c r="E125" t="inlineStr">
        <is>
          <t>UDDEVALLA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10900-2025</t>
        </is>
      </c>
      <c r="B126" s="1" t="n">
        <v>45722.69118055556</v>
      </c>
      <c r="C126" s="1" t="n">
        <v>46088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39355-2024</t>
        </is>
      </c>
      <c r="B127" s="1" t="n">
        <v>45551.46081018518</v>
      </c>
      <c r="C127" s="1" t="n">
        <v>46088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41567-2025</t>
        </is>
      </c>
      <c r="B128" s="1" t="n">
        <v>45901.60652777777</v>
      </c>
      <c r="C128" s="1" t="n">
        <v>46088</v>
      </c>
      <c r="D128" t="inlineStr">
        <is>
          <t>VÄSTRA GÖTALANDS LÄN</t>
        </is>
      </c>
      <c r="E128" t="inlineStr">
        <is>
          <t>UDDEVALLA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41572-2025</t>
        </is>
      </c>
      <c r="B129" s="1" t="n">
        <v>45901.61446759259</v>
      </c>
      <c r="C129" s="1" t="n">
        <v>46088</v>
      </c>
      <c r="D129" t="inlineStr">
        <is>
          <t>VÄSTRA GÖTALANDS LÄN</t>
        </is>
      </c>
      <c r="E129" t="inlineStr">
        <is>
          <t>UDDEVALLA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23895-2024</t>
        </is>
      </c>
      <c r="B130" s="1" t="n">
        <v>45455.67287037037</v>
      </c>
      <c r="C130" s="1" t="n">
        <v>46088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41579-2025</t>
        </is>
      </c>
      <c r="B131" s="1" t="n">
        <v>45901.62109953703</v>
      </c>
      <c r="C131" s="1" t="n">
        <v>46088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41576-2025</t>
        </is>
      </c>
      <c r="B132" s="1" t="n">
        <v>45901.6183912037</v>
      </c>
      <c r="C132" s="1" t="n">
        <v>46088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11021-2023</t>
        </is>
      </c>
      <c r="B133" s="1" t="n">
        <v>44991.81690972222</v>
      </c>
      <c r="C133" s="1" t="n">
        <v>46088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15334-2024</t>
        </is>
      </c>
      <c r="B134" s="1" t="n">
        <v>45400.73114583334</v>
      </c>
      <c r="C134" s="1" t="n">
        <v>46088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49145-2024</t>
        </is>
      </c>
      <c r="B135" s="1" t="n">
        <v>45594.72869212963</v>
      </c>
      <c r="C135" s="1" t="n">
        <v>46088</v>
      </c>
      <c r="D135" t="inlineStr">
        <is>
          <t>VÄSTRA GÖTALANDS LÄN</t>
        </is>
      </c>
      <c r="E135" t="inlineStr">
        <is>
          <t>UDDEVALLA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11076-2025</t>
        </is>
      </c>
      <c r="B136" s="1" t="n">
        <v>45723.5541087963</v>
      </c>
      <c r="C136" s="1" t="n">
        <v>46088</v>
      </c>
      <c r="D136" t="inlineStr">
        <is>
          <t>VÄSTRA GÖTALANDS LÄN</t>
        </is>
      </c>
      <c r="E136" t="inlineStr">
        <is>
          <t>UDDEVALLA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18513-2024</t>
        </is>
      </c>
      <c r="B137" s="1" t="n">
        <v>45425.60424768519</v>
      </c>
      <c r="C137" s="1" t="n">
        <v>46088</v>
      </c>
      <c r="D137" t="inlineStr">
        <is>
          <t>VÄSTRA GÖTALANDS LÄN</t>
        </is>
      </c>
      <c r="E137" t="inlineStr">
        <is>
          <t>UDDEVALLA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42534-2025</t>
        </is>
      </c>
      <c r="B138" s="1" t="n">
        <v>45905.56790509259</v>
      </c>
      <c r="C138" s="1" t="n">
        <v>46088</v>
      </c>
      <c r="D138" t="inlineStr">
        <is>
          <t>VÄSTRA GÖTALANDS LÄN</t>
        </is>
      </c>
      <c r="E138" t="inlineStr">
        <is>
          <t>UDDEVALLA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28222-2025</t>
        </is>
      </c>
      <c r="B139" s="1" t="n">
        <v>45818.47643518518</v>
      </c>
      <c r="C139" s="1" t="n">
        <v>46088</v>
      </c>
      <c r="D139" t="inlineStr">
        <is>
          <t>VÄSTRA GÖTALANDS LÄN</t>
        </is>
      </c>
      <c r="E139" t="inlineStr">
        <is>
          <t>UDDEVALLA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58958-2021</t>
        </is>
      </c>
      <c r="B140" s="1" t="n">
        <v>44489</v>
      </c>
      <c r="C140" s="1" t="n">
        <v>46088</v>
      </c>
      <c r="D140" t="inlineStr">
        <is>
          <t>VÄSTRA GÖTALANDS LÄN</t>
        </is>
      </c>
      <c r="E140" t="inlineStr">
        <is>
          <t>UDDEVALLA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28228-2025</t>
        </is>
      </c>
      <c r="B141" s="1" t="n">
        <v>45818.48547453704</v>
      </c>
      <c r="C141" s="1" t="n">
        <v>46088</v>
      </c>
      <c r="D141" t="inlineStr">
        <is>
          <t>VÄSTRA GÖTALANDS LÄN</t>
        </is>
      </c>
      <c r="E141" t="inlineStr">
        <is>
          <t>UDDEVALLA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42658-2025</t>
        </is>
      </c>
      <c r="B142" s="1" t="n">
        <v>45907.52702546296</v>
      </c>
      <c r="C142" s="1" t="n">
        <v>46088</v>
      </c>
      <c r="D142" t="inlineStr">
        <is>
          <t>VÄSTRA GÖTALANDS LÄN</t>
        </is>
      </c>
      <c r="E142" t="inlineStr">
        <is>
          <t>UDDEVALLA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43552-2025</t>
        </is>
      </c>
      <c r="B143" s="1" t="n">
        <v>45911.6202662037</v>
      </c>
      <c r="C143" s="1" t="n">
        <v>46088</v>
      </c>
      <c r="D143" t="inlineStr">
        <is>
          <t>VÄSTRA GÖTALANDS LÄN</t>
        </is>
      </c>
      <c r="E143" t="inlineStr">
        <is>
          <t>UDDEVALLA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28803-2025</t>
        </is>
      </c>
      <c r="B144" s="1" t="n">
        <v>45820</v>
      </c>
      <c r="C144" s="1" t="n">
        <v>46088</v>
      </c>
      <c r="D144" t="inlineStr">
        <is>
          <t>VÄSTRA GÖTALANDS LÄN</t>
        </is>
      </c>
      <c r="E144" t="inlineStr">
        <is>
          <t>UDDEVALLA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29631-2025</t>
        </is>
      </c>
      <c r="B145" s="1" t="n">
        <v>45825.44777777778</v>
      </c>
      <c r="C145" s="1" t="n">
        <v>46088</v>
      </c>
      <c r="D145" t="inlineStr">
        <is>
          <t>VÄSTRA GÖTALANDS LÄN</t>
        </is>
      </c>
      <c r="E145" t="inlineStr">
        <is>
          <t>UDDEVALLA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13908-2021</t>
        </is>
      </c>
      <c r="B146" s="1" t="n">
        <v>44277</v>
      </c>
      <c r="C146" s="1" t="n">
        <v>46088</v>
      </c>
      <c r="D146" t="inlineStr">
        <is>
          <t>VÄSTRA GÖTALANDS LÄN</t>
        </is>
      </c>
      <c r="E146" t="inlineStr">
        <is>
          <t>UDDEVALLA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44137-2025</t>
        </is>
      </c>
      <c r="B147" s="1" t="n">
        <v>45914</v>
      </c>
      <c r="C147" s="1" t="n">
        <v>46088</v>
      </c>
      <c r="D147" t="inlineStr">
        <is>
          <t>VÄSTRA GÖTALANDS LÄN</t>
        </is>
      </c>
      <c r="E147" t="inlineStr">
        <is>
          <t>UDDEVALLA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44062-2025</t>
        </is>
      </c>
      <c r="B148" s="1" t="n">
        <v>45915.53877314815</v>
      </c>
      <c r="C148" s="1" t="n">
        <v>46088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44086-2025</t>
        </is>
      </c>
      <c r="B149" s="1" t="n">
        <v>45914</v>
      </c>
      <c r="C149" s="1" t="n">
        <v>46088</v>
      </c>
      <c r="D149" t="inlineStr">
        <is>
          <t>VÄSTRA GÖTALANDS LÄN</t>
        </is>
      </c>
      <c r="E149" t="inlineStr">
        <is>
          <t>UDDEVALLA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29928-2025</t>
        </is>
      </c>
      <c r="B150" s="1" t="n">
        <v>45826.43283564815</v>
      </c>
      <c r="C150" s="1" t="n">
        <v>46088</v>
      </c>
      <c r="D150" t="inlineStr">
        <is>
          <t>VÄSTRA GÖTALANDS LÄN</t>
        </is>
      </c>
      <c r="E150" t="inlineStr">
        <is>
          <t>UDDEVALLA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29929-2025</t>
        </is>
      </c>
      <c r="B151" s="1" t="n">
        <v>45826.43549768518</v>
      </c>
      <c r="C151" s="1" t="n">
        <v>46088</v>
      </c>
      <c r="D151" t="inlineStr">
        <is>
          <t>VÄSTRA GÖTALANDS LÄN</t>
        </is>
      </c>
      <c r="E151" t="inlineStr">
        <is>
          <t>UDDEVALLA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29890-2025</t>
        </is>
      </c>
      <c r="B152" s="1" t="n">
        <v>45826.37506944445</v>
      </c>
      <c r="C152" s="1" t="n">
        <v>46088</v>
      </c>
      <c r="D152" t="inlineStr">
        <is>
          <t>VÄSTRA GÖTALANDS LÄN</t>
        </is>
      </c>
      <c r="E152" t="inlineStr">
        <is>
          <t>UDDEVALLA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20137-2025</t>
        </is>
      </c>
      <c r="B153" s="1" t="n">
        <v>45772.51366898148</v>
      </c>
      <c r="C153" s="1" t="n">
        <v>46088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29919-2025</t>
        </is>
      </c>
      <c r="B154" s="1" t="n">
        <v>45826.42263888889</v>
      </c>
      <c r="C154" s="1" t="n">
        <v>46088</v>
      </c>
      <c r="D154" t="inlineStr">
        <is>
          <t>VÄSTRA GÖTALANDS LÄN</t>
        </is>
      </c>
      <c r="E154" t="inlineStr">
        <is>
          <t>UDDEVALLA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29921-2025</t>
        </is>
      </c>
      <c r="B155" s="1" t="n">
        <v>45826.42519675926</v>
      </c>
      <c r="C155" s="1" t="n">
        <v>46088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45059-2025</t>
        </is>
      </c>
      <c r="B156" s="1" t="n">
        <v>45919</v>
      </c>
      <c r="C156" s="1" t="n">
        <v>46088</v>
      </c>
      <c r="D156" t="inlineStr">
        <is>
          <t>VÄSTRA GÖTALANDS LÄN</t>
        </is>
      </c>
      <c r="E156" t="inlineStr">
        <is>
          <t>UDDEVALLA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45157-2025</t>
        </is>
      </c>
      <c r="B157" s="1" t="n">
        <v>45919.48144675926</v>
      </c>
      <c r="C157" s="1" t="n">
        <v>46088</v>
      </c>
      <c r="D157" t="inlineStr">
        <is>
          <t>VÄSTRA GÖTALANDS LÄN</t>
        </is>
      </c>
      <c r="E157" t="inlineStr">
        <is>
          <t>UDDEVALLA</t>
        </is>
      </c>
      <c r="G157" t="n">
        <v>19.4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30802-2025</t>
        </is>
      </c>
      <c r="B158" s="1" t="n">
        <v>45831.6530787037</v>
      </c>
      <c r="C158" s="1" t="n">
        <v>46088</v>
      </c>
      <c r="D158" t="inlineStr">
        <is>
          <t>VÄSTRA GÖTALANDS LÄN</t>
        </is>
      </c>
      <c r="E158" t="inlineStr">
        <is>
          <t>UDDEVALLA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30954-2025</t>
        </is>
      </c>
      <c r="B159" s="1" t="n">
        <v>45832.43674768518</v>
      </c>
      <c r="C159" s="1" t="n">
        <v>46088</v>
      </c>
      <c r="D159" t="inlineStr">
        <is>
          <t>VÄSTRA GÖTALANDS LÄN</t>
        </is>
      </c>
      <c r="E159" t="inlineStr">
        <is>
          <t>UDDEVALLA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45567-2025</t>
        </is>
      </c>
      <c r="B160" s="1" t="n">
        <v>45922.65501157408</v>
      </c>
      <c r="C160" s="1" t="n">
        <v>46088</v>
      </c>
      <c r="D160" t="inlineStr">
        <is>
          <t>VÄSTRA GÖTALANDS LÄN</t>
        </is>
      </c>
      <c r="E160" t="inlineStr">
        <is>
          <t>UDDEVALLA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13379-2023</t>
        </is>
      </c>
      <c r="B161" s="1" t="n">
        <v>45005.50252314815</v>
      </c>
      <c r="C161" s="1" t="n">
        <v>46088</v>
      </c>
      <c r="D161" t="inlineStr">
        <is>
          <t>VÄSTRA GÖTALANDS LÄN</t>
        </is>
      </c>
      <c r="E161" t="inlineStr">
        <is>
          <t>UDDEVALLA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45601-2025</t>
        </is>
      </c>
      <c r="B162" s="1" t="n">
        <v>45922.68894675926</v>
      </c>
      <c r="C162" s="1" t="n">
        <v>46088</v>
      </c>
      <c r="D162" t="inlineStr">
        <is>
          <t>VÄSTRA GÖTALANDS LÄN</t>
        </is>
      </c>
      <c r="E162" t="inlineStr">
        <is>
          <t>UDDEVALLA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44508.54208333333</v>
      </c>
      <c r="C163" s="1" t="n">
        <v>46088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26440-2023</t>
        </is>
      </c>
      <c r="B164" s="1" t="n">
        <v>45092</v>
      </c>
      <c r="C164" s="1" t="n">
        <v>46088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46319-2025</t>
        </is>
      </c>
      <c r="B165" s="1" t="n">
        <v>45925.44780092593</v>
      </c>
      <c r="C165" s="1" t="n">
        <v>46088</v>
      </c>
      <c r="D165" t="inlineStr">
        <is>
          <t>VÄSTRA GÖTALANDS LÄN</t>
        </is>
      </c>
      <c r="E165" t="inlineStr">
        <is>
          <t>UDDEVALLA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46304-2025</t>
        </is>
      </c>
      <c r="B166" s="1" t="n">
        <v>45925</v>
      </c>
      <c r="C166" s="1" t="n">
        <v>46088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47083-2025</t>
        </is>
      </c>
      <c r="B167" s="1" t="n">
        <v>45929.64208333333</v>
      </c>
      <c r="C167" s="1" t="n">
        <v>46088</v>
      </c>
      <c r="D167" t="inlineStr">
        <is>
          <t>VÄSTRA GÖTALANDS LÄN</t>
        </is>
      </c>
      <c r="E167" t="inlineStr">
        <is>
          <t>UDDEVALLA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40037-2021</t>
        </is>
      </c>
      <c r="B168" s="1" t="n">
        <v>44418</v>
      </c>
      <c r="C168" s="1" t="n">
        <v>46088</v>
      </c>
      <c r="D168" t="inlineStr">
        <is>
          <t>VÄSTRA GÖTALANDS LÄN</t>
        </is>
      </c>
      <c r="E168" t="inlineStr">
        <is>
          <t>UDDEVALLA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36236-2023</t>
        </is>
      </c>
      <c r="B169" s="1" t="n">
        <v>45150.63820601852</v>
      </c>
      <c r="C169" s="1" t="n">
        <v>46088</v>
      </c>
      <c r="D169" t="inlineStr">
        <is>
          <t>VÄSTRA GÖTALANDS LÄN</t>
        </is>
      </c>
      <c r="E169" t="inlineStr">
        <is>
          <t>UDDEVALLA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47103-2025</t>
        </is>
      </c>
      <c r="B170" s="1" t="n">
        <v>45929.65766203704</v>
      </c>
      <c r="C170" s="1" t="n">
        <v>46088</v>
      </c>
      <c r="D170" t="inlineStr">
        <is>
          <t>VÄSTRA GÖTALANDS LÄN</t>
        </is>
      </c>
      <c r="E170" t="inlineStr">
        <is>
          <t>UDDEVALLA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33472-2025</t>
        </is>
      </c>
      <c r="B171" s="1" t="n">
        <v>45841.48960648148</v>
      </c>
      <c r="C171" s="1" t="n">
        <v>46088</v>
      </c>
      <c r="D171" t="inlineStr">
        <is>
          <t>VÄSTRA GÖTALANDS LÄN</t>
        </is>
      </c>
      <c r="E171" t="inlineStr">
        <is>
          <t>UDDEVALLA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47603-2025</t>
        </is>
      </c>
      <c r="B172" s="1" t="n">
        <v>45931.46130787037</v>
      </c>
      <c r="C172" s="1" t="n">
        <v>46088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62037-2024</t>
        </is>
      </c>
      <c r="B173" s="1" t="n">
        <v>45656.34373842592</v>
      </c>
      <c r="C173" s="1" t="n">
        <v>46088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62045-2024</t>
        </is>
      </c>
      <c r="B174" s="1" t="n">
        <v>45656.36090277778</v>
      </c>
      <c r="C174" s="1" t="n">
        <v>46088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62042-2024</t>
        </is>
      </c>
      <c r="B175" s="1" t="n">
        <v>45656.35608796297</v>
      </c>
      <c r="C175" s="1" t="n">
        <v>46088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62055-2024</t>
        </is>
      </c>
      <c r="B176" s="1" t="n">
        <v>45656.3703587963</v>
      </c>
      <c r="C176" s="1" t="n">
        <v>46088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33996-2025</t>
        </is>
      </c>
      <c r="B177" s="1" t="n">
        <v>45843.84158564815</v>
      </c>
      <c r="C177" s="1" t="n">
        <v>46088</v>
      </c>
      <c r="D177" t="inlineStr">
        <is>
          <t>VÄSTRA GÖTALANDS LÄN</t>
        </is>
      </c>
      <c r="E177" t="inlineStr">
        <is>
          <t>UDDEVALLA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21332-2024</t>
        </is>
      </c>
      <c r="B178" s="1" t="n">
        <v>45440.87398148148</v>
      </c>
      <c r="C178" s="1" t="n">
        <v>46088</v>
      </c>
      <c r="D178" t="inlineStr">
        <is>
          <t>VÄSTRA GÖTALANDS LÄN</t>
        </is>
      </c>
      <c r="E178" t="inlineStr">
        <is>
          <t>UDDEVALLA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48029-2025</t>
        </is>
      </c>
      <c r="B179" s="1" t="n">
        <v>45932</v>
      </c>
      <c r="C179" s="1" t="n">
        <v>46088</v>
      </c>
      <c r="D179" t="inlineStr">
        <is>
          <t>VÄSTRA GÖTALANDS LÄN</t>
        </is>
      </c>
      <c r="E179" t="inlineStr">
        <is>
          <t>UDDEVALLA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62053-2024</t>
        </is>
      </c>
      <c r="B180" s="1" t="n">
        <v>45656.36848379629</v>
      </c>
      <c r="C180" s="1" t="n">
        <v>46088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62073-2024</t>
        </is>
      </c>
      <c r="B181" s="1" t="n">
        <v>45656.41005787037</v>
      </c>
      <c r="C181" s="1" t="n">
        <v>46088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62074-2024</t>
        </is>
      </c>
      <c r="B182" s="1" t="n">
        <v>45656.41170138889</v>
      </c>
      <c r="C182" s="1" t="n">
        <v>46088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62077-2024</t>
        </is>
      </c>
      <c r="B183" s="1" t="n">
        <v>45656.4194212963</v>
      </c>
      <c r="C183" s="1" t="n">
        <v>46088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7804-2024</t>
        </is>
      </c>
      <c r="B184" s="1" t="n">
        <v>45349.63490740741</v>
      </c>
      <c r="C184" s="1" t="n">
        <v>46088</v>
      </c>
      <c r="D184" t="inlineStr">
        <is>
          <t>VÄSTRA GÖTALANDS LÄN</t>
        </is>
      </c>
      <c r="E184" t="inlineStr">
        <is>
          <t>UDDEVALLA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61629-2024</t>
        </is>
      </c>
      <c r="B185" s="1" t="n">
        <v>45646.66476851852</v>
      </c>
      <c r="C185" s="1" t="n">
        <v>46088</v>
      </c>
      <c r="D185" t="inlineStr">
        <is>
          <t>VÄSTRA GÖTALANDS LÄN</t>
        </is>
      </c>
      <c r="E185" t="inlineStr">
        <is>
          <t>UDDEVALLA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60242-2024</t>
        </is>
      </c>
      <c r="B186" s="1" t="n">
        <v>45642.79674768518</v>
      </c>
      <c r="C186" s="1" t="n">
        <v>46088</v>
      </c>
      <c r="D186" t="inlineStr">
        <is>
          <t>VÄSTRA GÖTALANDS LÄN</t>
        </is>
      </c>
      <c r="E186" t="inlineStr">
        <is>
          <t>UDDEVALLA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60241-2024</t>
        </is>
      </c>
      <c r="B187" s="1" t="n">
        <v>45642</v>
      </c>
      <c r="C187" s="1" t="n">
        <v>46088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62041-2024</t>
        </is>
      </c>
      <c r="B188" s="1" t="n">
        <v>45656.35159722222</v>
      </c>
      <c r="C188" s="1" t="n">
        <v>46088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62067-2024</t>
        </is>
      </c>
      <c r="B189" s="1" t="n">
        <v>45656.39710648148</v>
      </c>
      <c r="C189" s="1" t="n">
        <v>46088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44056-2025</t>
        </is>
      </c>
      <c r="B190" s="1" t="n">
        <v>45915.52861111111</v>
      </c>
      <c r="C190" s="1" t="n">
        <v>46088</v>
      </c>
      <c r="D190" t="inlineStr">
        <is>
          <t>VÄSTRA GÖTALANDS LÄN</t>
        </is>
      </c>
      <c r="E190" t="inlineStr">
        <is>
          <t>UDDEVALLA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26847-2024</t>
        </is>
      </c>
      <c r="B191" s="1" t="n">
        <v>45470.58363425926</v>
      </c>
      <c r="C191" s="1" t="n">
        <v>46088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62075-2024</t>
        </is>
      </c>
      <c r="B192" s="1" t="n">
        <v>45656.41354166667</v>
      </c>
      <c r="C192" s="1" t="n">
        <v>46088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34493-2025</t>
        </is>
      </c>
      <c r="B193" s="1" t="n">
        <v>45847.42376157407</v>
      </c>
      <c r="C193" s="1" t="n">
        <v>46088</v>
      </c>
      <c r="D193" t="inlineStr">
        <is>
          <t>VÄSTRA GÖTALANDS LÄN</t>
        </is>
      </c>
      <c r="E193" t="inlineStr">
        <is>
          <t>UDDEVALLA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34269-2025</t>
        </is>
      </c>
      <c r="B194" s="1" t="n">
        <v>45845.7765162037</v>
      </c>
      <c r="C194" s="1" t="n">
        <v>46088</v>
      </c>
      <c r="D194" t="inlineStr">
        <is>
          <t>VÄSTRA GÖTALANDS LÄN</t>
        </is>
      </c>
      <c r="E194" t="inlineStr">
        <is>
          <t>UDDEVALLA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49139-2024</t>
        </is>
      </c>
      <c r="B195" s="1" t="n">
        <v>45594.70923611111</v>
      </c>
      <c r="C195" s="1" t="n">
        <v>46088</v>
      </c>
      <c r="D195" t="inlineStr">
        <is>
          <t>VÄSTRA GÖTALANDS LÄN</t>
        </is>
      </c>
      <c r="E195" t="inlineStr">
        <is>
          <t>UDDEVALLA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49535-2025</t>
        </is>
      </c>
      <c r="B196" s="1" t="n">
        <v>45939.41678240741</v>
      </c>
      <c r="C196" s="1" t="n">
        <v>46088</v>
      </c>
      <c r="D196" t="inlineStr">
        <is>
          <t>VÄSTRA GÖTALANDS LÄN</t>
        </is>
      </c>
      <c r="E196" t="inlineStr">
        <is>
          <t>UDDEVALLA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209-2026</t>
        </is>
      </c>
      <c r="B197" s="1" t="n">
        <v>46026.49346064815</v>
      </c>
      <c r="C197" s="1" t="n">
        <v>46088</v>
      </c>
      <c r="D197" t="inlineStr">
        <is>
          <t>VÄSTRA GÖTALANDS LÄN</t>
        </is>
      </c>
      <c r="E197" t="inlineStr">
        <is>
          <t>UDDEVALLA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9574-2026</t>
        </is>
      </c>
      <c r="B198" s="1" t="n">
        <v>46071.66740740741</v>
      </c>
      <c r="C198" s="1" t="n">
        <v>46088</v>
      </c>
      <c r="D198" t="inlineStr">
        <is>
          <t>VÄSTRA GÖTALANDS LÄN</t>
        </is>
      </c>
      <c r="E198" t="inlineStr">
        <is>
          <t>UDDEVALLA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385-2026</t>
        </is>
      </c>
      <c r="B199" s="1" t="n">
        <v>46027.824375</v>
      </c>
      <c r="C199" s="1" t="n">
        <v>46088</v>
      </c>
      <c r="D199" t="inlineStr">
        <is>
          <t>VÄSTRA GÖTALANDS LÄN</t>
        </is>
      </c>
      <c r="E199" t="inlineStr">
        <is>
          <t>UDDEVALLA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49721-2025</t>
        </is>
      </c>
      <c r="B200" s="1" t="n">
        <v>45939.81811342593</v>
      </c>
      <c r="C200" s="1" t="n">
        <v>46088</v>
      </c>
      <c r="D200" t="inlineStr">
        <is>
          <t>VÄSTRA GÖTALANDS LÄN</t>
        </is>
      </c>
      <c r="E200" t="inlineStr">
        <is>
          <t>UDDEVALLA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47896-2024</t>
        </is>
      </c>
      <c r="B201" s="1" t="n">
        <v>45588</v>
      </c>
      <c r="C201" s="1" t="n">
        <v>46088</v>
      </c>
      <c r="D201" t="inlineStr">
        <is>
          <t>VÄSTRA GÖTALANDS LÄN</t>
        </is>
      </c>
      <c r="E201" t="inlineStr">
        <is>
          <t>UDDEVALLA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43276-2022</t>
        </is>
      </c>
      <c r="B202" s="1" t="n">
        <v>44834</v>
      </c>
      <c r="C202" s="1" t="n">
        <v>46088</v>
      </c>
      <c r="D202" t="inlineStr">
        <is>
          <t>VÄSTRA GÖTALANDS LÄN</t>
        </is>
      </c>
      <c r="E202" t="inlineStr">
        <is>
          <t>UDDEVALLA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23806-2024</t>
        </is>
      </c>
      <c r="B203" s="1" t="n">
        <v>45455.44231481481</v>
      </c>
      <c r="C203" s="1" t="n">
        <v>46088</v>
      </c>
      <c r="D203" t="inlineStr">
        <is>
          <t>VÄSTRA GÖTALANDS LÄN</t>
        </is>
      </c>
      <c r="E203" t="inlineStr">
        <is>
          <t>UDDEVALLA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9424-2026</t>
        </is>
      </c>
      <c r="B204" s="1" t="n">
        <v>46071.4437962963</v>
      </c>
      <c r="C204" s="1" t="n">
        <v>46088</v>
      </c>
      <c r="D204" t="inlineStr">
        <is>
          <t>VÄSTRA GÖTALANDS LÄN</t>
        </is>
      </c>
      <c r="E204" t="inlineStr">
        <is>
          <t>UDDEVALLA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50609-2025</t>
        </is>
      </c>
      <c r="B205" s="1" t="n">
        <v>45945.6228125</v>
      </c>
      <c r="C205" s="1" t="n">
        <v>46088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50617-2025</t>
        </is>
      </c>
      <c r="B206" s="1" t="n">
        <v>45945.62987268518</v>
      </c>
      <c r="C206" s="1" t="n">
        <v>46088</v>
      </c>
      <c r="D206" t="inlineStr">
        <is>
          <t>VÄSTRA GÖTALANDS LÄN</t>
        </is>
      </c>
      <c r="E206" t="inlineStr">
        <is>
          <t>UDDEVALLA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50580-2025</t>
        </is>
      </c>
      <c r="B207" s="1" t="n">
        <v>45945.58512731481</v>
      </c>
      <c r="C207" s="1" t="n">
        <v>46088</v>
      </c>
      <c r="D207" t="inlineStr">
        <is>
          <t>VÄSTRA GÖTALANDS LÄN</t>
        </is>
      </c>
      <c r="E207" t="inlineStr">
        <is>
          <t>UDDEVALLA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41511-2024</t>
        </is>
      </c>
      <c r="B208" s="1" t="n">
        <v>45560.47459490741</v>
      </c>
      <c r="C208" s="1" t="n">
        <v>46088</v>
      </c>
      <c r="D208" t="inlineStr">
        <is>
          <t>VÄSTRA GÖTALANDS LÄN</t>
        </is>
      </c>
      <c r="E208" t="inlineStr">
        <is>
          <t>UDDEVALLA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50586-2025</t>
        </is>
      </c>
      <c r="B209" s="1" t="n">
        <v>45945.59425925926</v>
      </c>
      <c r="C209" s="1" t="n">
        <v>46088</v>
      </c>
      <c r="D209" t="inlineStr">
        <is>
          <t>VÄSTRA GÖTALANDS LÄN</t>
        </is>
      </c>
      <c r="E209" t="inlineStr">
        <is>
          <t>UDDEVALLA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50611-2025</t>
        </is>
      </c>
      <c r="B210" s="1" t="n">
        <v>45945.62559027778</v>
      </c>
      <c r="C210" s="1" t="n">
        <v>46088</v>
      </c>
      <c r="D210" t="inlineStr">
        <is>
          <t>VÄSTRA GÖTALANDS LÄN</t>
        </is>
      </c>
      <c r="E210" t="inlineStr">
        <is>
          <t>UDDEVALLA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17131-2025</t>
        </is>
      </c>
      <c r="B211" s="1" t="n">
        <v>45755.74113425926</v>
      </c>
      <c r="C211" s="1" t="n">
        <v>46088</v>
      </c>
      <c r="D211" t="inlineStr">
        <is>
          <t>VÄSTRA GÖTALANDS LÄN</t>
        </is>
      </c>
      <c r="E211" t="inlineStr">
        <is>
          <t>UDDEVALLA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51747-2025</t>
        </is>
      </c>
      <c r="B212" s="1" t="n">
        <v>45950</v>
      </c>
      <c r="C212" s="1" t="n">
        <v>46088</v>
      </c>
      <c r="D212" t="inlineStr">
        <is>
          <t>VÄSTRA GÖTALANDS LÄN</t>
        </is>
      </c>
      <c r="E212" t="inlineStr">
        <is>
          <t>UDDEVALLA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49737-2025</t>
        </is>
      </c>
      <c r="B213" s="1" t="n">
        <v>45940.30331018518</v>
      </c>
      <c r="C213" s="1" t="n">
        <v>46088</v>
      </c>
      <c r="D213" t="inlineStr">
        <is>
          <t>VÄSTRA GÖTALANDS LÄN</t>
        </is>
      </c>
      <c r="E213" t="inlineStr">
        <is>
          <t>UDDEVALLA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32846-2023</t>
        </is>
      </c>
      <c r="B214" s="1" t="n">
        <v>45112</v>
      </c>
      <c r="C214" s="1" t="n">
        <v>46088</v>
      </c>
      <c r="D214" t="inlineStr">
        <is>
          <t>VÄSTRA GÖTALANDS LÄN</t>
        </is>
      </c>
      <c r="E214" t="inlineStr">
        <is>
          <t>UDDEVALLA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22923-2022</t>
        </is>
      </c>
      <c r="B215" s="1" t="n">
        <v>44715</v>
      </c>
      <c r="C215" s="1" t="n">
        <v>46088</v>
      </c>
      <c r="D215" t="inlineStr">
        <is>
          <t>VÄSTRA GÖTALANDS LÄN</t>
        </is>
      </c>
      <c r="E215" t="inlineStr">
        <is>
          <t>UDDEVALLA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52289-2025</t>
        </is>
      </c>
      <c r="B216" s="1" t="n">
        <v>45953.59706018519</v>
      </c>
      <c r="C216" s="1" t="n">
        <v>46088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38133-2025</t>
        </is>
      </c>
      <c r="B217" s="1" t="n">
        <v>45882.56203703704</v>
      </c>
      <c r="C217" s="1" t="n">
        <v>46088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2115-2025</t>
        </is>
      </c>
      <c r="B218" s="1" t="n">
        <v>45672</v>
      </c>
      <c r="C218" s="1" t="n">
        <v>46088</v>
      </c>
      <c r="D218" t="inlineStr">
        <is>
          <t>VÄSTRA GÖTALANDS LÄN</t>
        </is>
      </c>
      <c r="E218" t="inlineStr">
        <is>
          <t>UDDEVALLA</t>
        </is>
      </c>
      <c r="G218" t="n">
        <v>14.1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19849-2025</t>
        </is>
      </c>
      <c r="B219" s="1" t="n">
        <v>45771.49246527778</v>
      </c>
      <c r="C219" s="1" t="n">
        <v>46088</v>
      </c>
      <c r="D219" t="inlineStr">
        <is>
          <t>VÄSTRA GÖTALANDS LÄN</t>
        </is>
      </c>
      <c r="E219" t="inlineStr">
        <is>
          <t>UDDEVALLA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38126-2025</t>
        </is>
      </c>
      <c r="B220" s="1" t="n">
        <v>45882.55833333333</v>
      </c>
      <c r="C220" s="1" t="n">
        <v>46088</v>
      </c>
      <c r="D220" t="inlineStr">
        <is>
          <t>VÄSTRA GÖTALANDS LÄN</t>
        </is>
      </c>
      <c r="E220" t="inlineStr">
        <is>
          <t>UDDEVALLA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37157-2024</t>
        </is>
      </c>
      <c r="B221" s="1" t="n">
        <v>45539.61159722223</v>
      </c>
      <c r="C221" s="1" t="n">
        <v>46088</v>
      </c>
      <c r="D221" t="inlineStr">
        <is>
          <t>VÄSTRA GÖTALANDS LÄN</t>
        </is>
      </c>
      <c r="E221" t="inlineStr">
        <is>
          <t>UDDEVALLA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12169-2023</t>
        </is>
      </c>
      <c r="B222" s="1" t="n">
        <v>44998</v>
      </c>
      <c r="C222" s="1" t="n">
        <v>46088</v>
      </c>
      <c r="D222" t="inlineStr">
        <is>
          <t>VÄSTRA GÖTALANDS LÄN</t>
        </is>
      </c>
      <c r="E222" t="inlineStr">
        <is>
          <t>UDDEVALLA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38130-2025</t>
        </is>
      </c>
      <c r="B223" s="1" t="n">
        <v>45882.56133101852</v>
      </c>
      <c r="C223" s="1" t="n">
        <v>46088</v>
      </c>
      <c r="D223" t="inlineStr">
        <is>
          <t>VÄSTRA GÖTALANDS LÄN</t>
        </is>
      </c>
      <c r="E223" t="inlineStr">
        <is>
          <t>UDDEVALLA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45902-2024</t>
        </is>
      </c>
      <c r="B224" s="1" t="n">
        <v>45580.4344212963</v>
      </c>
      <c r="C224" s="1" t="n">
        <v>46088</v>
      </c>
      <c r="D224" t="inlineStr">
        <is>
          <t>VÄSTRA GÖTALANDS LÄN</t>
        </is>
      </c>
      <c r="E224" t="inlineStr">
        <is>
          <t>UDDEVALLA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3430-2024</t>
        </is>
      </c>
      <c r="B225" s="1" t="n">
        <v>45317</v>
      </c>
      <c r="C225" s="1" t="n">
        <v>46088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33293-2025</t>
        </is>
      </c>
      <c r="B226" s="1" t="n">
        <v>45840.89650462963</v>
      </c>
      <c r="C226" s="1" t="n">
        <v>46088</v>
      </c>
      <c r="D226" t="inlineStr">
        <is>
          <t>VÄSTRA GÖTALANDS LÄN</t>
        </is>
      </c>
      <c r="E226" t="inlineStr">
        <is>
          <t>UDDEVALLA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59513-2024</t>
        </is>
      </c>
      <c r="B227" s="1" t="n">
        <v>45638.55920138889</v>
      </c>
      <c r="C227" s="1" t="n">
        <v>46088</v>
      </c>
      <c r="D227" t="inlineStr">
        <is>
          <t>VÄSTRA GÖTALANDS LÄN</t>
        </is>
      </c>
      <c r="E227" t="inlineStr">
        <is>
          <t>UDDEVALLA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54491-2025</t>
        </is>
      </c>
      <c r="B228" s="1" t="n">
        <v>45965.59797453704</v>
      </c>
      <c r="C228" s="1" t="n">
        <v>46088</v>
      </c>
      <c r="D228" t="inlineStr">
        <is>
          <t>VÄSTRA GÖTALANDS LÄN</t>
        </is>
      </c>
      <c r="E228" t="inlineStr">
        <is>
          <t>UDDEVALLA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19980-2025</t>
        </is>
      </c>
      <c r="B229" s="1" t="n">
        <v>45771.71185185185</v>
      </c>
      <c r="C229" s="1" t="n">
        <v>46088</v>
      </c>
      <c r="D229" t="inlineStr">
        <is>
          <t>VÄSTRA GÖTALANDS LÄN</t>
        </is>
      </c>
      <c r="E229" t="inlineStr">
        <is>
          <t>UDDEVALLA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55542-2025</t>
        </is>
      </c>
      <c r="B230" s="1" t="n">
        <v>45971.63524305556</v>
      </c>
      <c r="C230" s="1" t="n">
        <v>46088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45149-2024</t>
        </is>
      </c>
      <c r="B231" s="1" t="n">
        <v>45575.64230324074</v>
      </c>
      <c r="C231" s="1" t="n">
        <v>46088</v>
      </c>
      <c r="D231" t="inlineStr">
        <is>
          <t>VÄSTRA GÖTALANDS LÄN</t>
        </is>
      </c>
      <c r="E231" t="inlineStr">
        <is>
          <t>UDDEVALLA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40026-2024</t>
        </is>
      </c>
      <c r="B232" s="1" t="n">
        <v>45553.68366898148</v>
      </c>
      <c r="C232" s="1" t="n">
        <v>46088</v>
      </c>
      <c r="D232" t="inlineStr">
        <is>
          <t>VÄSTRA GÖTALANDS LÄN</t>
        </is>
      </c>
      <c r="E232" t="inlineStr">
        <is>
          <t>UDDEVALLA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55723-2025</t>
        </is>
      </c>
      <c r="B233" s="1" t="n">
        <v>45972.5234375</v>
      </c>
      <c r="C233" s="1" t="n">
        <v>46088</v>
      </c>
      <c r="D233" t="inlineStr">
        <is>
          <t>VÄSTRA GÖTALANDS LÄN</t>
        </is>
      </c>
      <c r="E233" t="inlineStr">
        <is>
          <t>UDDEVALLA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52905-2023</t>
        </is>
      </c>
      <c r="B234" s="1" t="n">
        <v>45226</v>
      </c>
      <c r="C234" s="1" t="n">
        <v>46088</v>
      </c>
      <c r="D234" t="inlineStr">
        <is>
          <t>VÄSTRA GÖTALANDS LÄN</t>
        </is>
      </c>
      <c r="E234" t="inlineStr">
        <is>
          <t>UDDEVALLA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10436-2026</t>
        </is>
      </c>
      <c r="B235" s="1" t="n">
        <v>46076</v>
      </c>
      <c r="C235" s="1" t="n">
        <v>46088</v>
      </c>
      <c r="D235" t="inlineStr">
        <is>
          <t>VÄSTRA GÖTALANDS LÄN</t>
        </is>
      </c>
      <c r="E235" t="inlineStr">
        <is>
          <t>UDDEVALLA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59829-2023</t>
        </is>
      </c>
      <c r="B236" s="1" t="n">
        <v>45257</v>
      </c>
      <c r="C236" s="1" t="n">
        <v>46088</v>
      </c>
      <c r="D236" t="inlineStr">
        <is>
          <t>VÄSTRA GÖTALANDS LÄN</t>
        </is>
      </c>
      <c r="E236" t="inlineStr">
        <is>
          <t>UDDEVALLA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56585-2025</t>
        </is>
      </c>
      <c r="B237" s="1" t="n">
        <v>45975.55197916667</v>
      </c>
      <c r="C237" s="1" t="n">
        <v>46088</v>
      </c>
      <c r="D237" t="inlineStr">
        <is>
          <t>VÄSTRA GÖTALANDS LÄN</t>
        </is>
      </c>
      <c r="E237" t="inlineStr">
        <is>
          <t>UDDEVALLA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57755-2024</t>
        </is>
      </c>
      <c r="B238" s="1" t="n">
        <v>45630.84311342592</v>
      </c>
      <c r="C238" s="1" t="n">
        <v>46088</v>
      </c>
      <c r="D238" t="inlineStr">
        <is>
          <t>VÄSTRA GÖTALANDS LÄN</t>
        </is>
      </c>
      <c r="E238" t="inlineStr">
        <is>
          <t>UDDEVALLA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19981-2025</t>
        </is>
      </c>
      <c r="B239" s="1" t="n">
        <v>45771.71726851852</v>
      </c>
      <c r="C239" s="1" t="n">
        <v>46088</v>
      </c>
      <c r="D239" t="inlineStr">
        <is>
          <t>VÄSTRA GÖTALANDS LÄN</t>
        </is>
      </c>
      <c r="E239" t="inlineStr">
        <is>
          <t>UDDEVALLA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57654-2025</t>
        </is>
      </c>
      <c r="B240" s="1" t="n">
        <v>45981.39862268518</v>
      </c>
      <c r="C240" s="1" t="n">
        <v>46088</v>
      </c>
      <c r="D240" t="inlineStr">
        <is>
          <t>VÄSTRA GÖTALANDS LÄN</t>
        </is>
      </c>
      <c r="E240" t="inlineStr">
        <is>
          <t>UDDEVALLA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2427-2026</t>
        </is>
      </c>
      <c r="B241" s="1" t="n">
        <v>46036.80162037037</v>
      </c>
      <c r="C241" s="1" t="n">
        <v>46088</v>
      </c>
      <c r="D241" t="inlineStr">
        <is>
          <t>VÄSTRA GÖTALANDS LÄN</t>
        </is>
      </c>
      <c r="E241" t="inlineStr">
        <is>
          <t>UDDEVALLA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18225-2025</t>
        </is>
      </c>
      <c r="B242" s="1" t="n">
        <v>45761.79899305556</v>
      </c>
      <c r="C242" s="1" t="n">
        <v>46088</v>
      </c>
      <c r="D242" t="inlineStr">
        <is>
          <t>VÄSTRA GÖTALANDS LÄN</t>
        </is>
      </c>
      <c r="E242" t="inlineStr">
        <is>
          <t>UDDEVALLA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18226-2025</t>
        </is>
      </c>
      <c r="B243" s="1" t="n">
        <v>45761.8005324074</v>
      </c>
      <c r="C243" s="1" t="n">
        <v>46088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57287-2025</t>
        </is>
      </c>
      <c r="B244" s="1" t="n">
        <v>45979.75311342593</v>
      </c>
      <c r="C244" s="1" t="n">
        <v>46088</v>
      </c>
      <c r="D244" t="inlineStr">
        <is>
          <t>VÄSTRA GÖTALANDS LÄN</t>
        </is>
      </c>
      <c r="E244" t="inlineStr">
        <is>
          <t>UDDEVALLA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57750-2025</t>
        </is>
      </c>
      <c r="B245" s="1" t="n">
        <v>45981.54017361111</v>
      </c>
      <c r="C245" s="1" t="n">
        <v>46088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17964-2022</t>
        </is>
      </c>
      <c r="B246" s="1" t="n">
        <v>44683.68414351852</v>
      </c>
      <c r="C246" s="1" t="n">
        <v>46088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57755-2025</t>
        </is>
      </c>
      <c r="B247" s="1" t="n">
        <v>45981.54432870371</v>
      </c>
      <c r="C247" s="1" t="n">
        <v>46088</v>
      </c>
      <c r="D247" t="inlineStr">
        <is>
          <t>VÄSTRA GÖTALANDS LÄN</t>
        </is>
      </c>
      <c r="E247" t="inlineStr">
        <is>
          <t>UDDEVALLA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57762-2025</t>
        </is>
      </c>
      <c r="B248" s="1" t="n">
        <v>45981.55390046296</v>
      </c>
      <c r="C248" s="1" t="n">
        <v>46088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55254-2023</t>
        </is>
      </c>
      <c r="B249" s="1" t="n">
        <v>45237.65777777778</v>
      </c>
      <c r="C249" s="1" t="n">
        <v>46088</v>
      </c>
      <c r="D249" t="inlineStr">
        <is>
          <t>VÄSTRA GÖTALANDS LÄN</t>
        </is>
      </c>
      <c r="E249" t="inlineStr">
        <is>
          <t>UDDEVALLA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37427-2024</t>
        </is>
      </c>
      <c r="B250" s="1" t="n">
        <v>45540.64853009259</v>
      </c>
      <c r="C250" s="1" t="n">
        <v>46088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2424-2026</t>
        </is>
      </c>
      <c r="B251" s="1" t="n">
        <v>46036.79939814815</v>
      </c>
      <c r="C251" s="1" t="n">
        <v>46088</v>
      </c>
      <c r="D251" t="inlineStr">
        <is>
          <t>VÄSTRA GÖTALANDS LÄN</t>
        </is>
      </c>
      <c r="E251" t="inlineStr">
        <is>
          <t>UDDEVALLA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2428-2026</t>
        </is>
      </c>
      <c r="B252" s="1" t="n">
        <v>46036.80240740741</v>
      </c>
      <c r="C252" s="1" t="n">
        <v>46088</v>
      </c>
      <c r="D252" t="inlineStr">
        <is>
          <t>VÄSTRA GÖTALANDS LÄN</t>
        </is>
      </c>
      <c r="E252" t="inlineStr">
        <is>
          <t>UDDEVALLA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2426-2026</t>
        </is>
      </c>
      <c r="B253" s="1" t="n">
        <v>46036.80075231481</v>
      </c>
      <c r="C253" s="1" t="n">
        <v>46088</v>
      </c>
      <c r="D253" t="inlineStr">
        <is>
          <t>VÄSTRA GÖTALANDS LÄN</t>
        </is>
      </c>
      <c r="E253" t="inlineStr">
        <is>
          <t>UDDEVALLA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20706-2024</t>
        </is>
      </c>
      <c r="B254" s="1" t="n">
        <v>45436.61275462963</v>
      </c>
      <c r="C254" s="1" t="n">
        <v>46088</v>
      </c>
      <c r="D254" t="inlineStr">
        <is>
          <t>VÄSTRA GÖTALANDS LÄN</t>
        </is>
      </c>
      <c r="E254" t="inlineStr">
        <is>
          <t>UDDEVALLA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58416-2025</t>
        </is>
      </c>
      <c r="B255" s="1" t="n">
        <v>45985</v>
      </c>
      <c r="C255" s="1" t="n">
        <v>46088</v>
      </c>
      <c r="D255" t="inlineStr">
        <is>
          <t>VÄSTRA GÖTALANDS LÄN</t>
        </is>
      </c>
      <c r="E255" t="inlineStr">
        <is>
          <t>UDDEVALLA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2308-2026</t>
        </is>
      </c>
      <c r="B256" s="1" t="n">
        <v>46036.59365740741</v>
      </c>
      <c r="C256" s="1" t="n">
        <v>46088</v>
      </c>
      <c r="D256" t="inlineStr">
        <is>
          <t>VÄSTRA GÖTALANDS LÄN</t>
        </is>
      </c>
      <c r="E256" t="inlineStr">
        <is>
          <t>UDDEVALLA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2327-2026</t>
        </is>
      </c>
      <c r="B257" s="1" t="n">
        <v>46036.60586805556</v>
      </c>
      <c r="C257" s="1" t="n">
        <v>46088</v>
      </c>
      <c r="D257" t="inlineStr">
        <is>
          <t>VÄSTRA GÖTALANDS LÄN</t>
        </is>
      </c>
      <c r="E257" t="inlineStr">
        <is>
          <t>UDDEVALLA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58342-2025</t>
        </is>
      </c>
      <c r="B258" s="1" t="n">
        <v>45985.49582175926</v>
      </c>
      <c r="C258" s="1" t="n">
        <v>46088</v>
      </c>
      <c r="D258" t="inlineStr">
        <is>
          <t>VÄSTRA GÖTALANDS LÄN</t>
        </is>
      </c>
      <c r="E258" t="inlineStr">
        <is>
          <t>UDDEVALLA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1331-2025</t>
        </is>
      </c>
      <c r="B259" s="1" t="n">
        <v>45667.57825231482</v>
      </c>
      <c r="C259" s="1" t="n">
        <v>46088</v>
      </c>
      <c r="D259" t="inlineStr">
        <is>
          <t>VÄSTRA GÖTALANDS LÄN</t>
        </is>
      </c>
      <c r="E259" t="inlineStr">
        <is>
          <t>UDDEVALLA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58563-2025</t>
        </is>
      </c>
      <c r="B260" s="1" t="n">
        <v>45986.35770833334</v>
      </c>
      <c r="C260" s="1" t="n">
        <v>46088</v>
      </c>
      <c r="D260" t="inlineStr">
        <is>
          <t>VÄSTRA GÖTALANDS LÄN</t>
        </is>
      </c>
      <c r="E260" t="inlineStr">
        <is>
          <t>UDDEVALLA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2287-2026</t>
        </is>
      </c>
      <c r="B261" s="1" t="n">
        <v>46036.58035879629</v>
      </c>
      <c r="C261" s="1" t="n">
        <v>46088</v>
      </c>
      <c r="D261" t="inlineStr">
        <is>
          <t>VÄSTRA GÖTALANDS LÄN</t>
        </is>
      </c>
      <c r="E261" t="inlineStr">
        <is>
          <t>UDDEVALLA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59296-2025</t>
        </is>
      </c>
      <c r="B262" s="1" t="n">
        <v>45988</v>
      </c>
      <c r="C262" s="1" t="n">
        <v>46088</v>
      </c>
      <c r="D262" t="inlineStr">
        <is>
          <t>VÄSTRA GÖTALANDS LÄN</t>
        </is>
      </c>
      <c r="E262" t="inlineStr">
        <is>
          <t>UDDEVALLA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59801-2025</t>
        </is>
      </c>
      <c r="B263" s="1" t="n">
        <v>45992.6203125</v>
      </c>
      <c r="C263" s="1" t="n">
        <v>46088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59606-2025</t>
        </is>
      </c>
      <c r="B264" s="1" t="n">
        <v>45992.36221064815</v>
      </c>
      <c r="C264" s="1" t="n">
        <v>46088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39559-2023</t>
        </is>
      </c>
      <c r="B265" s="1" t="n">
        <v>45167</v>
      </c>
      <c r="C265" s="1" t="n">
        <v>46088</v>
      </c>
      <c r="D265" t="inlineStr">
        <is>
          <t>VÄSTRA GÖTALANDS LÄN</t>
        </is>
      </c>
      <c r="E265" t="inlineStr">
        <is>
          <t>UDDEVALLA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59242-2025</t>
        </is>
      </c>
      <c r="B266" s="1" t="n">
        <v>45988</v>
      </c>
      <c r="C266" s="1" t="n">
        <v>46088</v>
      </c>
      <c r="D266" t="inlineStr">
        <is>
          <t>VÄSTRA GÖTALANDS LÄN</t>
        </is>
      </c>
      <c r="E266" t="inlineStr">
        <is>
          <t>UDDEVALLA</t>
        </is>
      </c>
      <c r="G266" t="n">
        <v>30.7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20842-2024</t>
        </is>
      </c>
      <c r="B267" s="1" t="n">
        <v>45439.40318287037</v>
      </c>
      <c r="C267" s="1" t="n">
        <v>46088</v>
      </c>
      <c r="D267" t="inlineStr">
        <is>
          <t>VÄSTRA GÖTALANDS LÄN</t>
        </is>
      </c>
      <c r="E267" t="inlineStr">
        <is>
          <t>UDDEVALLA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11465-2026</t>
        </is>
      </c>
      <c r="B268" s="1" t="n">
        <v>46083.58396990741</v>
      </c>
      <c r="C268" s="1" t="n">
        <v>46088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Kyrkan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2047-2025</t>
        </is>
      </c>
      <c r="B269" s="1" t="n">
        <v>45672.51982638889</v>
      </c>
      <c r="C269" s="1" t="n">
        <v>46088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60989-2025</t>
        </is>
      </c>
      <c r="B270" s="1" t="n">
        <v>45999.71597222222</v>
      </c>
      <c r="C270" s="1" t="n">
        <v>46088</v>
      </c>
      <c r="D270" t="inlineStr">
        <is>
          <t>VÄSTRA GÖTALANDS LÄN</t>
        </is>
      </c>
      <c r="E270" t="inlineStr">
        <is>
          <t>UDDEVALLA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659-2025</t>
        </is>
      </c>
      <c r="B271" s="1" t="n">
        <v>45664.68422453704</v>
      </c>
      <c r="C271" s="1" t="n">
        <v>46088</v>
      </c>
      <c r="D271" t="inlineStr">
        <is>
          <t>VÄSTRA GÖTALANDS LÄN</t>
        </is>
      </c>
      <c r="E271" t="inlineStr">
        <is>
          <t>UDDEVALLA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30639-2024</t>
        </is>
      </c>
      <c r="B272" s="1" t="n">
        <v>45495.56979166667</v>
      </c>
      <c r="C272" s="1" t="n">
        <v>46088</v>
      </c>
      <c r="D272" t="inlineStr">
        <is>
          <t>VÄSTRA GÖTALANDS LÄN</t>
        </is>
      </c>
      <c r="E272" t="inlineStr">
        <is>
          <t>UDDEVALLA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60143-2025</t>
        </is>
      </c>
      <c r="B273" s="1" t="n">
        <v>45994.37936342593</v>
      </c>
      <c r="C273" s="1" t="n">
        <v>46088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38628-2024</t>
        </is>
      </c>
      <c r="B274" s="1" t="n">
        <v>45546.74638888889</v>
      </c>
      <c r="C274" s="1" t="n">
        <v>46088</v>
      </c>
      <c r="D274" t="inlineStr">
        <is>
          <t>VÄSTRA GÖTALANDS LÄN</t>
        </is>
      </c>
      <c r="E274" t="inlineStr">
        <is>
          <t>UDDEVALLA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3774-2026</t>
        </is>
      </c>
      <c r="B275" s="1" t="n">
        <v>46043.56429398148</v>
      </c>
      <c r="C275" s="1" t="n">
        <v>46088</v>
      </c>
      <c r="D275" t="inlineStr">
        <is>
          <t>VÄSTRA GÖTALANDS LÄN</t>
        </is>
      </c>
      <c r="E275" t="inlineStr">
        <is>
          <t>UDDEVALLA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62567-2025</t>
        </is>
      </c>
      <c r="B276" s="1" t="n">
        <v>46007.69918981481</v>
      </c>
      <c r="C276" s="1" t="n">
        <v>46088</v>
      </c>
      <c r="D276" t="inlineStr">
        <is>
          <t>VÄSTRA GÖTALANDS LÄN</t>
        </is>
      </c>
      <c r="E276" t="inlineStr">
        <is>
          <t>UDDEVALLA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7771-2023</t>
        </is>
      </c>
      <c r="B277" s="1" t="n">
        <v>44973</v>
      </c>
      <c r="C277" s="1" t="n">
        <v>46088</v>
      </c>
      <c r="D277" t="inlineStr">
        <is>
          <t>VÄSTRA GÖTALANDS LÄN</t>
        </is>
      </c>
      <c r="E277" t="inlineStr">
        <is>
          <t>UDDEVALLA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18916-2025</t>
        </is>
      </c>
      <c r="B278" s="1" t="n">
        <v>45764.47046296296</v>
      </c>
      <c r="C278" s="1" t="n">
        <v>46088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62365-2025</t>
        </is>
      </c>
      <c r="B279" s="1" t="n">
        <v>46007.3280787037</v>
      </c>
      <c r="C279" s="1" t="n">
        <v>46088</v>
      </c>
      <c r="D279" t="inlineStr">
        <is>
          <t>VÄSTRA GÖTALANDS LÄN</t>
        </is>
      </c>
      <c r="E279" t="inlineStr">
        <is>
          <t>UDDEVALLA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2647-2024</t>
        </is>
      </c>
      <c r="B280" s="1" t="n">
        <v>45314.36715277778</v>
      </c>
      <c r="C280" s="1" t="n">
        <v>46088</v>
      </c>
      <c r="D280" t="inlineStr">
        <is>
          <t>VÄSTRA GÖTALANDS LÄN</t>
        </is>
      </c>
      <c r="E280" t="inlineStr">
        <is>
          <t>UDDEVALLA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5635-2025</t>
        </is>
      </c>
      <c r="B281" s="1" t="n">
        <v>45693.67005787037</v>
      </c>
      <c r="C281" s="1" t="n">
        <v>46088</v>
      </c>
      <c r="D281" t="inlineStr">
        <is>
          <t>VÄSTRA GÖTALANDS LÄN</t>
        </is>
      </c>
      <c r="E281" t="inlineStr">
        <is>
          <t>UDDEVALLA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63085-2025</t>
        </is>
      </c>
      <c r="B282" s="1" t="n">
        <v>46009.67349537037</v>
      </c>
      <c r="C282" s="1" t="n">
        <v>46088</v>
      </c>
      <c r="D282" t="inlineStr">
        <is>
          <t>VÄSTRA GÖTALANDS LÄN</t>
        </is>
      </c>
      <c r="E282" t="inlineStr">
        <is>
          <t>UDDEVALLA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11788-2024</t>
        </is>
      </c>
      <c r="B283" s="1" t="n">
        <v>45374</v>
      </c>
      <c r="C283" s="1" t="n">
        <v>46088</v>
      </c>
      <c r="D283" t="inlineStr">
        <is>
          <t>VÄSTRA GÖTALANDS LÄN</t>
        </is>
      </c>
      <c r="E283" t="inlineStr">
        <is>
          <t>UDDEVALLA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3839-2023</t>
        </is>
      </c>
      <c r="B284" s="1" t="n">
        <v>44951</v>
      </c>
      <c r="C284" s="1" t="n">
        <v>46088</v>
      </c>
      <c r="D284" t="inlineStr">
        <is>
          <t>VÄSTRA GÖTALANDS LÄN</t>
        </is>
      </c>
      <c r="E284" t="inlineStr">
        <is>
          <t>UDDEVALLA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240-2023</t>
        </is>
      </c>
      <c r="B285" s="1" t="n">
        <v>44928</v>
      </c>
      <c r="C285" s="1" t="n">
        <v>46088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1147-2024</t>
        </is>
      </c>
      <c r="B286" s="1" t="n">
        <v>45302</v>
      </c>
      <c r="C286" s="1" t="n">
        <v>46088</v>
      </c>
      <c r="D286" t="inlineStr">
        <is>
          <t>VÄSTRA GÖTALANDS LÄN</t>
        </is>
      </c>
      <c r="E286" t="inlineStr">
        <is>
          <t>UDDEVALLA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24081-2024</t>
        </is>
      </c>
      <c r="B287" s="1" t="n">
        <v>45456.57019675926</v>
      </c>
      <c r="C287" s="1" t="n">
        <v>46088</v>
      </c>
      <c r="D287" t="inlineStr">
        <is>
          <t>VÄSTRA GÖTALANDS LÄN</t>
        </is>
      </c>
      <c r="E287" t="inlineStr">
        <is>
          <t>UDDEVALLA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38557-2022</t>
        </is>
      </c>
      <c r="B288" s="1" t="n">
        <v>44813</v>
      </c>
      <c r="C288" s="1" t="n">
        <v>46088</v>
      </c>
      <c r="D288" t="inlineStr">
        <is>
          <t>VÄSTRA GÖTALANDS LÄN</t>
        </is>
      </c>
      <c r="E288" t="inlineStr">
        <is>
          <t>UDDEVALLA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15634-2023</t>
        </is>
      </c>
      <c r="B289" s="1" t="n">
        <v>45021</v>
      </c>
      <c r="C289" s="1" t="n">
        <v>46088</v>
      </c>
      <c r="D289" t="inlineStr">
        <is>
          <t>VÄSTRA GÖTALANDS LÄN</t>
        </is>
      </c>
      <c r="E289" t="inlineStr">
        <is>
          <t>UDDEVALLA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16332-2025</t>
        </is>
      </c>
      <c r="B290" s="1" t="n">
        <v>45751.36189814815</v>
      </c>
      <c r="C290" s="1" t="n">
        <v>46088</v>
      </c>
      <c r="D290" t="inlineStr">
        <is>
          <t>VÄSTRA GÖTALANDS LÄN</t>
        </is>
      </c>
      <c r="E290" t="inlineStr">
        <is>
          <t>UDDEVALLA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1293-2024</t>
        </is>
      </c>
      <c r="B291" s="1" t="n">
        <v>45303.34233796296</v>
      </c>
      <c r="C291" s="1" t="n">
        <v>46088</v>
      </c>
      <c r="D291" t="inlineStr">
        <is>
          <t>VÄSTRA GÖTALANDS LÄN</t>
        </is>
      </c>
      <c r="E291" t="inlineStr">
        <is>
          <t>UDDEVALLA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73007-2021</t>
        </is>
      </c>
      <c r="B292" s="1" t="n">
        <v>44550</v>
      </c>
      <c r="C292" s="1" t="n">
        <v>46088</v>
      </c>
      <c r="D292" t="inlineStr">
        <is>
          <t>VÄSTRA GÖTALANDS LÄN</t>
        </is>
      </c>
      <c r="E292" t="inlineStr">
        <is>
          <t>UDDEVALLA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55731-2023</t>
        </is>
      </c>
      <c r="B293" s="1" t="n">
        <v>45239</v>
      </c>
      <c r="C293" s="1" t="n">
        <v>46088</v>
      </c>
      <c r="D293" t="inlineStr">
        <is>
          <t>VÄSTRA GÖTALANDS LÄN</t>
        </is>
      </c>
      <c r="E293" t="inlineStr">
        <is>
          <t>UDDEVALLA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4117-2026</t>
        </is>
      </c>
      <c r="B294" s="1" t="n">
        <v>46044.60664351852</v>
      </c>
      <c r="C294" s="1" t="n">
        <v>46088</v>
      </c>
      <c r="D294" t="inlineStr">
        <is>
          <t>VÄSTRA GÖTALANDS LÄN</t>
        </is>
      </c>
      <c r="E294" t="inlineStr">
        <is>
          <t>UDDEVALLA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18227-2025</t>
        </is>
      </c>
      <c r="B295" s="1" t="n">
        <v>45761.80167824074</v>
      </c>
      <c r="C295" s="1" t="n">
        <v>46088</v>
      </c>
      <c r="D295" t="inlineStr">
        <is>
          <t>VÄSTRA GÖTALANDS LÄN</t>
        </is>
      </c>
      <c r="E295" t="inlineStr">
        <is>
          <t>UDDEVALLA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13381-2023</t>
        </is>
      </c>
      <c r="B296" s="1" t="n">
        <v>45005</v>
      </c>
      <c r="C296" s="1" t="n">
        <v>46088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49142-2024</t>
        </is>
      </c>
      <c r="B297" s="1" t="n">
        <v>45594.71888888889</v>
      </c>
      <c r="C297" s="1" t="n">
        <v>46088</v>
      </c>
      <c r="D297" t="inlineStr">
        <is>
          <t>VÄSTRA GÖTALANDS LÄN</t>
        </is>
      </c>
      <c r="E297" t="inlineStr">
        <is>
          <t>UDDEVALLA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73437-2021</t>
        </is>
      </c>
      <c r="B298" s="1" t="n">
        <v>44551</v>
      </c>
      <c r="C298" s="1" t="n">
        <v>46088</v>
      </c>
      <c r="D298" t="inlineStr">
        <is>
          <t>VÄSTRA GÖTALANDS LÄN</t>
        </is>
      </c>
      <c r="E298" t="inlineStr">
        <is>
          <t>UDDEVALLA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1956-2023</t>
        </is>
      </c>
      <c r="B299" s="1" t="n">
        <v>44924</v>
      </c>
      <c r="C299" s="1" t="n">
        <v>46088</v>
      </c>
      <c r="D299" t="inlineStr">
        <is>
          <t>VÄSTRA GÖTALANDS LÄN</t>
        </is>
      </c>
      <c r="E299" t="inlineStr">
        <is>
          <t>UDDEVALLA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46088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64083-2023</t>
        </is>
      </c>
      <c r="B301" s="1" t="n">
        <v>45279</v>
      </c>
      <c r="C301" s="1" t="n">
        <v>46088</v>
      </c>
      <c r="D301" t="inlineStr">
        <is>
          <t>VÄSTRA GÖTALANDS LÄN</t>
        </is>
      </c>
      <c r="E301" t="inlineStr">
        <is>
          <t>UDDEVALLA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33761-2023</t>
        </is>
      </c>
      <c r="B302" s="1" t="n">
        <v>45133</v>
      </c>
      <c r="C302" s="1" t="n">
        <v>46088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8893-2024</t>
        </is>
      </c>
      <c r="B303" s="1" t="n">
        <v>45355</v>
      </c>
      <c r="C303" s="1" t="n">
        <v>46088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2306-2022</t>
        </is>
      </c>
      <c r="B304" s="1" t="n">
        <v>44578</v>
      </c>
      <c r="C304" s="1" t="n">
        <v>46088</v>
      </c>
      <c r="D304" t="inlineStr">
        <is>
          <t>VÄSTRA GÖTALANDS LÄN</t>
        </is>
      </c>
      <c r="E304" t="inlineStr">
        <is>
          <t>UDDEVALLA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34058-2023</t>
        </is>
      </c>
      <c r="B305" s="1" t="n">
        <v>45135</v>
      </c>
      <c r="C305" s="1" t="n">
        <v>46088</v>
      </c>
      <c r="D305" t="inlineStr">
        <is>
          <t>VÄSTRA GÖTALANDS LÄN</t>
        </is>
      </c>
      <c r="E305" t="inlineStr">
        <is>
          <t>UDDEVALLA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29691-2023</t>
        </is>
      </c>
      <c r="B306" s="1" t="n">
        <v>45107</v>
      </c>
      <c r="C306" s="1" t="n">
        <v>46088</v>
      </c>
      <c r="D306" t="inlineStr">
        <is>
          <t>VÄSTRA GÖTALANDS LÄN</t>
        </is>
      </c>
      <c r="E306" t="inlineStr">
        <is>
          <t>UDDEVALLA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25469-2024</t>
        </is>
      </c>
      <c r="B307" s="1" t="n">
        <v>45463.44024305556</v>
      </c>
      <c r="C307" s="1" t="n">
        <v>46088</v>
      </c>
      <c r="D307" t="inlineStr">
        <is>
          <t>VÄSTRA GÖTALANDS LÄN</t>
        </is>
      </c>
      <c r="E307" t="inlineStr">
        <is>
          <t>UDDEVALLA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11850-2021</t>
        </is>
      </c>
      <c r="B308" s="1" t="n">
        <v>44265</v>
      </c>
      <c r="C308" s="1" t="n">
        <v>46088</v>
      </c>
      <c r="D308" t="inlineStr">
        <is>
          <t>VÄSTRA GÖTALANDS LÄN</t>
        </is>
      </c>
      <c r="E308" t="inlineStr">
        <is>
          <t>UDDEVALLA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21581-2023</t>
        </is>
      </c>
      <c r="B309" s="1" t="n">
        <v>45063</v>
      </c>
      <c r="C309" s="1" t="n">
        <v>46088</v>
      </c>
      <c r="D309" t="inlineStr">
        <is>
          <t>VÄSTRA GÖTALANDS LÄN</t>
        </is>
      </c>
      <c r="E309" t="inlineStr">
        <is>
          <t>UDDEVALLA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41292-2022</t>
        </is>
      </c>
      <c r="B310" s="1" t="n">
        <v>44825</v>
      </c>
      <c r="C310" s="1" t="n">
        <v>46088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27524-2023</t>
        </is>
      </c>
      <c r="B311" s="1" t="n">
        <v>45097</v>
      </c>
      <c r="C311" s="1" t="n">
        <v>46088</v>
      </c>
      <c r="D311" t="inlineStr">
        <is>
          <t>VÄSTRA GÖTALANDS LÄN</t>
        </is>
      </c>
      <c r="E311" t="inlineStr">
        <is>
          <t>UDDEVALLA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7726-2024</t>
        </is>
      </c>
      <c r="B312" s="1" t="n">
        <v>45349</v>
      </c>
      <c r="C312" s="1" t="n">
        <v>46088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33205-2023</t>
        </is>
      </c>
      <c r="B313" s="1" t="n">
        <v>45127</v>
      </c>
      <c r="C313" s="1" t="n">
        <v>46088</v>
      </c>
      <c r="D313" t="inlineStr">
        <is>
          <t>VÄSTRA GÖTALANDS LÄN</t>
        </is>
      </c>
      <c r="E313" t="inlineStr">
        <is>
          <t>UDDEVALLA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39867-2023</t>
        </is>
      </c>
      <c r="B314" s="1" t="n">
        <v>45168.39663194444</v>
      </c>
      <c r="C314" s="1" t="n">
        <v>46088</v>
      </c>
      <c r="D314" t="inlineStr">
        <is>
          <t>VÄSTRA GÖTALANDS LÄN</t>
        </is>
      </c>
      <c r="E314" t="inlineStr">
        <is>
          <t>UDDEVALLA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27529-2023</t>
        </is>
      </c>
      <c r="B315" s="1" t="n">
        <v>45097</v>
      </c>
      <c r="C315" s="1" t="n">
        <v>46088</v>
      </c>
      <c r="D315" t="inlineStr">
        <is>
          <t>VÄSTRA GÖTALANDS LÄN</t>
        </is>
      </c>
      <c r="E315" t="inlineStr">
        <is>
          <t>UDDEVALLA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4505-2023</t>
        </is>
      </c>
      <c r="B316" s="1" t="n">
        <v>44956.56306712963</v>
      </c>
      <c r="C316" s="1" t="n">
        <v>46088</v>
      </c>
      <c r="D316" t="inlineStr">
        <is>
          <t>VÄSTRA GÖTALANDS LÄN</t>
        </is>
      </c>
      <c r="E316" t="inlineStr">
        <is>
          <t>UDDEVALLA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23210-2023</t>
        </is>
      </c>
      <c r="B317" s="1" t="n">
        <v>45071</v>
      </c>
      <c r="C317" s="1" t="n">
        <v>46088</v>
      </c>
      <c r="D317" t="inlineStr">
        <is>
          <t>VÄSTRA GÖTALANDS LÄN</t>
        </is>
      </c>
      <c r="E317" t="inlineStr">
        <is>
          <t>UDDEVALLA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33092-2024</t>
        </is>
      </c>
      <c r="B318" s="1" t="n">
        <v>45517.68732638889</v>
      </c>
      <c r="C318" s="1" t="n">
        <v>46088</v>
      </c>
      <c r="D318" t="inlineStr">
        <is>
          <t>VÄSTRA GÖTALANDS LÄN</t>
        </is>
      </c>
      <c r="E318" t="inlineStr">
        <is>
          <t>UDDEVALLA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25813-2022</t>
        </is>
      </c>
      <c r="B319" s="1" t="n">
        <v>44733</v>
      </c>
      <c r="C319" s="1" t="n">
        <v>46088</v>
      </c>
      <c r="D319" t="inlineStr">
        <is>
          <t>VÄSTRA GÖTALANDS LÄN</t>
        </is>
      </c>
      <c r="E319" t="inlineStr">
        <is>
          <t>UDDEVALLA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7583-2025</t>
        </is>
      </c>
      <c r="B320" s="1" t="n">
        <v>45705.62212962963</v>
      </c>
      <c r="C320" s="1" t="n">
        <v>46088</v>
      </c>
      <c r="D320" t="inlineStr">
        <is>
          <t>VÄSTRA GÖTALANDS LÄN</t>
        </is>
      </c>
      <c r="E320" t="inlineStr">
        <is>
          <t>UDDEVALLA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20703-2023</t>
        </is>
      </c>
      <c r="B321" s="1" t="n">
        <v>45058</v>
      </c>
      <c r="C321" s="1" t="n">
        <v>46088</v>
      </c>
      <c r="D321" t="inlineStr">
        <is>
          <t>VÄSTRA GÖTALANDS LÄN</t>
        </is>
      </c>
      <c r="E321" t="inlineStr">
        <is>
          <t>UDDEVALLA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63878-2021</t>
        </is>
      </c>
      <c r="B322" s="1" t="n">
        <v>44509</v>
      </c>
      <c r="C322" s="1" t="n">
        <v>46088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6875-2022</t>
        </is>
      </c>
      <c r="B323" s="1" t="n">
        <v>44602</v>
      </c>
      <c r="C323" s="1" t="n">
        <v>46088</v>
      </c>
      <c r="D323" t="inlineStr">
        <is>
          <t>VÄSTRA GÖTALANDS LÄN</t>
        </is>
      </c>
      <c r="E323" t="inlineStr">
        <is>
          <t>UDDEVALLA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1051-2023</t>
        </is>
      </c>
      <c r="B324" s="1" t="n">
        <v>44935</v>
      </c>
      <c r="C324" s="1" t="n">
        <v>46088</v>
      </c>
      <c r="D324" t="inlineStr">
        <is>
          <t>VÄSTRA GÖTALANDS LÄN</t>
        </is>
      </c>
      <c r="E324" t="inlineStr">
        <is>
          <t>UDDEVALLA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16330-2025</t>
        </is>
      </c>
      <c r="B325" s="1" t="n">
        <v>45751.36060185185</v>
      </c>
      <c r="C325" s="1" t="n">
        <v>46088</v>
      </c>
      <c r="D325" t="inlineStr">
        <is>
          <t>VÄSTRA GÖTALANDS LÄN</t>
        </is>
      </c>
      <c r="E325" t="inlineStr">
        <is>
          <t>UDDEVALLA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17240-2023</t>
        </is>
      </c>
      <c r="B326" s="1" t="n">
        <v>45035.35192129629</v>
      </c>
      <c r="C326" s="1" t="n">
        <v>46088</v>
      </c>
      <c r="D326" t="inlineStr">
        <is>
          <t>VÄSTRA GÖTALANDS LÄN</t>
        </is>
      </c>
      <c r="E326" t="inlineStr">
        <is>
          <t>UDDEVALLA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17242-2023</t>
        </is>
      </c>
      <c r="B327" s="1" t="n">
        <v>45035.35361111111</v>
      </c>
      <c r="C327" s="1" t="n">
        <v>46088</v>
      </c>
      <c r="D327" t="inlineStr">
        <is>
          <t>VÄSTRA GÖTALANDS LÄN</t>
        </is>
      </c>
      <c r="E327" t="inlineStr">
        <is>
          <t>UDDEVALLA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10286-2024</t>
        </is>
      </c>
      <c r="B328" s="1" t="n">
        <v>45365</v>
      </c>
      <c r="C328" s="1" t="n">
        <v>46088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59139-2023</t>
        </is>
      </c>
      <c r="B329" s="1" t="n">
        <v>45251</v>
      </c>
      <c r="C329" s="1" t="n">
        <v>46088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50023-2023</t>
        </is>
      </c>
      <c r="B330" s="1" t="n">
        <v>45215</v>
      </c>
      <c r="C330" s="1" t="n">
        <v>46088</v>
      </c>
      <c r="D330" t="inlineStr">
        <is>
          <t>VÄSTRA GÖTALANDS LÄN</t>
        </is>
      </c>
      <c r="E330" t="inlineStr">
        <is>
          <t>UDDEVALLA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17058-2025</t>
        </is>
      </c>
      <c r="B331" s="1" t="n">
        <v>45754</v>
      </c>
      <c r="C331" s="1" t="n">
        <v>46088</v>
      </c>
      <c r="D331" t="inlineStr">
        <is>
          <t>VÄSTRA GÖTALANDS LÄN</t>
        </is>
      </c>
      <c r="E331" t="inlineStr">
        <is>
          <t>UDDEVALLA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58625-2024</t>
        </is>
      </c>
      <c r="B332" s="1" t="n">
        <v>45635</v>
      </c>
      <c r="C332" s="1" t="n">
        <v>46088</v>
      </c>
      <c r="D332" t="inlineStr">
        <is>
          <t>VÄSTRA GÖTALANDS LÄN</t>
        </is>
      </c>
      <c r="E332" t="inlineStr">
        <is>
          <t>UDDEVALLA</t>
        </is>
      </c>
      <c r="G332" t="n">
        <v>14.9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17824-2025</t>
        </is>
      </c>
      <c r="B333" s="1" t="n">
        <v>45758.57325231482</v>
      </c>
      <c r="C333" s="1" t="n">
        <v>46088</v>
      </c>
      <c r="D333" t="inlineStr">
        <is>
          <t>VÄSTRA GÖTALANDS LÄN</t>
        </is>
      </c>
      <c r="E333" t="inlineStr">
        <is>
          <t>UDDEVALLA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34110-2024</t>
        </is>
      </c>
      <c r="B334" s="1" t="n">
        <v>45524.28465277778</v>
      </c>
      <c r="C334" s="1" t="n">
        <v>46088</v>
      </c>
      <c r="D334" t="inlineStr">
        <is>
          <t>VÄSTRA GÖTALANDS LÄN</t>
        </is>
      </c>
      <c r="E334" t="inlineStr">
        <is>
          <t>UDDEVALLA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50274-2024</t>
        </is>
      </c>
      <c r="B335" s="1" t="n">
        <v>45600.600625</v>
      </c>
      <c r="C335" s="1" t="n">
        <v>46088</v>
      </c>
      <c r="D335" t="inlineStr">
        <is>
          <t>VÄSTRA GÖTALANDS LÄN</t>
        </is>
      </c>
      <c r="E335" t="inlineStr">
        <is>
          <t>UDDEVALLA</t>
        </is>
      </c>
      <c r="G335" t="n">
        <v>20.1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39088-2022</t>
        </is>
      </c>
      <c r="B336" s="1" t="n">
        <v>44817.41553240741</v>
      </c>
      <c r="C336" s="1" t="n">
        <v>46088</v>
      </c>
      <c r="D336" t="inlineStr">
        <is>
          <t>VÄSTRA GÖTALANDS LÄN</t>
        </is>
      </c>
      <c r="E336" t="inlineStr">
        <is>
          <t>UDDEVALLA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18296-2021</t>
        </is>
      </c>
      <c r="B337" s="1" t="n">
        <v>44305.44487268518</v>
      </c>
      <c r="C337" s="1" t="n">
        <v>46088</v>
      </c>
      <c r="D337" t="inlineStr">
        <is>
          <t>VÄSTRA GÖTALANDS LÄN</t>
        </is>
      </c>
      <c r="E337" t="inlineStr">
        <is>
          <t>UDDEVALLA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39621-2023</t>
        </is>
      </c>
      <c r="B338" s="1" t="n">
        <v>45167</v>
      </c>
      <c r="C338" s="1" t="n">
        <v>46088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4771-2025</t>
        </is>
      </c>
      <c r="B339" s="1" t="n">
        <v>45688.49644675926</v>
      </c>
      <c r="C339" s="1" t="n">
        <v>46088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46088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14604-2022</t>
        </is>
      </c>
      <c r="B341" s="1" t="n">
        <v>44655.59598379629</v>
      </c>
      <c r="C341" s="1" t="n">
        <v>46088</v>
      </c>
      <c r="D341" t="inlineStr">
        <is>
          <t>VÄSTRA GÖTALANDS LÄN</t>
        </is>
      </c>
      <c r="E341" t="inlineStr">
        <is>
          <t>UDDEVALLA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55416-2023</t>
        </is>
      </c>
      <c r="B342" s="1" t="n">
        <v>45238</v>
      </c>
      <c r="C342" s="1" t="n">
        <v>46088</v>
      </c>
      <c r="D342" t="inlineStr">
        <is>
          <t>VÄSTRA GÖTALANDS LÄN</t>
        </is>
      </c>
      <c r="E342" t="inlineStr">
        <is>
          <t>UDDEVALLA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19982-2025</t>
        </is>
      </c>
      <c r="B343" s="1" t="n">
        <v>45771.71873842592</v>
      </c>
      <c r="C343" s="1" t="n">
        <v>46088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23395-2023</t>
        </is>
      </c>
      <c r="B344" s="1" t="n">
        <v>45076</v>
      </c>
      <c r="C344" s="1" t="n">
        <v>46088</v>
      </c>
      <c r="D344" t="inlineStr">
        <is>
          <t>VÄSTRA GÖTALANDS LÄN</t>
        </is>
      </c>
      <c r="E344" t="inlineStr">
        <is>
          <t>UDDEVALLA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9797-2023</t>
        </is>
      </c>
      <c r="B345" s="1" t="n">
        <v>44984</v>
      </c>
      <c r="C345" s="1" t="n">
        <v>46088</v>
      </c>
      <c r="D345" t="inlineStr">
        <is>
          <t>VÄSTRA GÖTALANDS LÄN</t>
        </is>
      </c>
      <c r="E345" t="inlineStr">
        <is>
          <t>UDDEVALLA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17139-2023</t>
        </is>
      </c>
      <c r="B346" s="1" t="n">
        <v>45034.61293981481</v>
      </c>
      <c r="C346" s="1" t="n">
        <v>46088</v>
      </c>
      <c r="D346" t="inlineStr">
        <is>
          <t>VÄSTRA GÖTALANDS LÄN</t>
        </is>
      </c>
      <c r="E346" t="inlineStr">
        <is>
          <t>UDDEVALLA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5632-2025</t>
        </is>
      </c>
      <c r="B347" s="1" t="n">
        <v>45693.6652662037</v>
      </c>
      <c r="C347" s="1" t="n">
        <v>46088</v>
      </c>
      <c r="D347" t="inlineStr">
        <is>
          <t>VÄSTRA GÖTALANDS LÄN</t>
        </is>
      </c>
      <c r="E347" t="inlineStr">
        <is>
          <t>UDDEVALLA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26940-2023</t>
        </is>
      </c>
      <c r="B348" s="1" t="n">
        <v>45093.62900462963</v>
      </c>
      <c r="C348" s="1" t="n">
        <v>46088</v>
      </c>
      <c r="D348" t="inlineStr">
        <is>
          <t>VÄSTRA GÖTALANDS LÄN</t>
        </is>
      </c>
      <c r="E348" t="inlineStr">
        <is>
          <t>UDDEVALLA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27869-2024</t>
        </is>
      </c>
      <c r="B349" s="1" t="n">
        <v>45475.70398148148</v>
      </c>
      <c r="C349" s="1" t="n">
        <v>46088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69198-2021</t>
        </is>
      </c>
      <c r="B350" s="1" t="n">
        <v>44531.34621527778</v>
      </c>
      <c r="C350" s="1" t="n">
        <v>46088</v>
      </c>
      <c r="D350" t="inlineStr">
        <is>
          <t>VÄSTRA GÖTALANDS LÄN</t>
        </is>
      </c>
      <c r="E350" t="inlineStr">
        <is>
          <t>UDDEVALLA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40121-2024</t>
        </is>
      </c>
      <c r="B351" s="1" t="n">
        <v>45554.46591435185</v>
      </c>
      <c r="C351" s="1" t="n">
        <v>46088</v>
      </c>
      <c r="D351" t="inlineStr">
        <is>
          <t>VÄSTRA GÖTALANDS LÄN</t>
        </is>
      </c>
      <c r="E351" t="inlineStr">
        <is>
          <t>UDDEVALLA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16205-2023</t>
        </is>
      </c>
      <c r="B352" s="1" t="n">
        <v>45028.35108796296</v>
      </c>
      <c r="C352" s="1" t="n">
        <v>46088</v>
      </c>
      <c r="D352" t="inlineStr">
        <is>
          <t>VÄSTRA GÖTALANDS LÄN</t>
        </is>
      </c>
      <c r="E352" t="inlineStr">
        <is>
          <t>UDDEVALLA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46088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32531-2023</t>
        </is>
      </c>
      <c r="B354" s="1" t="n">
        <v>45121</v>
      </c>
      <c r="C354" s="1" t="n">
        <v>46088</v>
      </c>
      <c r="D354" t="inlineStr">
        <is>
          <t>VÄSTRA GÖTALANDS LÄN</t>
        </is>
      </c>
      <c r="E354" t="inlineStr">
        <is>
          <t>UDDEVALLA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10585-2024</t>
        </is>
      </c>
      <c r="B355" s="1" t="n">
        <v>45366.69503472222</v>
      </c>
      <c r="C355" s="1" t="n">
        <v>46088</v>
      </c>
      <c r="D355" t="inlineStr">
        <is>
          <t>VÄSTRA GÖTALANDS LÄN</t>
        </is>
      </c>
      <c r="E355" t="inlineStr">
        <is>
          <t>UDDEVALLA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48132-2023</t>
        </is>
      </c>
      <c r="B356" s="1" t="n">
        <v>45205.37854166667</v>
      </c>
      <c r="C356" s="1" t="n">
        <v>46088</v>
      </c>
      <c r="D356" t="inlineStr">
        <is>
          <t>VÄSTRA GÖTALANDS LÄN</t>
        </is>
      </c>
      <c r="E356" t="inlineStr">
        <is>
          <t>UDDEVALLA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18806-2024</t>
        </is>
      </c>
      <c r="B357" s="1" t="n">
        <v>45426.61425925926</v>
      </c>
      <c r="C357" s="1" t="n">
        <v>46088</v>
      </c>
      <c r="D357" t="inlineStr">
        <is>
          <t>VÄSTRA GÖTALANDS LÄN</t>
        </is>
      </c>
      <c r="E357" t="inlineStr">
        <is>
          <t>UDDEVALLA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29526-2024</t>
        </is>
      </c>
      <c r="B358" s="1" t="n">
        <v>45484.46217592592</v>
      </c>
      <c r="C358" s="1" t="n">
        <v>46088</v>
      </c>
      <c r="D358" t="inlineStr">
        <is>
          <t>VÄSTRA GÖTALANDS LÄN</t>
        </is>
      </c>
      <c r="E358" t="inlineStr">
        <is>
          <t>UDDEVALLA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7770-2023</t>
        </is>
      </c>
      <c r="B359" s="1" t="n">
        <v>44973</v>
      </c>
      <c r="C359" s="1" t="n">
        <v>46088</v>
      </c>
      <c r="D359" t="inlineStr">
        <is>
          <t>VÄSTRA GÖTALANDS LÄN</t>
        </is>
      </c>
      <c r="E359" t="inlineStr">
        <is>
          <t>UDDEVALLA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6887-2023</t>
        </is>
      </c>
      <c r="B360" s="1" t="n">
        <v>44967</v>
      </c>
      <c r="C360" s="1" t="n">
        <v>46088</v>
      </c>
      <c r="D360" t="inlineStr">
        <is>
          <t>VÄSTRA GÖTALANDS LÄN</t>
        </is>
      </c>
      <c r="E360" t="inlineStr">
        <is>
          <t>UDDEVALLA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46899-2024</t>
        </is>
      </c>
      <c r="B361" s="1" t="n">
        <v>45583.69771990741</v>
      </c>
      <c r="C361" s="1" t="n">
        <v>46088</v>
      </c>
      <c r="D361" t="inlineStr">
        <is>
          <t>VÄSTRA GÖTALANDS LÄN</t>
        </is>
      </c>
      <c r="E361" t="inlineStr">
        <is>
          <t>UDDEVALLA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34555-2022</t>
        </is>
      </c>
      <c r="B362" s="1" t="n">
        <v>44794</v>
      </c>
      <c r="C362" s="1" t="n">
        <v>46088</v>
      </c>
      <c r="D362" t="inlineStr">
        <is>
          <t>VÄSTRA GÖTALANDS LÄN</t>
        </is>
      </c>
      <c r="E362" t="inlineStr">
        <is>
          <t>UDDEVALLA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44325-2023</t>
        </is>
      </c>
      <c r="B363" s="1" t="n">
        <v>45188.65824074074</v>
      </c>
      <c r="C363" s="1" t="n">
        <v>46088</v>
      </c>
      <c r="D363" t="inlineStr">
        <is>
          <t>VÄSTRA GÖTALANDS LÄN</t>
        </is>
      </c>
      <c r="E363" t="inlineStr">
        <is>
          <t>UDDEVALLA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46480-2023</t>
        </is>
      </c>
      <c r="B364" s="1" t="n">
        <v>45197.63927083334</v>
      </c>
      <c r="C364" s="1" t="n">
        <v>46088</v>
      </c>
      <c r="D364" t="inlineStr">
        <is>
          <t>VÄSTRA GÖTALANDS LÄN</t>
        </is>
      </c>
      <c r="E364" t="inlineStr">
        <is>
          <t>UDDEVALLA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3077-2022</t>
        </is>
      </c>
      <c r="B365" s="1" t="n">
        <v>44582</v>
      </c>
      <c r="C365" s="1" t="n">
        <v>46088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43170-2021</t>
        </is>
      </c>
      <c r="B366" s="1" t="n">
        <v>44431</v>
      </c>
      <c r="C366" s="1" t="n">
        <v>46088</v>
      </c>
      <c r="D366" t="inlineStr">
        <is>
          <t>VÄSTRA GÖTALANDS LÄN</t>
        </is>
      </c>
      <c r="E366" t="inlineStr">
        <is>
          <t>UDDEVALLA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29642-2024</t>
        </is>
      </c>
      <c r="B367" s="1" t="n">
        <v>45484</v>
      </c>
      <c r="C367" s="1" t="n">
        <v>46088</v>
      </c>
      <c r="D367" t="inlineStr">
        <is>
          <t>VÄSTRA GÖTALANDS LÄN</t>
        </is>
      </c>
      <c r="E367" t="inlineStr">
        <is>
          <t>UDDEVALLA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46088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3435-2024</t>
        </is>
      </c>
      <c r="B369" s="1" t="n">
        <v>45317</v>
      </c>
      <c r="C369" s="1" t="n">
        <v>46088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13527-2024</t>
        </is>
      </c>
      <c r="B370" s="1" t="n">
        <v>45387</v>
      </c>
      <c r="C370" s="1" t="n">
        <v>46088</v>
      </c>
      <c r="D370" t="inlineStr">
        <is>
          <t>VÄSTRA GÖTALANDS LÄN</t>
        </is>
      </c>
      <c r="E370" t="inlineStr">
        <is>
          <t>UDDEVALLA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23462-2024</t>
        </is>
      </c>
      <c r="B371" s="1" t="n">
        <v>45453.65474537037</v>
      </c>
      <c r="C371" s="1" t="n">
        <v>46088</v>
      </c>
      <c r="D371" t="inlineStr">
        <is>
          <t>VÄSTRA GÖTALANDS LÄN</t>
        </is>
      </c>
      <c r="E371" t="inlineStr">
        <is>
          <t>UDDEVALLA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19847-2025</t>
        </is>
      </c>
      <c r="B372" s="1" t="n">
        <v>45771.48996527777</v>
      </c>
      <c r="C372" s="1" t="n">
        <v>46088</v>
      </c>
      <c r="D372" t="inlineStr">
        <is>
          <t>VÄSTRA GÖTALANDS LÄN</t>
        </is>
      </c>
      <c r="E372" t="inlineStr">
        <is>
          <t>UDDEVALLA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40027-2024</t>
        </is>
      </c>
      <c r="B373" s="1" t="n">
        <v>45553.68471064815</v>
      </c>
      <c r="C373" s="1" t="n">
        <v>46088</v>
      </c>
      <c r="D373" t="inlineStr">
        <is>
          <t>VÄSTRA GÖTALANDS LÄN</t>
        </is>
      </c>
      <c r="E373" t="inlineStr">
        <is>
          <t>UDDEVALLA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5433-2023</t>
        </is>
      </c>
      <c r="B374" s="1" t="n">
        <v>44959.8830787037</v>
      </c>
      <c r="C374" s="1" t="n">
        <v>46088</v>
      </c>
      <c r="D374" t="inlineStr">
        <is>
          <t>VÄSTRA GÖTALANDS LÄN</t>
        </is>
      </c>
      <c r="E374" t="inlineStr">
        <is>
          <t>UDDEVALLA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40571-2022</t>
        </is>
      </c>
      <c r="B375" s="1" t="n">
        <v>44823</v>
      </c>
      <c r="C375" s="1" t="n">
        <v>46088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20732-2025</t>
        </is>
      </c>
      <c r="B376" s="1" t="n">
        <v>45776.53162037037</v>
      </c>
      <c r="C376" s="1" t="n">
        <v>46088</v>
      </c>
      <c r="D376" t="inlineStr">
        <is>
          <t>VÄSTRA GÖTALANDS LÄN</t>
        </is>
      </c>
      <c r="E376" t="inlineStr">
        <is>
          <t>UDDEVALLA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60819-2024</t>
        </is>
      </c>
      <c r="B377" s="1" t="n">
        <v>45644.62649305556</v>
      </c>
      <c r="C377" s="1" t="n">
        <v>46088</v>
      </c>
      <c r="D377" t="inlineStr">
        <is>
          <t>VÄSTRA GÖTALANDS LÄN</t>
        </is>
      </c>
      <c r="E377" t="inlineStr">
        <is>
          <t>UDDEVALLA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21102-2025</t>
        </is>
      </c>
      <c r="B378" s="1" t="n">
        <v>45777.65589120371</v>
      </c>
      <c r="C378" s="1" t="n">
        <v>46088</v>
      </c>
      <c r="D378" t="inlineStr">
        <is>
          <t>VÄSTRA GÖTALANDS LÄN</t>
        </is>
      </c>
      <c r="E378" t="inlineStr">
        <is>
          <t>UDDEVALLA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21469-2025</t>
        </is>
      </c>
      <c r="B379" s="1" t="n">
        <v>45782.58692129629</v>
      </c>
      <c r="C379" s="1" t="n">
        <v>46088</v>
      </c>
      <c r="D379" t="inlineStr">
        <is>
          <t>VÄSTRA GÖTALANDS LÄN</t>
        </is>
      </c>
      <c r="E379" t="inlineStr">
        <is>
          <t>UDDEVALLA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21470-2025</t>
        </is>
      </c>
      <c r="B380" s="1" t="n">
        <v>45782.58934027778</v>
      </c>
      <c r="C380" s="1" t="n">
        <v>46088</v>
      </c>
      <c r="D380" t="inlineStr">
        <is>
          <t>VÄSTRA GÖTALANDS LÄN</t>
        </is>
      </c>
      <c r="E380" t="inlineStr">
        <is>
          <t>UDDEVALLA</t>
        </is>
      </c>
      <c r="G380" t="n">
        <v>11.8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21567-2025</t>
        </is>
      </c>
      <c r="B381" s="1" t="n">
        <v>45782.73740740741</v>
      </c>
      <c r="C381" s="1" t="n">
        <v>46088</v>
      </c>
      <c r="D381" t="inlineStr">
        <is>
          <t>VÄSTRA GÖTALANDS LÄN</t>
        </is>
      </c>
      <c r="E381" t="inlineStr">
        <is>
          <t>UDDEVALLA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6650-2025</t>
        </is>
      </c>
      <c r="B382" s="1" t="n">
        <v>45700.41292824074</v>
      </c>
      <c r="C382" s="1" t="n">
        <v>46088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22019-2025</t>
        </is>
      </c>
      <c r="B383" s="1" t="n">
        <v>45784.83086805556</v>
      </c>
      <c r="C383" s="1" t="n">
        <v>46088</v>
      </c>
      <c r="D383" t="inlineStr">
        <is>
          <t>VÄSTRA GÖTALANDS LÄN</t>
        </is>
      </c>
      <c r="E383" t="inlineStr">
        <is>
          <t>UDDEVALLA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9625-2025</t>
        </is>
      </c>
      <c r="B384" s="1" t="n">
        <v>45715</v>
      </c>
      <c r="C384" s="1" t="n">
        <v>46088</v>
      </c>
      <c r="D384" t="inlineStr">
        <is>
          <t>VÄSTRA GÖTALANDS LÄN</t>
        </is>
      </c>
      <c r="E384" t="inlineStr">
        <is>
          <t>UDDEVALLA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13925-2025</t>
        </is>
      </c>
      <c r="B385" s="1" t="n">
        <v>45737.66130787037</v>
      </c>
      <c r="C385" s="1" t="n">
        <v>46088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10005-2025</t>
        </is>
      </c>
      <c r="B386" s="1" t="n">
        <v>45719.4530787037</v>
      </c>
      <c r="C386" s="1" t="n">
        <v>46088</v>
      </c>
      <c r="D386" t="inlineStr">
        <is>
          <t>VÄSTRA GÖTALANDS LÄN</t>
        </is>
      </c>
      <c r="E386" t="inlineStr">
        <is>
          <t>UDDEVALLA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23322-2025</t>
        </is>
      </c>
      <c r="B387" s="1" t="n">
        <v>45791.61649305555</v>
      </c>
      <c r="C387" s="1" t="n">
        <v>46088</v>
      </c>
      <c r="D387" t="inlineStr">
        <is>
          <t>VÄSTRA GÖTALANDS LÄN</t>
        </is>
      </c>
      <c r="E387" t="inlineStr">
        <is>
          <t>UDDEVALLA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14908-2025</t>
        </is>
      </c>
      <c r="B388" s="1" t="n">
        <v>45743</v>
      </c>
      <c r="C388" s="1" t="n">
        <v>46088</v>
      </c>
      <c r="D388" t="inlineStr">
        <is>
          <t>VÄSTRA GÖTALANDS LÄN</t>
        </is>
      </c>
      <c r="E388" t="inlineStr">
        <is>
          <t>UDDEVALLA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13917-2025</t>
        </is>
      </c>
      <c r="B389" s="1" t="n">
        <v>45737.65680555555</v>
      </c>
      <c r="C389" s="1" t="n">
        <v>46088</v>
      </c>
      <c r="D389" t="inlineStr">
        <is>
          <t>VÄSTRA GÖTALANDS LÄN</t>
        </is>
      </c>
      <c r="E389" t="inlineStr">
        <is>
          <t>UDDEVALLA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14021-2025</t>
        </is>
      </c>
      <c r="B390" s="1" t="n">
        <v>45740.33630787037</v>
      </c>
      <c r="C390" s="1" t="n">
        <v>46088</v>
      </c>
      <c r="D390" t="inlineStr">
        <is>
          <t>VÄSTRA GÖTALANDS LÄN</t>
        </is>
      </c>
      <c r="E390" t="inlineStr">
        <is>
          <t>UDDEVALLA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14066-2025</t>
        </is>
      </c>
      <c r="B391" s="1" t="n">
        <v>45740.41792824074</v>
      </c>
      <c r="C391" s="1" t="n">
        <v>46088</v>
      </c>
      <c r="D391" t="inlineStr">
        <is>
          <t>VÄSTRA GÖTALANDS LÄN</t>
        </is>
      </c>
      <c r="E391" t="inlineStr">
        <is>
          <t>UDDEVALLA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2026-03-07T11:22:09Z</dcterms:created>
  <dcterms:modified xmlns:dcterms="http://purl.org/dc/terms/" xmlns:xsi="http://www.w3.org/2001/XMLSchema-instance" xsi:type="dcterms:W3CDTF">2026-03-07T11:22:09Z</dcterms:modified>
</cp:coreProperties>
</file>