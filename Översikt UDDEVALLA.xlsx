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45723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45723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45723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45723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45723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45723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45723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45723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45723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45723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45723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45723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45723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45723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45723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45723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45723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45723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45723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45723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45723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45723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45723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45723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45723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45723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62043-2024</t>
        </is>
      </c>
      <c r="B39" s="1" t="n">
        <v>45656</v>
      </c>
      <c r="C39" s="1" t="n">
        <v>45723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HYPERLINK("https://klasma.github.io/Logging_1485/artfynd/A 62043-2024 artfynd.xlsx", "A 62043-2024")</f>
        <v/>
      </c>
      <c r="T39">
        <f>HYPERLINK("https://klasma.github.io/Logging_1485/kartor/A 62043-2024 karta.png", "A 62043-2024")</f>
        <v/>
      </c>
      <c r="V39">
        <f>HYPERLINK("https://klasma.github.io/Logging_1485/klagomål/A 62043-2024 FSC-klagomål.docx", "A 62043-2024")</f>
        <v/>
      </c>
      <c r="W39">
        <f>HYPERLINK("https://klasma.github.io/Logging_1485/klagomålsmail/A 62043-2024 FSC-klagomål mail.docx", "A 62043-2024")</f>
        <v/>
      </c>
      <c r="X39">
        <f>HYPERLINK("https://klasma.github.io/Logging_1485/tillsyn/A 62043-2024 tillsynsbegäran.docx", "A 62043-2024")</f>
        <v/>
      </c>
      <c r="Y39">
        <f>HYPERLINK("https://klasma.github.io/Logging_1485/tillsynsmail/A 62043-2024 tillsynsbegäran mail.docx", "A 62043-2024")</f>
        <v/>
      </c>
      <c r="Z39">
        <f>HYPERLINK("https://klasma.github.io/Logging_1485/fåglar/A 62043-2024 prioriterade fågelarter.docx", "A 62043-2024")</f>
        <v/>
      </c>
    </row>
    <row r="40" ht="15" customHeight="1">
      <c r="A40" t="inlineStr">
        <is>
          <t>A 62068-2024</t>
        </is>
      </c>
      <c r="B40" s="1" t="n">
        <v>45656</v>
      </c>
      <c r="C40" s="1" t="n">
        <v>45723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HYPERLINK("https://klasma.github.io/Logging_1485/artfynd/A 62068-2024 artfynd.xlsx", "A 62068-2024")</f>
        <v/>
      </c>
      <c r="T40">
        <f>HYPERLINK("https://klasma.github.io/Logging_1485/kartor/A 62068-2024 karta.png", "A 62068-2024")</f>
        <v/>
      </c>
      <c r="V40">
        <f>HYPERLINK("https://klasma.github.io/Logging_1485/klagomål/A 62068-2024 FSC-klagomål.docx", "A 62068-2024")</f>
        <v/>
      </c>
      <c r="W40">
        <f>HYPERLINK("https://klasma.github.io/Logging_1485/klagomålsmail/A 62068-2024 FSC-klagomål mail.docx", "A 62068-2024")</f>
        <v/>
      </c>
      <c r="X40">
        <f>HYPERLINK("https://klasma.github.io/Logging_1485/tillsyn/A 62068-2024 tillsynsbegäran.docx", "A 62068-2024")</f>
        <v/>
      </c>
      <c r="Y40">
        <f>HYPERLINK("https://klasma.github.io/Logging_1485/tillsynsmail/A 62068-2024 tillsynsbegäran mail.docx", "A 62068-2024")</f>
        <v/>
      </c>
      <c r="Z40">
        <f>HYPERLINK("https://klasma.github.io/Logging_1485/fåglar/A 62068-2024 prioriterade fågelarter.docx", "A 62068-2024")</f>
        <v/>
      </c>
    </row>
    <row r="41" ht="15" customHeight="1">
      <c r="A41" t="inlineStr">
        <is>
          <t>A 62048-2024</t>
        </is>
      </c>
      <c r="B41" s="1" t="n">
        <v>45656</v>
      </c>
      <c r="C41" s="1" t="n">
        <v>45723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62048-2024 artfynd.xlsx", "A 62048-2024")</f>
        <v/>
      </c>
      <c r="T41">
        <f>HYPERLINK("https://klasma.github.io/Logging_1485/kartor/A 62048-2024 karta.png", "A 62048-2024")</f>
        <v/>
      </c>
      <c r="V41">
        <f>HYPERLINK("https://klasma.github.io/Logging_1485/klagomål/A 62048-2024 FSC-klagomål.docx", "A 62048-2024")</f>
        <v/>
      </c>
      <c r="W41">
        <f>HYPERLINK("https://klasma.github.io/Logging_1485/klagomålsmail/A 62048-2024 FSC-klagomål mail.docx", "A 62048-2024")</f>
        <v/>
      </c>
      <c r="X41">
        <f>HYPERLINK("https://klasma.github.io/Logging_1485/tillsyn/A 62048-2024 tillsynsbegäran.docx", "A 62048-2024")</f>
        <v/>
      </c>
      <c r="Y41">
        <f>HYPERLINK("https://klasma.github.io/Logging_1485/tillsynsmail/A 62048-2024 tillsynsbegäran mail.docx", "A 62048-2024")</f>
        <v/>
      </c>
    </row>
    <row r="42" ht="15" customHeight="1">
      <c r="A42" t="inlineStr">
        <is>
          <t>A 17625-2019</t>
        </is>
      </c>
      <c r="B42" s="1" t="n">
        <v>43556</v>
      </c>
      <c r="C42" s="1" t="n">
        <v>45723</v>
      </c>
      <c r="D42" t="inlineStr">
        <is>
          <t>VÄSTRA GÖTALANDS LÄN</t>
        </is>
      </c>
      <c r="E42" t="inlineStr">
        <is>
          <t>UDDEVALLA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18487-2019</t>
        </is>
      </c>
      <c r="B43" s="1" t="n">
        <v>43559</v>
      </c>
      <c r="C43" s="1" t="n">
        <v>45723</v>
      </c>
      <c r="D43" t="inlineStr">
        <is>
          <t>VÄSTRA GÖTALANDS LÄN</t>
        </is>
      </c>
      <c r="E43" t="inlineStr">
        <is>
          <t>UDDEVALLA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19957-2019</t>
        </is>
      </c>
      <c r="B44" s="1" t="n">
        <v>43569</v>
      </c>
      <c r="C44" s="1" t="n">
        <v>45723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20624-2019</t>
        </is>
      </c>
      <c r="B45" s="1" t="n">
        <v>43572</v>
      </c>
      <c r="C45" s="1" t="n">
        <v>45723</v>
      </c>
      <c r="D45" t="inlineStr">
        <is>
          <t>VÄSTRA GÖTALANDS LÄN</t>
        </is>
      </c>
      <c r="E45" t="inlineStr">
        <is>
          <t>UDDEVALLA</t>
        </is>
      </c>
      <c r="G45" t="n">
        <v>16.3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20830-2019</t>
        </is>
      </c>
      <c r="B46" s="1" t="n">
        <v>43574</v>
      </c>
      <c r="C46" s="1" t="n">
        <v>45723</v>
      </c>
      <c r="D46" t="inlineStr">
        <is>
          <t>VÄSTRA GÖTALANDS LÄN</t>
        </is>
      </c>
      <c r="E46" t="inlineStr">
        <is>
          <t>UDDEVALLA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22967-2019</t>
        </is>
      </c>
      <c r="B47" s="1" t="n">
        <v>43591</v>
      </c>
      <c r="C47" s="1" t="n">
        <v>45723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22984-2019</t>
        </is>
      </c>
      <c r="B48" s="1" t="n">
        <v>43591</v>
      </c>
      <c r="C48" s="1" t="n">
        <v>45723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24026-2019</t>
        </is>
      </c>
      <c r="B49" s="1" t="n">
        <v>43598</v>
      </c>
      <c r="C49" s="1" t="n">
        <v>45723</v>
      </c>
      <c r="D49" t="inlineStr">
        <is>
          <t>VÄSTRA GÖTALANDS LÄN</t>
        </is>
      </c>
      <c r="E49" t="inlineStr">
        <is>
          <t>UDDEVALLA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24045-2019</t>
        </is>
      </c>
      <c r="B50" s="1" t="n">
        <v>43598</v>
      </c>
      <c r="C50" s="1" t="n">
        <v>45723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24050-2019</t>
        </is>
      </c>
      <c r="B51" s="1" t="n">
        <v>43598</v>
      </c>
      <c r="C51" s="1" t="n">
        <v>45723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24681-2019</t>
        </is>
      </c>
      <c r="B52" s="1" t="n">
        <v>43601</v>
      </c>
      <c r="C52" s="1" t="n">
        <v>45723</v>
      </c>
      <c r="D52" t="inlineStr">
        <is>
          <t>VÄSTRA GÖTALANDS LÄN</t>
        </is>
      </c>
      <c r="E52" t="inlineStr">
        <is>
          <t>UDDEVALLA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27286-2019</t>
        </is>
      </c>
      <c r="B53" s="1" t="n">
        <v>43616</v>
      </c>
      <c r="C53" s="1" t="n">
        <v>45723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27520-2019</t>
        </is>
      </c>
      <c r="B54" s="1" t="n">
        <v>43619</v>
      </c>
      <c r="C54" s="1" t="n">
        <v>45723</v>
      </c>
      <c r="D54" t="inlineStr">
        <is>
          <t>VÄSTRA GÖTALANDS LÄN</t>
        </is>
      </c>
      <c r="E54" t="inlineStr">
        <is>
          <t>UDDEVALLA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30852-2019</t>
        </is>
      </c>
      <c r="B55" s="1" t="n">
        <v>43636</v>
      </c>
      <c r="C55" s="1" t="n">
        <v>45723</v>
      </c>
      <c r="D55" t="inlineStr">
        <is>
          <t>VÄSTRA GÖTALANDS LÄN</t>
        </is>
      </c>
      <c r="E55" t="inlineStr">
        <is>
          <t>UDDEVALLA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31216-2019</t>
        </is>
      </c>
      <c r="B56" s="1" t="n">
        <v>43640</v>
      </c>
      <c r="C56" s="1" t="n">
        <v>45723</v>
      </c>
      <c r="D56" t="inlineStr">
        <is>
          <t>VÄSTRA GÖTALANDS LÄN</t>
        </is>
      </c>
      <c r="E56" t="inlineStr">
        <is>
          <t>UDDEVALLA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31199-2019</t>
        </is>
      </c>
      <c r="B57" s="1" t="n">
        <v>43640</v>
      </c>
      <c r="C57" s="1" t="n">
        <v>45723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33991-2019</t>
        </is>
      </c>
      <c r="B58" s="1" t="n">
        <v>43654</v>
      </c>
      <c r="C58" s="1" t="n">
        <v>45723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35809-2019</t>
        </is>
      </c>
      <c r="B59" s="1" t="n">
        <v>43665</v>
      </c>
      <c r="C59" s="1" t="n">
        <v>45723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35947-2019</t>
        </is>
      </c>
      <c r="B60" s="1" t="n">
        <v>43665</v>
      </c>
      <c r="C60" s="1" t="n">
        <v>45723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41634-2019</t>
        </is>
      </c>
      <c r="B61" s="1" t="n">
        <v>43696</v>
      </c>
      <c r="C61" s="1" t="n">
        <v>45723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40987-2019</t>
        </is>
      </c>
      <c r="B62" s="1" t="n">
        <v>43697</v>
      </c>
      <c r="C62" s="1" t="n">
        <v>45723</v>
      </c>
      <c r="D62" t="inlineStr">
        <is>
          <t>VÄSTRA GÖTALANDS LÄN</t>
        </is>
      </c>
      <c r="E62" t="inlineStr">
        <is>
          <t>UDDEVALLA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41966-2019</t>
        </is>
      </c>
      <c r="B63" s="1" t="n">
        <v>43700</v>
      </c>
      <c r="C63" s="1" t="n">
        <v>45723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45823-2019</t>
        </is>
      </c>
      <c r="B64" s="1" t="n">
        <v>43717</v>
      </c>
      <c r="C64" s="1" t="n">
        <v>45723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48341-2019</t>
        </is>
      </c>
      <c r="B65" s="1" t="n">
        <v>43726</v>
      </c>
      <c r="C65" s="1" t="n">
        <v>45723</v>
      </c>
      <c r="D65" t="inlineStr">
        <is>
          <t>VÄSTRA GÖTALANDS LÄN</t>
        </is>
      </c>
      <c r="E65" t="inlineStr">
        <is>
          <t>UDDEVALLA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49341-2019</t>
        </is>
      </c>
      <c r="B66" s="1" t="n">
        <v>43731</v>
      </c>
      <c r="C66" s="1" t="n">
        <v>45723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49929-2019</t>
        </is>
      </c>
      <c r="B67" s="1" t="n">
        <v>43733</v>
      </c>
      <c r="C67" s="1" t="n">
        <v>45723</v>
      </c>
      <c r="D67" t="inlineStr">
        <is>
          <t>VÄSTRA GÖTALANDS LÄN</t>
        </is>
      </c>
      <c r="E67" t="inlineStr">
        <is>
          <t>UDDEVALLA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49930-2019</t>
        </is>
      </c>
      <c r="B68" s="1" t="n">
        <v>43733</v>
      </c>
      <c r="C68" s="1" t="n">
        <v>45723</v>
      </c>
      <c r="D68" t="inlineStr">
        <is>
          <t>VÄSTRA GÖTALANDS LÄN</t>
        </is>
      </c>
      <c r="E68" t="inlineStr">
        <is>
          <t>UDDEVALLA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52198-2019</t>
        </is>
      </c>
      <c r="B69" s="1" t="n">
        <v>43735</v>
      </c>
      <c r="C69" s="1" t="n">
        <v>45723</v>
      </c>
      <c r="D69" t="inlineStr">
        <is>
          <t>VÄSTRA GÖTALANDS LÄN</t>
        </is>
      </c>
      <c r="E69" t="inlineStr">
        <is>
          <t>UDDEVALLA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55315-2019</t>
        </is>
      </c>
      <c r="B70" s="1" t="n">
        <v>43756</v>
      </c>
      <c r="C70" s="1" t="n">
        <v>45723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62953-2019</t>
        </is>
      </c>
      <c r="B71" s="1" t="n">
        <v>43790</v>
      </c>
      <c r="C71" s="1" t="n">
        <v>45723</v>
      </c>
      <c r="D71" t="inlineStr">
        <is>
          <t>VÄSTRA GÖTALANDS LÄN</t>
        </is>
      </c>
      <c r="E71" t="inlineStr">
        <is>
          <t>UDDEVALLA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63590-2019</t>
        </is>
      </c>
      <c r="B72" s="1" t="n">
        <v>43795</v>
      </c>
      <c r="C72" s="1" t="n">
        <v>45723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65732-2019</t>
        </is>
      </c>
      <c r="B73" s="1" t="n">
        <v>43804</v>
      </c>
      <c r="C73" s="1" t="n">
        <v>45723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66797-2019</t>
        </is>
      </c>
      <c r="B74" s="1" t="n">
        <v>43810</v>
      </c>
      <c r="C74" s="1" t="n">
        <v>45723</v>
      </c>
      <c r="D74" t="inlineStr">
        <is>
          <t>VÄSTRA GÖTALANDS LÄN</t>
        </is>
      </c>
      <c r="E74" t="inlineStr">
        <is>
          <t>UDDEVALLA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67349-2019</t>
        </is>
      </c>
      <c r="B75" s="1" t="n">
        <v>43812</v>
      </c>
      <c r="C75" s="1" t="n">
        <v>45723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67831-2019</t>
        </is>
      </c>
      <c r="B76" s="1" t="n">
        <v>43815</v>
      </c>
      <c r="C76" s="1" t="n">
        <v>45723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2145-2020</t>
        </is>
      </c>
      <c r="B77" s="1" t="n">
        <v>43846</v>
      </c>
      <c r="C77" s="1" t="n">
        <v>45723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2230-2020</t>
        </is>
      </c>
      <c r="B78" s="1" t="n">
        <v>43846</v>
      </c>
      <c r="C78" s="1" t="n">
        <v>45723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2245-2020</t>
        </is>
      </c>
      <c r="B79" s="1" t="n">
        <v>43846</v>
      </c>
      <c r="C79" s="1" t="n">
        <v>45723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3040-2020</t>
        </is>
      </c>
      <c r="B80" s="1" t="n">
        <v>43851</v>
      </c>
      <c r="C80" s="1" t="n">
        <v>45723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5862-2020</t>
        </is>
      </c>
      <c r="B81" s="1" t="n">
        <v>43864</v>
      </c>
      <c r="C81" s="1" t="n">
        <v>45723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6432-2020</t>
        </is>
      </c>
      <c r="B82" s="1" t="n">
        <v>43866</v>
      </c>
      <c r="C82" s="1" t="n">
        <v>45723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8857-2020</t>
        </is>
      </c>
      <c r="B83" s="1" t="n">
        <v>43878</v>
      </c>
      <c r="C83" s="1" t="n">
        <v>45723</v>
      </c>
      <c r="D83" t="inlineStr">
        <is>
          <t>VÄSTRA GÖTALANDS LÄN</t>
        </is>
      </c>
      <c r="E83" t="inlineStr">
        <is>
          <t>UDDEVALLA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10177-2020</t>
        </is>
      </c>
      <c r="B84" s="1" t="n">
        <v>43887</v>
      </c>
      <c r="C84" s="1" t="n">
        <v>45723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11319-2020</t>
        </is>
      </c>
      <c r="B85" s="1" t="n">
        <v>43892</v>
      </c>
      <c r="C85" s="1" t="n">
        <v>45723</v>
      </c>
      <c r="D85" t="inlineStr">
        <is>
          <t>VÄSTRA GÖTALANDS LÄN</t>
        </is>
      </c>
      <c r="E85" t="inlineStr">
        <is>
          <t>UDDEVALLA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12787-2020</t>
        </is>
      </c>
      <c r="B86" s="1" t="n">
        <v>43894</v>
      </c>
      <c r="C86" s="1" t="n">
        <v>45723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13993-2020</t>
        </is>
      </c>
      <c r="B87" s="1" t="n">
        <v>43899</v>
      </c>
      <c r="C87" s="1" t="n">
        <v>45723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13960-2020</t>
        </is>
      </c>
      <c r="B88" s="1" t="n">
        <v>43906</v>
      </c>
      <c r="C88" s="1" t="n">
        <v>45723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14297-2020</t>
        </is>
      </c>
      <c r="B89" s="1" t="n">
        <v>43907</v>
      </c>
      <c r="C89" s="1" t="n">
        <v>45723</v>
      </c>
      <c r="D89" t="inlineStr">
        <is>
          <t>VÄSTRA GÖTALANDS LÄN</t>
        </is>
      </c>
      <c r="E89" t="inlineStr">
        <is>
          <t>UDDEVALLA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17770-2020</t>
        </is>
      </c>
      <c r="B90" s="1" t="n">
        <v>43924</v>
      </c>
      <c r="C90" s="1" t="n">
        <v>45723</v>
      </c>
      <c r="D90" t="inlineStr">
        <is>
          <t>VÄSTRA GÖTALANDS LÄN</t>
        </is>
      </c>
      <c r="E90" t="inlineStr">
        <is>
          <t>UDDEVALLA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18410-2020</t>
        </is>
      </c>
      <c r="B91" s="1" t="n">
        <v>43928</v>
      </c>
      <c r="C91" s="1" t="n">
        <v>45723</v>
      </c>
      <c r="D91" t="inlineStr">
        <is>
          <t>VÄSTRA GÖTALANDS LÄN</t>
        </is>
      </c>
      <c r="E91" t="inlineStr">
        <is>
          <t>UDDEVALLA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21281-2020</t>
        </is>
      </c>
      <c r="B92" s="1" t="n">
        <v>43955</v>
      </c>
      <c r="C92" s="1" t="n">
        <v>45723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27477-2020</t>
        </is>
      </c>
      <c r="B93" s="1" t="n">
        <v>43991</v>
      </c>
      <c r="C93" s="1" t="n">
        <v>45723</v>
      </c>
      <c r="D93" t="inlineStr">
        <is>
          <t>VÄSTRA GÖTALANDS LÄN</t>
        </is>
      </c>
      <c r="E93" t="inlineStr">
        <is>
          <t>UDDEVALLA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28258-2020</t>
        </is>
      </c>
      <c r="B94" s="1" t="n">
        <v>43998</v>
      </c>
      <c r="C94" s="1" t="n">
        <v>45723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28453-2020</t>
        </is>
      </c>
      <c r="B95" s="1" t="n">
        <v>43998</v>
      </c>
      <c r="C95" s="1" t="n">
        <v>45723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29914-2020</t>
        </is>
      </c>
      <c r="B96" s="1" t="n">
        <v>44006</v>
      </c>
      <c r="C96" s="1" t="n">
        <v>45723</v>
      </c>
      <c r="D96" t="inlineStr">
        <is>
          <t>VÄSTRA GÖTALANDS LÄN</t>
        </is>
      </c>
      <c r="E96" t="inlineStr">
        <is>
          <t>UDDEVALLA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31068-2020</t>
        </is>
      </c>
      <c r="B97" s="1" t="n">
        <v>44012</v>
      </c>
      <c r="C97" s="1" t="n">
        <v>45723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31066-2020</t>
        </is>
      </c>
      <c r="B98" s="1" t="n">
        <v>44012</v>
      </c>
      <c r="C98" s="1" t="n">
        <v>45723</v>
      </c>
      <c r="D98" t="inlineStr">
        <is>
          <t>VÄSTRA GÖTALANDS LÄN</t>
        </is>
      </c>
      <c r="E98" t="inlineStr">
        <is>
          <t>UDDEVALLA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31220-2020</t>
        </is>
      </c>
      <c r="B99" s="1" t="n">
        <v>44012</v>
      </c>
      <c r="C99" s="1" t="n">
        <v>45723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32423-2020</t>
        </is>
      </c>
      <c r="B100" s="1" t="n">
        <v>44018</v>
      </c>
      <c r="C100" s="1" t="n">
        <v>45723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32420-2020</t>
        </is>
      </c>
      <c r="B101" s="1" t="n">
        <v>44018</v>
      </c>
      <c r="C101" s="1" t="n">
        <v>45723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34824-2020</t>
        </is>
      </c>
      <c r="B102" s="1" t="n">
        <v>44036</v>
      </c>
      <c r="C102" s="1" t="n">
        <v>45723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35631-2020</t>
        </is>
      </c>
      <c r="B103" s="1" t="n">
        <v>44046</v>
      </c>
      <c r="C103" s="1" t="n">
        <v>45723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38216-2020</t>
        </is>
      </c>
      <c r="B104" s="1" t="n">
        <v>44060</v>
      </c>
      <c r="C104" s="1" t="n">
        <v>45723</v>
      </c>
      <c r="D104" t="inlineStr">
        <is>
          <t>VÄSTRA GÖTALANDS LÄN</t>
        </is>
      </c>
      <c r="E104" t="inlineStr">
        <is>
          <t>UDDEVALLA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41780-2020</t>
        </is>
      </c>
      <c r="B105" s="1" t="n">
        <v>44074</v>
      </c>
      <c r="C105" s="1" t="n">
        <v>45723</v>
      </c>
      <c r="D105" t="inlineStr">
        <is>
          <t>VÄSTRA GÖTALANDS LÄN</t>
        </is>
      </c>
      <c r="E105" t="inlineStr">
        <is>
          <t>UDDEVALLA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50483-2020</t>
        </is>
      </c>
      <c r="B106" s="1" t="n">
        <v>44104</v>
      </c>
      <c r="C106" s="1" t="n">
        <v>45723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49566-2020</t>
        </is>
      </c>
      <c r="B107" s="1" t="n">
        <v>44106</v>
      </c>
      <c r="C107" s="1" t="n">
        <v>45723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49570-2020</t>
        </is>
      </c>
      <c r="B108" s="1" t="n">
        <v>44106</v>
      </c>
      <c r="C108" s="1" t="n">
        <v>45723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49560-2020</t>
        </is>
      </c>
      <c r="B109" s="1" t="n">
        <v>44106</v>
      </c>
      <c r="C109" s="1" t="n">
        <v>45723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55938-2020</t>
        </is>
      </c>
      <c r="B110" s="1" t="n">
        <v>44133</v>
      </c>
      <c r="C110" s="1" t="n">
        <v>45723</v>
      </c>
      <c r="D110" t="inlineStr">
        <is>
          <t>VÄSTRA GÖTALANDS LÄN</t>
        </is>
      </c>
      <c r="E110" t="inlineStr">
        <is>
          <t>UDDEVALLA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59085-2020</t>
        </is>
      </c>
      <c r="B111" s="1" t="n">
        <v>44147</v>
      </c>
      <c r="C111" s="1" t="n">
        <v>45723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60954-2020</t>
        </is>
      </c>
      <c r="B112" s="1" t="n">
        <v>44154</v>
      </c>
      <c r="C112" s="1" t="n">
        <v>45723</v>
      </c>
      <c r="D112" t="inlineStr">
        <is>
          <t>VÄSTRA GÖTALANDS LÄN</t>
        </is>
      </c>
      <c r="E112" t="inlineStr">
        <is>
          <t>UDDEVALLA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62643-2020</t>
        </is>
      </c>
      <c r="B113" s="1" t="n">
        <v>44161</v>
      </c>
      <c r="C113" s="1" t="n">
        <v>45723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65325-2020</t>
        </is>
      </c>
      <c r="B114" s="1" t="n">
        <v>44168</v>
      </c>
      <c r="C114" s="1" t="n">
        <v>45723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65328-2020</t>
        </is>
      </c>
      <c r="B115" s="1" t="n">
        <v>44168</v>
      </c>
      <c r="C115" s="1" t="n">
        <v>45723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65194-2020</t>
        </is>
      </c>
      <c r="B116" s="1" t="n">
        <v>44169</v>
      </c>
      <c r="C116" s="1" t="n">
        <v>45723</v>
      </c>
      <c r="D116" t="inlineStr">
        <is>
          <t>VÄSTRA GÖTALANDS LÄN</t>
        </is>
      </c>
      <c r="E116" t="inlineStr">
        <is>
          <t>UDDEVALLA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65558-2020</t>
        </is>
      </c>
      <c r="B117" s="1" t="n">
        <v>44173</v>
      </c>
      <c r="C117" s="1" t="n">
        <v>45723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65909-2020</t>
        </is>
      </c>
      <c r="B118" s="1" t="n">
        <v>44175</v>
      </c>
      <c r="C118" s="1" t="n">
        <v>45723</v>
      </c>
      <c r="D118" t="inlineStr">
        <is>
          <t>VÄSTRA GÖTALANDS LÄN</t>
        </is>
      </c>
      <c r="E118" t="inlineStr">
        <is>
          <t>UDDEVALLA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66488-2020</t>
        </is>
      </c>
      <c r="B119" s="1" t="n">
        <v>44177</v>
      </c>
      <c r="C119" s="1" t="n">
        <v>45723</v>
      </c>
      <c r="D119" t="inlineStr">
        <is>
          <t>VÄSTRA GÖTALANDS LÄN</t>
        </is>
      </c>
      <c r="E119" t="inlineStr">
        <is>
          <t>UDDEVALLA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66487-2020</t>
        </is>
      </c>
      <c r="B120" s="1" t="n">
        <v>44177</v>
      </c>
      <c r="C120" s="1" t="n">
        <v>45723</v>
      </c>
      <c r="D120" t="inlineStr">
        <is>
          <t>VÄSTRA GÖTALANDS LÄN</t>
        </is>
      </c>
      <c r="E120" t="inlineStr">
        <is>
          <t>UDDEVALLA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67265-2020</t>
        </is>
      </c>
      <c r="B121" s="1" t="n">
        <v>44181</v>
      </c>
      <c r="C121" s="1" t="n">
        <v>45723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797-2021</t>
        </is>
      </c>
      <c r="B122" s="1" t="n">
        <v>44204</v>
      </c>
      <c r="C122" s="1" t="n">
        <v>45723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796-2021</t>
        </is>
      </c>
      <c r="B123" s="1" t="n">
        <v>44204</v>
      </c>
      <c r="C123" s="1" t="n">
        <v>45723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2165-2021</t>
        </is>
      </c>
      <c r="B124" s="1" t="n">
        <v>44210</v>
      </c>
      <c r="C124" s="1" t="n">
        <v>45723</v>
      </c>
      <c r="D124" t="inlineStr">
        <is>
          <t>VÄSTRA GÖTALANDS LÄN</t>
        </is>
      </c>
      <c r="E124" t="inlineStr">
        <is>
          <t>UDDEVALLA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2370-2021</t>
        </is>
      </c>
      <c r="B125" s="1" t="n">
        <v>44211</v>
      </c>
      <c r="C125" s="1" t="n">
        <v>45723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3125-2021</t>
        </is>
      </c>
      <c r="B126" s="1" t="n">
        <v>44217</v>
      </c>
      <c r="C126" s="1" t="n">
        <v>45723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5483-2021</t>
        </is>
      </c>
      <c r="B127" s="1" t="n">
        <v>44230</v>
      </c>
      <c r="C127" s="1" t="n">
        <v>45723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7459-2021</t>
        </is>
      </c>
      <c r="B128" s="1" t="n">
        <v>44239</v>
      </c>
      <c r="C128" s="1" t="n">
        <v>45723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9790-2021</t>
        </is>
      </c>
      <c r="B129" s="1" t="n">
        <v>44251</v>
      </c>
      <c r="C129" s="1" t="n">
        <v>45723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10766-2021</t>
        </is>
      </c>
      <c r="B130" s="1" t="n">
        <v>44259</v>
      </c>
      <c r="C130" s="1" t="n">
        <v>45723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11850-2021</t>
        </is>
      </c>
      <c r="B131" s="1" t="n">
        <v>44265</v>
      </c>
      <c r="C131" s="1" t="n">
        <v>45723</v>
      </c>
      <c r="D131" t="inlineStr">
        <is>
          <t>VÄSTRA GÖTALANDS LÄN</t>
        </is>
      </c>
      <c r="E131" t="inlineStr">
        <is>
          <t>UDDEVALLA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13908-2021</t>
        </is>
      </c>
      <c r="B132" s="1" t="n">
        <v>44277</v>
      </c>
      <c r="C132" s="1" t="n">
        <v>45723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14411-2021</t>
        </is>
      </c>
      <c r="B133" s="1" t="n">
        <v>44279</v>
      </c>
      <c r="C133" s="1" t="n">
        <v>45723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18296-2021</t>
        </is>
      </c>
      <c r="B134" s="1" t="n">
        <v>44305</v>
      </c>
      <c r="C134" s="1" t="n">
        <v>45723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18885-2021</t>
        </is>
      </c>
      <c r="B135" s="1" t="n">
        <v>44308</v>
      </c>
      <c r="C135" s="1" t="n">
        <v>45723</v>
      </c>
      <c r="D135" t="inlineStr">
        <is>
          <t>VÄSTRA GÖTALANDS LÄN</t>
        </is>
      </c>
      <c r="E135" t="inlineStr">
        <is>
          <t>UDDEVALLA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20911-2021</t>
        </is>
      </c>
      <c r="B136" s="1" t="n">
        <v>44319</v>
      </c>
      <c r="C136" s="1" t="n">
        <v>45723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22719-2021</t>
        </is>
      </c>
      <c r="B137" s="1" t="n">
        <v>44327</v>
      </c>
      <c r="C137" s="1" t="n">
        <v>45723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24283-2021</t>
        </is>
      </c>
      <c r="B138" s="1" t="n">
        <v>44337</v>
      </c>
      <c r="C138" s="1" t="n">
        <v>45723</v>
      </c>
      <c r="D138" t="inlineStr">
        <is>
          <t>VÄSTRA GÖTALANDS LÄN</t>
        </is>
      </c>
      <c r="E138" t="inlineStr">
        <is>
          <t>UDDEVALLA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25892-2021</t>
        </is>
      </c>
      <c r="B139" s="1" t="n">
        <v>44344</v>
      </c>
      <c r="C139" s="1" t="n">
        <v>45723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25901-2021</t>
        </is>
      </c>
      <c r="B140" s="1" t="n">
        <v>44344</v>
      </c>
      <c r="C140" s="1" t="n">
        <v>45723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27497-2021</t>
        </is>
      </c>
      <c r="B141" s="1" t="n">
        <v>44351</v>
      </c>
      <c r="C141" s="1" t="n">
        <v>45723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27494-2021</t>
        </is>
      </c>
      <c r="B142" s="1" t="n">
        <v>44351</v>
      </c>
      <c r="C142" s="1" t="n">
        <v>45723</v>
      </c>
      <c r="D142" t="inlineStr">
        <is>
          <t>VÄSTRA GÖTALANDS LÄN</t>
        </is>
      </c>
      <c r="E142" t="inlineStr">
        <is>
          <t>UDDEVALLA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27544-2021</t>
        </is>
      </c>
      <c r="B143" s="1" t="n">
        <v>44351</v>
      </c>
      <c r="C143" s="1" t="n">
        <v>45723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28186-2021</t>
        </is>
      </c>
      <c r="B144" s="1" t="n">
        <v>44355</v>
      </c>
      <c r="C144" s="1" t="n">
        <v>45723</v>
      </c>
      <c r="D144" t="inlineStr">
        <is>
          <t>VÄSTRA GÖTALANDS LÄN</t>
        </is>
      </c>
      <c r="E144" t="inlineStr">
        <is>
          <t>UDDEVALLA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29655-2021</t>
        </is>
      </c>
      <c r="B145" s="1" t="n">
        <v>44361</v>
      </c>
      <c r="C145" s="1" t="n">
        <v>45723</v>
      </c>
      <c r="D145" t="inlineStr">
        <is>
          <t>VÄSTRA GÖTALANDS LÄN</t>
        </is>
      </c>
      <c r="E145" t="inlineStr">
        <is>
          <t>UDDEVALLA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33332-2021</t>
        </is>
      </c>
      <c r="B146" s="1" t="n">
        <v>44377</v>
      </c>
      <c r="C146" s="1" t="n">
        <v>45723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34584-2021</t>
        </is>
      </c>
      <c r="B147" s="1" t="n">
        <v>44382</v>
      </c>
      <c r="C147" s="1" t="n">
        <v>45723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39287-2021</t>
        </is>
      </c>
      <c r="B148" s="1" t="n">
        <v>44413</v>
      </c>
      <c r="C148" s="1" t="n">
        <v>45723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45723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40110-2021</t>
        </is>
      </c>
      <c r="B150" s="1" t="n">
        <v>44418</v>
      </c>
      <c r="C150" s="1" t="n">
        <v>45723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45723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43173-2021</t>
        </is>
      </c>
      <c r="B152" s="1" t="n">
        <v>44431</v>
      </c>
      <c r="C152" s="1" t="n">
        <v>45723</v>
      </c>
      <c r="D152" t="inlineStr">
        <is>
          <t>VÄSTRA GÖTALANDS LÄN</t>
        </is>
      </c>
      <c r="E152" t="inlineStr">
        <is>
          <t>UDDEVALLA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46548-2021</t>
        </is>
      </c>
      <c r="B153" s="1" t="n">
        <v>44445</v>
      </c>
      <c r="C153" s="1" t="n">
        <v>45723</v>
      </c>
      <c r="D153" t="inlineStr">
        <is>
          <t>VÄSTRA GÖTALANDS LÄN</t>
        </is>
      </c>
      <c r="E153" t="inlineStr">
        <is>
          <t>UDDEVALLA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48088-2021</t>
        </is>
      </c>
      <c r="B154" s="1" t="n">
        <v>44449</v>
      </c>
      <c r="C154" s="1" t="n">
        <v>45723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51873-2021</t>
        </is>
      </c>
      <c r="B155" s="1" t="n">
        <v>44462</v>
      </c>
      <c r="C155" s="1" t="n">
        <v>45723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51868-2021</t>
        </is>
      </c>
      <c r="B156" s="1" t="n">
        <v>44462</v>
      </c>
      <c r="C156" s="1" t="n">
        <v>45723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51876-2021</t>
        </is>
      </c>
      <c r="B157" s="1" t="n">
        <v>44462</v>
      </c>
      <c r="C157" s="1" t="n">
        <v>45723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54440-2021</t>
        </is>
      </c>
      <c r="B158" s="1" t="n">
        <v>44472</v>
      </c>
      <c r="C158" s="1" t="n">
        <v>45723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45723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45723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45723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45723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45723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45723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45723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45723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45723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45723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45723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45723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45723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45723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45723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45723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45723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45723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45723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45723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45723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45723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45723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45723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45723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45723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45723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45723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45723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45723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45723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45723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45723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45723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45723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45723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45723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45723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45723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45723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45723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45723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45723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45723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45723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45723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45723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45723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45723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45723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45723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45723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45723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45723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45723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45723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45723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45723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45723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45723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45723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45723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45723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45723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45723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45723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45723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45723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45723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45723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45723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45723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45723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45723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45723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45723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45723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45723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45723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45723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45723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45723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45723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45723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45723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45723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45723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45723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45723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45723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45723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45723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45723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45723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45723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45723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45723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45723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45723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45723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45723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45723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45723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45723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45723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45723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45723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45723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45723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45723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45723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45723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45723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45723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45723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45723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45723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45723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45723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45723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45723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45723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45723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45723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45723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45723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45723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45723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45723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45723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45723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45723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45723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45723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45723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45723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45723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45723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45723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45723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45723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45723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45723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45723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45723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45723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45723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45723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45723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45723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45723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45723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45723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45723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45723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45723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45723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45723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45723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45723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45723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45723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45723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45723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45723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45723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45723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45723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45723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45723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45723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45723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45723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45723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45723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45723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45723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45723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45723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45723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45723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45723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45723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45723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45723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45723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45723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45723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45723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45723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45723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45723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45723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45723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45723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45723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45723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45723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45723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45723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45723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45723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45723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45723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45723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45723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45723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45723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45723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45723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45723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45723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45723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45723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45723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45723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45723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45723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45723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45723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45723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45723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45723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45723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45723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45723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45723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45723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45723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45723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45723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45723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45723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45723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45723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45723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45723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45723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45723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45723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45723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45723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45723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45723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45723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45723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45723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45723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45723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45723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45723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45723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45723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45723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45723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45723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45723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45723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45723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45723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45723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45723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45723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45723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45723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45723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45723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45723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45723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45723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45723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45723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45723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45723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45723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45723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45723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45723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45723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45723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45723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45723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45723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45723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45723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45723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45723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45723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45723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45723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45723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45723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45723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45723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45723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45723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45723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45723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45723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45723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45723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45723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45723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45723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45723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45723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45723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45723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45723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45723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45723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45723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45723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45723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45723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45723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45723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45723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45723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45723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45723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45723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45723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45723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45723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45723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45723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45723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45723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45723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45723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45723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45723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45723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45723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45723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45723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45723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45723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45723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45723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45723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45723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45723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45723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45723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45723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45723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45723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45723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45723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45723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45723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45723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45723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45723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45723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45723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45723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45723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45723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45723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45723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45723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45723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45723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45723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45723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45723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45723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45723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45723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45723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45723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45723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45723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45723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10900-2025</t>
        </is>
      </c>
      <c r="B536" s="1" t="n">
        <v>45722</v>
      </c>
      <c r="C536" s="1" t="n">
        <v>45723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2025-03-07T16:50:49Z</dcterms:created>
  <dcterms:modified xmlns:dcterms="http://purl.org/dc/terms/" xmlns:xsi="http://www.w3.org/2001/XMLSchema-instance" xsi:type="dcterms:W3CDTF">2025-03-07T16:50:49Z</dcterms:modified>
</cp:coreProperties>
</file>