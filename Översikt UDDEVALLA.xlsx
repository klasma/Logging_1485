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46261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46261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46261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46261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46261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46261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46261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46261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46261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46261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46261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46261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46261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46261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46261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16863-2025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45754</v>
      </c>
      <c r="E19" s="1" t="n">
        <v>46261</v>
      </c>
      <c r="F19" t="inlineStr">
        <is>
          <t>VÄSTRA GÖTALANDS LÄN</t>
        </is>
      </c>
      <c r="G19" t="inlineStr">
        <is>
          <t>UDDEVALLA</t>
        </is>
      </c>
      <c r="I19" t="n">
        <v>15.3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Kopparödla</t>
        </is>
      </c>
      <c r="W19">
        <f>HYPERLINK("https://klasma.github.io/Logging_1485/artfynd/A 16863-2025 artfynd.xlsx", "A 16863-2025")</f>
        <v/>
      </c>
      <c r="X19">
        <f>HYPERLINK("https://klasma.github.io/Logging_1485/kartor/A 16863-2025 karta.png", "A 16863-2025")</f>
        <v/>
      </c>
      <c r="Y19">
        <f>HYPERLINK("https://klasma.github.io/Logging_1485/kartor_geotiff/A 16863-2025 georefererad karta.tif", "A 16863-2025")</f>
        <v/>
      </c>
      <c r="AA19">
        <f>HYPERLINK("https://klasma.github.io/Logging_1485/klagomål/A 16863-2025 FSC-klagomål.docx", "A 16863-2025")</f>
        <v/>
      </c>
      <c r="AB19">
        <f>HYPERLINK("https://klasma.github.io/Logging_1485/klagomålsmail/A 16863-2025 FSC-klagomål mail.docx", "A 16863-2025")</f>
        <v/>
      </c>
      <c r="AC19">
        <f>HYPERLINK("https://klasma.github.io/Logging_1485/tillsyn/A 16863-2025 tillsynsbegäran.docx", "A 16863-2025")</f>
        <v/>
      </c>
      <c r="AD19">
        <f>HYPERLINK("https://klasma.github.io/Logging_1485/tillsynsmail/A 16863-2025 tillsynsbegäran mail.docx", "A 16863-2025")</f>
        <v/>
      </c>
    </row>
    <row r="20" ht="15" customHeight="1">
      <c r="A20" t="inlineStr">
        <is>
          <t>A 41292-2022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44825</v>
      </c>
      <c r="E20" s="1" t="n">
        <v>46261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9.699999999999999</v>
      </c>
      <c r="J20" t="n">
        <v>1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Entita</t>
        </is>
      </c>
      <c r="W20">
        <f>HYPERLINK("https://klasma.github.io/Logging_1485/artfynd/A 41292-2022 artfynd.xlsx", "A 41292-2022")</f>
        <v/>
      </c>
      <c r="X20">
        <f>HYPERLINK("https://klasma.github.io/Logging_1485/kartor/A 41292-2022 karta.png", "A 41292-2022")</f>
        <v/>
      </c>
      <c r="Y20">
        <f>HYPERLINK("https://klasma.github.io/Logging_1485/kartor_geotiff/A 41292-2022 georefererad karta.tif", "A 41292-2022")</f>
        <v/>
      </c>
      <c r="AA20">
        <f>HYPERLINK("https://klasma.github.io/Logging_1485/klagomål/A 41292-2022 FSC-klagomål.docx", "A 41292-2022")</f>
        <v/>
      </c>
      <c r="AB20">
        <f>HYPERLINK("https://klasma.github.io/Logging_1485/klagomålsmail/A 41292-2022 FSC-klagomål mail.docx", "A 41292-2022")</f>
        <v/>
      </c>
      <c r="AC20">
        <f>HYPERLINK("https://klasma.github.io/Logging_1485/tillsyn/A 41292-2022 tillsynsbegäran.docx", "A 41292-2022")</f>
        <v/>
      </c>
      <c r="AD20">
        <f>HYPERLINK("https://klasma.github.io/Logging_1485/tillsynsmail/A 41292-2022 tillsynsbegäran mail.docx", "A 41292-2022")</f>
        <v/>
      </c>
      <c r="AE20">
        <f>HYPERLINK("https://klasma.github.io/Logging_1485/fåglar/A 41292-2022 prioriterade fågelarter.docx", "A 41292-2022")</f>
        <v/>
      </c>
    </row>
    <row r="21" ht="15" customHeight="1">
      <c r="A21" t="inlineStr">
        <is>
          <t>A 16882-2026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46113</v>
      </c>
      <c r="E21" s="1" t="n">
        <v>46261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Iller
Svinrot</t>
        </is>
      </c>
      <c r="W21">
        <f>HYPERLINK("https://klasma.github.io/Logging_1485/artfynd/A 16882-2026 artfynd.xlsx", "A 16882-2026")</f>
        <v/>
      </c>
      <c r="X21">
        <f>HYPERLINK("https://klasma.github.io/Logging_1485/kartor/A 16882-2026 karta.png", "A 16882-2026")</f>
        <v/>
      </c>
      <c r="Y21">
        <f>HYPERLINK("https://klasma.github.io/Logging_1485/kartor_geotiff/A 16882-2026 georefererad karta.tif", "A 16882-2026")</f>
        <v/>
      </c>
      <c r="AA21">
        <f>HYPERLINK("https://klasma.github.io/Logging_1485/klagomål/A 16882-2026 FSC-klagomål.docx", "A 16882-2026")</f>
        <v/>
      </c>
      <c r="AB21">
        <f>HYPERLINK("https://klasma.github.io/Logging_1485/klagomålsmail/A 16882-2026 FSC-klagomål mail.docx", "A 16882-2026")</f>
        <v/>
      </c>
      <c r="AC21">
        <f>HYPERLINK("https://klasma.github.io/Logging_1485/tillsyn/A 16882-2026 tillsynsbegäran.docx", "A 16882-2026")</f>
        <v/>
      </c>
      <c r="AD21">
        <f>HYPERLINK("https://klasma.github.io/Logging_1485/tillsynsmail/A 16882-2026 tillsynsbegäran mail.docx", "A 16882-2026")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46261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46261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46261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46261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46261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46261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46261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46261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46261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46261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46261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46261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23322-2025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46261</v>
      </c>
      <c r="F34" t="inlineStr">
        <is>
          <t>VÄSTRA GÖTALANDS LÄN</t>
        </is>
      </c>
      <c r="G34" t="inlineStr">
        <is>
          <t>UDDEVALLA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HYPERLINK("https://klasma.github.io/Logging_1485/artfynd/A 23322-2025 artfynd.xlsx", "A 23322-2025")</f>
        <v/>
      </c>
      <c r="X34">
        <f>HYPERLINK("https://klasma.github.io/Logging_1485/kartor/A 23322-2025 karta.png", "A 23322-2025")</f>
        <v/>
      </c>
      <c r="Y34">
        <f>HYPERLINK("https://klasma.github.io/Logging_1485/kartor_geotiff/A 23322-2025 georefererad karta.tif", "A 23322-2025")</f>
        <v/>
      </c>
      <c r="AA34">
        <f>HYPERLINK("https://klasma.github.io/Logging_1485/klagomål/A 23322-2025 FSC-klagomål.docx", "A 23322-2025")</f>
        <v/>
      </c>
      <c r="AB34">
        <f>HYPERLINK("https://klasma.github.io/Logging_1485/klagomålsmail/A 23322-2025 FSC-klagomål mail.docx", "A 23322-2025")</f>
        <v/>
      </c>
      <c r="AC34">
        <f>HYPERLINK("https://klasma.github.io/Logging_1485/tillsyn/A 23322-2025 tillsynsbegäran.docx", "A 23322-2025")</f>
        <v/>
      </c>
      <c r="AD34">
        <f>HYPERLINK("https://klasma.github.io/Logging_1485/tillsynsmail/A 23322-2025 tillsynsbegäran mail.docx", "A 23322-2025")</f>
        <v/>
      </c>
      <c r="AE34">
        <f>HYPERLINK("https://klasma.github.io/Logging_1485/fåglar/A 23322-2025 prioriterade fågelarter.docx", "A 23322-2025")</f>
        <v/>
      </c>
    </row>
    <row r="35" ht="15" customHeight="1">
      <c r="A35" t="inlineStr">
        <is>
          <t>A 34058-2023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45135</v>
      </c>
      <c r="E35" s="1" t="n">
        <v>46261</v>
      </c>
      <c r="F35" t="inlineStr">
        <is>
          <t>VÄSTRA GÖTALANDS LÄN</t>
        </is>
      </c>
      <c r="G35" t="inlineStr">
        <is>
          <t>UDDEVALLA</t>
        </is>
      </c>
      <c r="I35" t="n">
        <v>1.3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Lundvaxskivling</t>
        </is>
      </c>
      <c r="W35">
        <f>HYPERLINK("https://klasma.github.io/Logging_1485/artfynd/A 34058-2023 artfynd.xlsx", "A 34058-2023")</f>
        <v/>
      </c>
      <c r="X35">
        <f>HYPERLINK("https://klasma.github.io/Logging_1485/kartor/A 34058-2023 karta.png", "A 34058-2023")</f>
        <v/>
      </c>
      <c r="Y35">
        <f>HYPERLINK("https://klasma.github.io/Logging_1485/kartor_geotiff/A 34058-2023 georefererad karta.tif", "A 34058-2023")</f>
        <v/>
      </c>
      <c r="AA35">
        <f>HYPERLINK("https://klasma.github.io/Logging_1485/klagomål/A 34058-2023 FSC-klagomål.docx", "A 34058-2023")</f>
        <v/>
      </c>
      <c r="AB35">
        <f>HYPERLINK("https://klasma.github.io/Logging_1485/klagomålsmail/A 34058-2023 FSC-klagomål mail.docx", "A 34058-2023")</f>
        <v/>
      </c>
      <c r="AC35">
        <f>HYPERLINK("https://klasma.github.io/Logging_1485/tillsyn/A 34058-2023 tillsynsbegäran.docx", "A 34058-2023")</f>
        <v/>
      </c>
      <c r="AD35">
        <f>HYPERLINK("https://klasma.github.io/Logging_1485/tillsynsmail/A 34058-2023 tillsynsbegäran mail.docx", "A 34058-2023")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46261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9424-2026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46071</v>
      </c>
      <c r="E37" s="1" t="n">
        <v>46261</v>
      </c>
      <c r="F37" t="inlineStr">
        <is>
          <t>VÄSTRA GÖTALANDS LÄN</t>
        </is>
      </c>
      <c r="G37" t="inlineStr">
        <is>
          <t>UDDEVALLA</t>
        </is>
      </c>
      <c r="I37" t="n">
        <v>4.3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Flotagräs</t>
        </is>
      </c>
      <c r="W37">
        <f>HYPERLINK("https://klasma.github.io/Logging_1485/artfynd/A 9424-2026 artfynd.xlsx", "A 9424-2026")</f>
        <v/>
      </c>
      <c r="X37">
        <f>HYPERLINK("https://klasma.github.io/Logging_1485/kartor/A 9424-2026 karta.png", "A 9424-2026")</f>
        <v/>
      </c>
      <c r="Y37">
        <f>HYPERLINK("https://klasma.github.io/Logging_1485/kartor_geotiff/A 9424-2026 georefererad karta.tif", "A 9424-2026")</f>
        <v/>
      </c>
      <c r="AA37">
        <f>HYPERLINK("https://klasma.github.io/Logging_1485/klagomål/A 9424-2026 FSC-klagomål.docx", "A 9424-2026")</f>
        <v/>
      </c>
      <c r="AB37">
        <f>HYPERLINK("https://klasma.github.io/Logging_1485/klagomålsmail/A 9424-2026 FSC-klagomål mail.docx", "A 9424-2026")</f>
        <v/>
      </c>
      <c r="AC37">
        <f>HYPERLINK("https://klasma.github.io/Logging_1485/tillsyn/A 9424-2026 tillsynsbegäran.docx", "A 9424-2026")</f>
        <v/>
      </c>
      <c r="AD37">
        <f>HYPERLINK("https://klasma.github.io/Logging_1485/tillsynsmail/A 9424-2026 tillsynsbegäran mail.docx", "A 9424-2026")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46261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46261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46261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Grönsångare</t>
        </is>
      </c>
      <c r="W40">
        <f>HYPERLINK("https://klasma.github.io/Logging_1485/artfynd/A 50274-2024 artfynd.xlsx", "A 50274-2024")</f>
        <v/>
      </c>
      <c r="X40">
        <f>HYPERLINK("https://klasma.github.io/Logging_1485/kartor/A 50274-2024 karta.png", "A 50274-2024")</f>
        <v/>
      </c>
      <c r="Y40">
        <f>HYPERLINK("https://klasma.github.io/Logging_1485/kartor_geotiff/A 50274-2024 georefererad karta.tif", "A 50274-2024")</f>
        <v/>
      </c>
      <c r="AA40">
        <f>HYPERLINK("https://klasma.github.io/Logging_1485/klagomål/A 50274-2024 FSC-klagomål.docx", "A 50274-2024")</f>
        <v/>
      </c>
      <c r="AB40">
        <f>HYPERLINK("https://klasma.github.io/Logging_1485/klagomålsmail/A 50274-2024 FSC-klagomål mail.docx", "A 50274-2024")</f>
        <v/>
      </c>
      <c r="AC40">
        <f>HYPERLINK("https://klasma.github.io/Logging_1485/tillsyn/A 50274-2024 tillsynsbegäran.docx", "A 50274-2024")</f>
        <v/>
      </c>
      <c r="AD40">
        <f>HYPERLINK("https://klasma.github.io/Logging_1485/tillsynsmail/A 50274-2024 tillsynsbegäran mail.docx", "A 50274-2024")</f>
        <v/>
      </c>
      <c r="AE40">
        <f>HYPERLINK("https://klasma.github.io/Logging_1485/fåglar/A 50274-2024 prioriterade fågelarter.docx", "A 50274-2024")</f>
        <v/>
      </c>
    </row>
    <row r="41" ht="15" customHeight="1">
      <c r="A41" t="inlineStr">
        <is>
          <t>A 2429-2026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46261</v>
      </c>
      <c r="F41" t="inlineStr">
        <is>
          <t>VÄSTRA GÖTALANDS LÄN</t>
        </is>
      </c>
      <c r="G41" t="inlineStr">
        <is>
          <t>UDDEVALLA</t>
        </is>
      </c>
      <c r="I41" t="n">
        <v>7.6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HYPERLINK("https://klasma.github.io/Logging_1485/artfynd/A 2429-2026 artfynd.xlsx", "A 2429-2026")</f>
        <v/>
      </c>
      <c r="X41">
        <f>HYPERLINK("https://klasma.github.io/Logging_1485/kartor/A 2429-2026 karta.png", "A 2429-2026")</f>
        <v/>
      </c>
      <c r="Y41">
        <f>HYPERLINK("https://klasma.github.io/Logging_1485/kartor_geotiff/A 2429-2026 georefererad karta.tif", "A 2429-2026")</f>
        <v/>
      </c>
      <c r="AA41">
        <f>HYPERLINK("https://klasma.github.io/Logging_1485/klagomål/A 2429-2026 FSC-klagomål.docx", "A 2429-2026")</f>
        <v/>
      </c>
      <c r="AB41">
        <f>HYPERLINK("https://klasma.github.io/Logging_1485/klagomålsmail/A 2429-2026 FSC-klagomål mail.docx", "A 2429-2026")</f>
        <v/>
      </c>
      <c r="AC41">
        <f>HYPERLINK("https://klasma.github.io/Logging_1485/tillsyn/A 2429-2026 tillsynsbegäran.docx", "A 2429-2026")</f>
        <v/>
      </c>
      <c r="AD41">
        <f>HYPERLINK("https://klasma.github.io/Logging_1485/tillsynsmail/A 2429-2026 tillsynsbegäran mail.docx", "A 2429-2026")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46261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46261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46261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22603-2023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46261</v>
      </c>
      <c r="F45" t="inlineStr">
        <is>
          <t>VÄSTRA GÖTALANDS LÄN</t>
        </is>
      </c>
      <c r="G45" t="inlineStr">
        <is>
          <t>UDDEVALLA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HYPERLINK("https://klasma.github.io/Logging_1485/artfynd/A 22603-2023 artfynd.xlsx", "A 22603-2023")</f>
        <v/>
      </c>
      <c r="X45">
        <f>HYPERLINK("https://klasma.github.io/Logging_1485/kartor/A 22603-2023 karta.png", "A 22603-2023")</f>
        <v/>
      </c>
      <c r="Y45">
        <f>HYPERLINK("https://klasma.github.io/Logging_1485/kartor_geotiff/A 22603-2023 georefererad karta.tif", "A 22603-2023")</f>
        <v/>
      </c>
      <c r="AA45">
        <f>HYPERLINK("https://klasma.github.io/Logging_1485/klagomål/A 22603-2023 FSC-klagomål.docx", "A 22603-2023")</f>
        <v/>
      </c>
      <c r="AB45">
        <f>HYPERLINK("https://klasma.github.io/Logging_1485/klagomålsmail/A 22603-2023 FSC-klagomål mail.docx", "A 22603-2023")</f>
        <v/>
      </c>
      <c r="AC45">
        <f>HYPERLINK("https://klasma.github.io/Logging_1485/tillsyn/A 22603-2023 tillsynsbegäran.docx", "A 22603-2023")</f>
        <v/>
      </c>
      <c r="AD45">
        <f>HYPERLINK("https://klasma.github.io/Logging_1485/tillsynsmail/A 22603-2023 tillsynsbegäran mail.docx", "A 22603-2023")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46261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46261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46261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46261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46261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46261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46261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46261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46261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46261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46261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46261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46261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46261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46261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46261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46261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46261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46261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46261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46261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46261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46261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46261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46261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46261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46261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44834</v>
      </c>
      <c r="E73" s="1" t="n">
        <v>46261</v>
      </c>
      <c r="F73" t="inlineStr">
        <is>
          <t>VÄSTRA GÖTALANDS LÄN</t>
        </is>
      </c>
      <c r="G73" t="inlineStr">
        <is>
          <t>UDDEVALLA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46261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46261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46261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46261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46261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45374</v>
      </c>
      <c r="E79" s="1" t="n">
        <v>46261</v>
      </c>
      <c r="F79" t="inlineStr">
        <is>
          <t>VÄSTRA GÖTALANDS LÄN</t>
        </is>
      </c>
      <c r="G79" t="inlineStr">
        <is>
          <t>UDDEVALLA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46261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46261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46261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46261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45672</v>
      </c>
      <c r="E84" s="1" t="n">
        <v>46261</v>
      </c>
      <c r="F84" t="inlineStr">
        <is>
          <t>VÄSTRA GÖTALANDS LÄN</t>
        </is>
      </c>
      <c r="G84" t="inlineStr">
        <is>
          <t>UDDEVALLA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46261</v>
      </c>
      <c r="F85" t="inlineStr">
        <is>
          <t>VÄSTRA GÖTALANDS LÄN</t>
        </is>
      </c>
      <c r="G85" t="inlineStr">
        <is>
          <t>UDDEVALLA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36562-2024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46261</v>
      </c>
      <c r="F86" t="inlineStr">
        <is>
          <t>VÄSTRA GÖTALANDS LÄN</t>
        </is>
      </c>
      <c r="G86" t="inlineStr">
        <is>
          <t>UDDEVALLA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46026</v>
      </c>
      <c r="E87" s="1" t="n">
        <v>46261</v>
      </c>
      <c r="F87" t="inlineStr">
        <is>
          <t>VÄSTRA GÖTALANDS LÄN</t>
        </is>
      </c>
      <c r="G87" t="inlineStr">
        <is>
          <t>UDDEVALLA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46261</v>
      </c>
      <c r="F88" t="inlineStr">
        <is>
          <t>VÄSTRA GÖTALANDS LÄN</t>
        </is>
      </c>
      <c r="G88" t="inlineStr">
        <is>
          <t>UDDEVALLA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46027</v>
      </c>
      <c r="E89" s="1" t="n">
        <v>46261</v>
      </c>
      <c r="F89" t="inlineStr">
        <is>
          <t>VÄSTRA GÖTALANDS LÄN</t>
        </is>
      </c>
      <c r="G89" t="inlineStr">
        <is>
          <t>UDDEVALLA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46261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46261</v>
      </c>
      <c r="F91" t="inlineStr">
        <is>
          <t>VÄSTRA GÖTALANDS LÄN</t>
        </is>
      </c>
      <c r="G91" t="inlineStr">
        <is>
          <t>UDDEVALLA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46261</v>
      </c>
      <c r="F92" t="inlineStr">
        <is>
          <t>VÄSTRA GÖTALANDS LÄN</t>
        </is>
      </c>
      <c r="G92" t="inlineStr">
        <is>
          <t>UDDEVALLA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46261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46261</v>
      </c>
      <c r="F94" t="inlineStr">
        <is>
          <t>VÄSTRA GÖTALANDS LÄN</t>
        </is>
      </c>
      <c r="G94" t="inlineStr">
        <is>
          <t>UDDEVALLA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46261</v>
      </c>
      <c r="F95" t="inlineStr">
        <is>
          <t>VÄSTRA GÖTALANDS LÄN</t>
        </is>
      </c>
      <c r="G95" t="inlineStr">
        <is>
          <t>UDDEVALLA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46261</v>
      </c>
      <c r="F96" t="inlineStr">
        <is>
          <t>VÄSTRA GÖTALANDS LÄN</t>
        </is>
      </c>
      <c r="G96" t="inlineStr">
        <is>
          <t>UDDEVALLA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46261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46261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46261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46261</v>
      </c>
      <c r="F100" t="inlineStr">
        <is>
          <t>VÄSTRA GÖTALANDS LÄN</t>
        </is>
      </c>
      <c r="G100" t="inlineStr">
        <is>
          <t>UDDEVALLA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46261</v>
      </c>
      <c r="F101" t="inlineStr">
        <is>
          <t>VÄSTRA GÖTALANDS LÄN</t>
        </is>
      </c>
      <c r="G101" t="inlineStr">
        <is>
          <t>UDDEVALLA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46261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46261</v>
      </c>
      <c r="F103" t="inlineStr">
        <is>
          <t>VÄSTRA GÖTALANDS LÄN</t>
        </is>
      </c>
      <c r="G103" t="inlineStr">
        <is>
          <t>UDDEVALLA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46261</v>
      </c>
      <c r="F104" t="inlineStr">
        <is>
          <t>VÄSTRA GÖTALANDS LÄN</t>
        </is>
      </c>
      <c r="G104" t="inlineStr">
        <is>
          <t>UDDEVALLA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46261</v>
      </c>
      <c r="F105" t="inlineStr">
        <is>
          <t>VÄSTRA GÖTALANDS LÄN</t>
        </is>
      </c>
      <c r="G105" t="inlineStr">
        <is>
          <t>UDDEVALLA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46261</v>
      </c>
      <c r="F106" t="inlineStr">
        <is>
          <t>VÄSTRA GÖTALANDS LÄN</t>
        </is>
      </c>
      <c r="G106" t="inlineStr">
        <is>
          <t>UDDEVALLA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11076-2025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45723</v>
      </c>
      <c r="E107" s="1" t="n">
        <v>46261</v>
      </c>
      <c r="F107" t="inlineStr">
        <is>
          <t>VÄSTRA GÖTALANDS LÄN</t>
        </is>
      </c>
      <c r="G107" t="inlineStr">
        <is>
          <t>UDDEVALLA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46261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46261</v>
      </c>
      <c r="F109" t="inlineStr">
        <is>
          <t>VÄSTRA GÖTALANDS LÄN</t>
        </is>
      </c>
      <c r="G109" t="inlineStr">
        <is>
          <t>UDDEVALLA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46261</v>
      </c>
      <c r="F110" t="inlineStr">
        <is>
          <t>VÄSTRA GÖTALANDS LÄN</t>
        </is>
      </c>
      <c r="G110" t="inlineStr">
        <is>
          <t>UDDEVALLA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46261</v>
      </c>
      <c r="F111" t="inlineStr">
        <is>
          <t>VÄSTRA GÖTALANDS LÄN</t>
        </is>
      </c>
      <c r="G111" t="inlineStr">
        <is>
          <t>UDDEVALLA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46261</v>
      </c>
      <c r="F112" t="inlineStr">
        <is>
          <t>VÄSTRA GÖTALANDS LÄN</t>
        </is>
      </c>
      <c r="G112" t="inlineStr">
        <is>
          <t>UDDEVALLA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46261</v>
      </c>
      <c r="F113" t="inlineStr">
        <is>
          <t>VÄSTRA GÖTALANDS LÄN</t>
        </is>
      </c>
      <c r="G113" t="inlineStr">
        <is>
          <t>UDDEVALLA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46261</v>
      </c>
      <c r="F114" t="inlineStr">
        <is>
          <t>VÄSTRA GÖTALANDS LÄN</t>
        </is>
      </c>
      <c r="G114" t="inlineStr">
        <is>
          <t>UDDEVALLA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46261</v>
      </c>
      <c r="F115" t="inlineStr">
        <is>
          <t>VÄSTRA GÖTALANDS LÄN</t>
        </is>
      </c>
      <c r="G115" t="inlineStr">
        <is>
          <t>UDDEVALLA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45484</v>
      </c>
      <c r="E116" s="1" t="n">
        <v>46261</v>
      </c>
      <c r="F116" t="inlineStr">
        <is>
          <t>VÄSTRA GÖTALANDS LÄN</t>
        </is>
      </c>
      <c r="G116" t="inlineStr">
        <is>
          <t>UDDEVALLA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46071</v>
      </c>
      <c r="E117" s="1" t="n">
        <v>46261</v>
      </c>
      <c r="F117" t="inlineStr">
        <is>
          <t>VÄSTRA GÖTALANDS LÄN</t>
        </is>
      </c>
      <c r="G117" t="inlineStr">
        <is>
          <t>UDDEVALLA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46261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46261</v>
      </c>
      <c r="F119" t="inlineStr">
        <is>
          <t>VÄSTRA GÖTALANDS LÄN</t>
        </is>
      </c>
      <c r="G119" t="inlineStr">
        <is>
          <t>UDDEVALLA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46261</v>
      </c>
      <c r="F120" t="inlineStr">
        <is>
          <t>VÄSTRA GÖTALANDS LÄN</t>
        </is>
      </c>
      <c r="G120" t="inlineStr">
        <is>
          <t>UDDEVALLA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46261</v>
      </c>
      <c r="F121" t="inlineStr">
        <is>
          <t>VÄSTRA GÖTALANDS LÄN</t>
        </is>
      </c>
      <c r="G121" t="inlineStr">
        <is>
          <t>UDDEVALLA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46261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10436-2026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46076</v>
      </c>
      <c r="E123" s="1" t="n">
        <v>46261</v>
      </c>
      <c r="F123" t="inlineStr">
        <is>
          <t>VÄSTRA GÖTALANDS LÄN</t>
        </is>
      </c>
      <c r="G123" t="inlineStr">
        <is>
          <t>UDDEVALLA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46261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46261</v>
      </c>
      <c r="F125" t="inlineStr">
        <is>
          <t>VÄSTRA GÖTALANDS LÄN</t>
        </is>
      </c>
      <c r="G125" t="inlineStr">
        <is>
          <t>UDDEVALLA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45843</v>
      </c>
      <c r="E126" s="1" t="n">
        <v>46261</v>
      </c>
      <c r="F126" t="inlineStr">
        <is>
          <t>VÄSTRA GÖTALANDS LÄN</t>
        </is>
      </c>
      <c r="G126" t="inlineStr">
        <is>
          <t>UDDEVALLA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46261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46261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46261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46261</v>
      </c>
      <c r="F130" t="inlineStr">
        <is>
          <t>VÄSTRA GÖTALANDS LÄN</t>
        </is>
      </c>
      <c r="G130" t="inlineStr">
        <is>
          <t>UDDEVALLA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46261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16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46261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46261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46261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Kyrkan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46261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46261</v>
      </c>
      <c r="F136" t="inlineStr">
        <is>
          <t>VÄSTRA GÖTALANDS LÄN</t>
        </is>
      </c>
      <c r="G136" t="inlineStr">
        <is>
          <t>UDDEVALLA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46261</v>
      </c>
      <c r="F137" t="inlineStr">
        <is>
          <t>VÄSTRA GÖTALANDS LÄN</t>
        </is>
      </c>
      <c r="G137" t="inlineStr">
        <is>
          <t>UDDEVALLA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46261</v>
      </c>
      <c r="F138" t="inlineStr">
        <is>
          <t>VÄSTRA GÖTALANDS LÄN</t>
        </is>
      </c>
      <c r="G138" t="inlineStr">
        <is>
          <t>UDDEVALLA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46261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60241-2024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45642</v>
      </c>
      <c r="E140" s="1" t="n">
        <v>46261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46261</v>
      </c>
      <c r="F141" t="inlineStr">
        <is>
          <t>VÄSTRA GÖTALANDS LÄN</t>
        </is>
      </c>
      <c r="G141" t="inlineStr">
        <is>
          <t>UDDEVALLA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46261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46261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46261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46261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46261</v>
      </c>
      <c r="F146" t="inlineStr">
        <is>
          <t>VÄSTRA GÖTALANDS LÄN</t>
        </is>
      </c>
      <c r="G146" t="inlineStr">
        <is>
          <t>UDDEVALLA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46261</v>
      </c>
      <c r="F147" t="inlineStr">
        <is>
          <t>VÄSTRA GÖTALANDS LÄN</t>
        </is>
      </c>
      <c r="G147" t="inlineStr">
        <is>
          <t>UDDEVALLA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46261</v>
      </c>
      <c r="F148" t="inlineStr">
        <is>
          <t>VÄSTRA GÖTALANDS LÄN</t>
        </is>
      </c>
      <c r="G148" t="inlineStr">
        <is>
          <t>UDDEVALLA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46261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46261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46261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46261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46261</v>
      </c>
      <c r="F153" t="inlineStr">
        <is>
          <t>VÄSTRA GÖTALANDS LÄN</t>
        </is>
      </c>
      <c r="G153" t="inlineStr">
        <is>
          <t>UDDEVALLA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46261</v>
      </c>
      <c r="F154" t="inlineStr">
        <is>
          <t>VÄSTRA GÖTALANDS LÄN</t>
        </is>
      </c>
      <c r="G154" t="inlineStr">
        <is>
          <t>UDDEVALLA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46261</v>
      </c>
      <c r="F155" t="inlineStr">
        <is>
          <t>VÄSTRA GÖTALANDS LÄN</t>
        </is>
      </c>
      <c r="G155" t="inlineStr">
        <is>
          <t>UDDEVALLA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46261</v>
      </c>
      <c r="F156" t="inlineStr">
        <is>
          <t>VÄSTRA GÖTALANDS LÄN</t>
        </is>
      </c>
      <c r="G156" t="inlineStr">
        <is>
          <t>UDDEVALLA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46261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46261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46261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46261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45950</v>
      </c>
      <c r="E161" s="1" t="n">
        <v>46261</v>
      </c>
      <c r="F161" t="inlineStr">
        <is>
          <t>VÄSTRA GÖTALANDS LÄN</t>
        </is>
      </c>
      <c r="G161" t="inlineStr">
        <is>
          <t>UDDEVALLA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46261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46261</v>
      </c>
      <c r="F163" t="inlineStr">
        <is>
          <t>VÄSTRA GÖTALANDS LÄN</t>
        </is>
      </c>
      <c r="G163" t="inlineStr">
        <is>
          <t>UDDEVALLA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46261</v>
      </c>
      <c r="F164" t="inlineStr">
        <is>
          <t>VÄSTRA GÖTALANDS LÄN</t>
        </is>
      </c>
      <c r="G164" t="inlineStr">
        <is>
          <t>UDDEVALLA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46261</v>
      </c>
      <c r="F165" t="inlineStr">
        <is>
          <t>VÄSTRA GÖTALANDS LÄN</t>
        </is>
      </c>
      <c r="G165" t="inlineStr">
        <is>
          <t>UDDEVALLA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16819-2026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46113</v>
      </c>
      <c r="E166" s="1" t="n">
        <v>46261</v>
      </c>
      <c r="F166" t="inlineStr">
        <is>
          <t>VÄSTRA GÖTALANDS LÄN</t>
        </is>
      </c>
      <c r="G166" t="inlineStr">
        <is>
          <t>UDDEVALLA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45517</v>
      </c>
      <c r="E167" s="1" t="n">
        <v>46261</v>
      </c>
      <c r="F167" t="inlineStr">
        <is>
          <t>VÄSTRA GÖTALANDS LÄN</t>
        </is>
      </c>
      <c r="G167" t="inlineStr">
        <is>
          <t>UDDEVALLA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46261</v>
      </c>
      <c r="F168" t="inlineStr">
        <is>
          <t>VÄSTRA GÖTALANDS LÄN</t>
        </is>
      </c>
      <c r="G168" t="inlineStr">
        <is>
          <t>UDDEVALLA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46261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46261</v>
      </c>
      <c r="F170" t="inlineStr">
        <is>
          <t>VÄSTRA GÖTALANDS LÄN</t>
        </is>
      </c>
      <c r="G170" t="inlineStr">
        <is>
          <t>UDDEVALLA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46261</v>
      </c>
      <c r="F171" t="inlineStr">
        <is>
          <t>VÄSTRA GÖTALANDS LÄN</t>
        </is>
      </c>
      <c r="G171" t="inlineStr">
        <is>
          <t>UDDEVALLA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46120</v>
      </c>
      <c r="E172" s="1" t="n">
        <v>46261</v>
      </c>
      <c r="F172" t="inlineStr">
        <is>
          <t>VÄSTRA GÖTALANDS LÄN</t>
        </is>
      </c>
      <c r="G172" t="inlineStr">
        <is>
          <t>UDDEVALLA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46261</v>
      </c>
      <c r="F173" t="inlineStr">
        <is>
          <t>VÄSTRA GÖTALANDS LÄN</t>
        </is>
      </c>
      <c r="G173" t="inlineStr">
        <is>
          <t>UDDEVALLA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46261</v>
      </c>
      <c r="F174" t="inlineStr">
        <is>
          <t>VÄSTRA GÖTALANDS LÄN</t>
        </is>
      </c>
      <c r="G174" t="inlineStr">
        <is>
          <t>UDDEVALLA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46261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Kommuner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46261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46261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46261</v>
      </c>
      <c r="F178" t="inlineStr">
        <is>
          <t>VÄSTRA GÖTALANDS LÄN</t>
        </is>
      </c>
      <c r="G178" t="inlineStr">
        <is>
          <t>UDDEVALLA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46261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46261</v>
      </c>
      <c r="F180" t="inlineStr">
        <is>
          <t>VÄSTRA GÖTALANDS LÄN</t>
        </is>
      </c>
      <c r="G180" t="inlineStr">
        <is>
          <t>UDDEVALLA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46261</v>
      </c>
      <c r="F181" t="inlineStr">
        <is>
          <t>VÄSTRA GÖTALANDS LÄN</t>
        </is>
      </c>
      <c r="G181" t="inlineStr">
        <is>
          <t>UDDEVALLA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46261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45302</v>
      </c>
      <c r="E183" s="1" t="n">
        <v>46261</v>
      </c>
      <c r="F183" t="inlineStr">
        <is>
          <t>VÄSTRA GÖTALANDS LÄN</t>
        </is>
      </c>
      <c r="G183" t="inlineStr">
        <is>
          <t>UDDEVALLA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46261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46261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46261</v>
      </c>
      <c r="F186" t="inlineStr">
        <is>
          <t>VÄSTRA GÖTALANDS LÄN</t>
        </is>
      </c>
      <c r="G186" t="inlineStr">
        <is>
          <t>UDDEVALLA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46261</v>
      </c>
      <c r="F187" t="inlineStr">
        <is>
          <t>VÄSTRA GÖTALANDS LÄN</t>
        </is>
      </c>
      <c r="G187" t="inlineStr">
        <is>
          <t>UDDEVALLA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46261</v>
      </c>
      <c r="F188" t="inlineStr">
        <is>
          <t>VÄSTRA GÖTALANDS LÄN</t>
        </is>
      </c>
      <c r="G188" t="inlineStr">
        <is>
          <t>UDDEVALLA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45656</v>
      </c>
      <c r="E189" s="1" t="n">
        <v>46261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46261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46261</v>
      </c>
      <c r="F191" t="inlineStr">
        <is>
          <t>VÄSTRA GÖTALANDS LÄN</t>
        </is>
      </c>
      <c r="G191" t="inlineStr">
        <is>
          <t>UDDEVALLA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45901</v>
      </c>
      <c r="E192" s="1" t="n">
        <v>46261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46261</v>
      </c>
      <c r="F193" t="inlineStr">
        <is>
          <t>VÄSTRA GÖTALANDS LÄN</t>
        </is>
      </c>
      <c r="G193" t="inlineStr">
        <is>
          <t>UDDEVALLA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46261</v>
      </c>
      <c r="F194" t="inlineStr">
        <is>
          <t>VÄSTRA GÖTALANDS LÄN</t>
        </is>
      </c>
      <c r="G194" t="inlineStr">
        <is>
          <t>UDDEVALLA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20401-2026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46139</v>
      </c>
      <c r="E195" s="1" t="n">
        <v>46261</v>
      </c>
      <c r="F195" t="inlineStr">
        <is>
          <t>VÄSTRA GÖTALANDS LÄN</t>
        </is>
      </c>
      <c r="G195" t="inlineStr">
        <is>
          <t>UDDEVALLA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46261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46261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46261</v>
      </c>
      <c r="F198" t="inlineStr">
        <is>
          <t>VÄSTRA GÖTALANDS LÄN</t>
        </is>
      </c>
      <c r="G198" t="inlineStr">
        <is>
          <t>UDDEVALLA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46261</v>
      </c>
      <c r="F199" t="inlineStr">
        <is>
          <t>VÄSTRA GÖTALANDS LÄN</t>
        </is>
      </c>
      <c r="G199" t="inlineStr">
        <is>
          <t>UDDEVALLA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4639-2022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44592</v>
      </c>
      <c r="E200" s="1" t="n">
        <v>46261</v>
      </c>
      <c r="F200" t="inlineStr">
        <is>
          <t>VÄSTRA GÖTALANDS LÄN</t>
        </is>
      </c>
      <c r="G200" t="inlineStr">
        <is>
          <t>UDDEVALLA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46261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46261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45633</v>
      </c>
      <c r="E203" s="1" t="n">
        <v>46261</v>
      </c>
      <c r="F203" t="inlineStr">
        <is>
          <t>VÄSTRA GÖTALANDS LÄN</t>
        </is>
      </c>
      <c r="G203" t="inlineStr">
        <is>
          <t>UDDEVALLA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45226</v>
      </c>
      <c r="E204" s="1" t="n">
        <v>46261</v>
      </c>
      <c r="F204" t="inlineStr">
        <is>
          <t>VÄSTRA GÖTALANDS LÄN</t>
        </is>
      </c>
      <c r="G204" t="inlineStr">
        <is>
          <t>UDDEVALLA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46261</v>
      </c>
      <c r="F205" t="inlineStr">
        <is>
          <t>VÄSTRA GÖTALANDS LÄN</t>
        </is>
      </c>
      <c r="G205" t="inlineStr">
        <is>
          <t>UDDEVALLA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46261</v>
      </c>
      <c r="F206" t="inlineStr">
        <is>
          <t>VÄSTRA GÖTALANDS LÄN</t>
        </is>
      </c>
      <c r="G206" t="inlineStr">
        <is>
          <t>UDDEVALLA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46261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46147</v>
      </c>
      <c r="E208" s="1" t="n">
        <v>46261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Kommuner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46261</v>
      </c>
      <c r="F209" t="inlineStr">
        <is>
          <t>VÄSTRA GÖTALANDS LÄN</t>
        </is>
      </c>
      <c r="G209" t="inlineStr">
        <is>
          <t>UDDEVALLA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46261</v>
      </c>
      <c r="F210" t="inlineStr">
        <is>
          <t>VÄSTRA GÖTALANDS LÄN</t>
        </is>
      </c>
      <c r="G210" t="inlineStr">
        <is>
          <t>UDDEVALLA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46261</v>
      </c>
      <c r="F211" t="inlineStr">
        <is>
          <t>VÄSTRA GÖTALANDS LÄN</t>
        </is>
      </c>
      <c r="G211" t="inlineStr">
        <is>
          <t>UDDEVALLA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46261</v>
      </c>
      <c r="F212" t="inlineStr">
        <is>
          <t>VÄSTRA GÖTALANDS LÄN</t>
        </is>
      </c>
      <c r="G212" t="inlineStr">
        <is>
          <t>UDDEVALLA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59674-2023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45255</v>
      </c>
      <c r="E213" s="1" t="n">
        <v>46261</v>
      </c>
      <c r="F213" t="inlineStr">
        <is>
          <t>VÄSTRA GÖTALANDS LÄN</t>
        </is>
      </c>
      <c r="G213" t="inlineStr">
        <is>
          <t>UDDEVALLA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46261</v>
      </c>
      <c r="F214" t="inlineStr">
        <is>
          <t>VÄSTRA GÖTALANDS LÄN</t>
        </is>
      </c>
      <c r="G214" t="inlineStr">
        <is>
          <t>UDDEVALLA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46261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46261</v>
      </c>
      <c r="F216" t="inlineStr">
        <is>
          <t>VÄSTRA GÖTALANDS LÄN</t>
        </is>
      </c>
      <c r="G216" t="inlineStr">
        <is>
          <t>UDDEVALLA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46261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Övriga statliga verk och myndigheter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46261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46261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46261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44998</v>
      </c>
      <c r="E221" s="1" t="n">
        <v>46261</v>
      </c>
      <c r="F221" t="inlineStr">
        <is>
          <t>VÄSTRA GÖTALANDS LÄN</t>
        </is>
      </c>
      <c r="G221" t="inlineStr">
        <is>
          <t>UDDEVALLA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45495</v>
      </c>
      <c r="E222" s="1" t="n">
        <v>46261</v>
      </c>
      <c r="F222" t="inlineStr">
        <is>
          <t>VÄSTRA GÖTALANDS LÄN</t>
        </is>
      </c>
      <c r="G222" t="inlineStr">
        <is>
          <t>UDDEVALLA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45121</v>
      </c>
      <c r="E223" s="1" t="n">
        <v>46261</v>
      </c>
      <c r="F223" t="inlineStr">
        <is>
          <t>VÄSTRA GÖTALANDS LÄN</t>
        </is>
      </c>
      <c r="G223" t="inlineStr">
        <is>
          <t>UDDEVALLA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46261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46261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45484</v>
      </c>
      <c r="E226" s="1" t="n">
        <v>46261</v>
      </c>
      <c r="F226" t="inlineStr">
        <is>
          <t>VÄSTRA GÖTALANDS LÄN</t>
        </is>
      </c>
      <c r="G226" t="inlineStr">
        <is>
          <t>UDDEVALLA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46261</v>
      </c>
      <c r="F227" t="inlineStr">
        <is>
          <t>VÄSTRA GÖTALANDS LÄN</t>
        </is>
      </c>
      <c r="G227" t="inlineStr">
        <is>
          <t>UDDEVALLA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46261</v>
      </c>
      <c r="F228" t="inlineStr">
        <is>
          <t>VÄSTRA GÖTALANDS LÄN</t>
        </is>
      </c>
      <c r="G228" t="inlineStr">
        <is>
          <t>UDDEVALLA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46261</v>
      </c>
      <c r="F229" t="inlineStr">
        <is>
          <t>VÄSTRA GÖTALANDS LÄN</t>
        </is>
      </c>
      <c r="G229" t="inlineStr">
        <is>
          <t>UDDEVALLA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46261</v>
      </c>
      <c r="F230" t="inlineStr">
        <is>
          <t>VÄSTRA GÖTALANDS LÄN</t>
        </is>
      </c>
      <c r="G230" t="inlineStr">
        <is>
          <t>UDDEVALLA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46222</v>
      </c>
      <c r="E231" s="1" t="n">
        <v>46261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46261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Kommuner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44823</v>
      </c>
      <c r="E233" s="1" t="n">
        <v>46261</v>
      </c>
      <c r="F233" t="inlineStr">
        <is>
          <t>VÄSTRA GÖTALANDS LÄN</t>
        </is>
      </c>
      <c r="G233" t="inlineStr">
        <is>
          <t>UDDEVALLA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46261</v>
      </c>
      <c r="F234" t="inlineStr">
        <is>
          <t>VÄSTRA GÖTALANDS LÄN</t>
        </is>
      </c>
      <c r="G234" t="inlineStr">
        <is>
          <t>UDDEVALLA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63878-2021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44509</v>
      </c>
      <c r="E235" s="1" t="n">
        <v>46261</v>
      </c>
      <c r="F235" t="inlineStr">
        <is>
          <t>VÄSTRA GÖTALANDS LÄN</t>
        </is>
      </c>
      <c r="G235" t="inlineStr">
        <is>
          <t>UDDEVALLA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46261</v>
      </c>
      <c r="F236" t="inlineStr">
        <is>
          <t>VÄSTRA GÖTALANDS LÄN</t>
        </is>
      </c>
      <c r="G236" t="inlineStr">
        <is>
          <t>UDDEVALLA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45212</v>
      </c>
      <c r="E237" s="1" t="n">
        <v>46261</v>
      </c>
      <c r="F237" t="inlineStr">
        <is>
          <t>VÄSTRA GÖTALANDS LÄN</t>
        </is>
      </c>
      <c r="G237" t="inlineStr">
        <is>
          <t>UDDEVALLA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46261</v>
      </c>
      <c r="F238" t="inlineStr">
        <is>
          <t>VÄSTRA GÖTALANDS LÄN</t>
        </is>
      </c>
      <c r="G238" t="inlineStr">
        <is>
          <t>UDDEVALLA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46261</v>
      </c>
      <c r="F239" t="inlineStr">
        <is>
          <t>VÄSTRA GÖTALANDS LÄN</t>
        </is>
      </c>
      <c r="G239" t="inlineStr">
        <is>
          <t>UDDEVALLA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46261</v>
      </c>
      <c r="F240" t="inlineStr">
        <is>
          <t>VÄSTRA GÖTALANDS LÄN</t>
        </is>
      </c>
      <c r="G240" t="inlineStr">
        <is>
          <t>UDDEVALLA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46261</v>
      </c>
      <c r="F241" t="inlineStr">
        <is>
          <t>VÄSTRA GÖTALANDS LÄN</t>
        </is>
      </c>
      <c r="G241" t="inlineStr">
        <is>
          <t>UDDEVALLA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46261</v>
      </c>
      <c r="F242" t="inlineStr">
        <is>
          <t>VÄSTRA GÖTALANDS LÄN</t>
        </is>
      </c>
      <c r="G242" t="inlineStr">
        <is>
          <t>UDDEVALLA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17058-2025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45754</v>
      </c>
      <c r="E243" s="1" t="n">
        <v>46261</v>
      </c>
      <c r="F243" t="inlineStr">
        <is>
          <t>VÄSTRA GÖTALANDS LÄN</t>
        </is>
      </c>
      <c r="G243" t="inlineStr">
        <is>
          <t>UDDEVALLA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46261</v>
      </c>
      <c r="F244" t="inlineStr">
        <is>
          <t>VÄSTRA GÖTALANDS LÄN</t>
        </is>
      </c>
      <c r="G244" t="inlineStr">
        <is>
          <t>UDDEVALLA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73437-2021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44551</v>
      </c>
      <c r="E245" s="1" t="n">
        <v>46261</v>
      </c>
      <c r="F245" t="inlineStr">
        <is>
          <t>VÄSTRA GÖTALANDS LÄN</t>
        </is>
      </c>
      <c r="G245" t="inlineStr">
        <is>
          <t>UDDEVALLA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45455</v>
      </c>
      <c r="E246" s="1" t="n">
        <v>46261</v>
      </c>
      <c r="F246" t="inlineStr">
        <is>
          <t>VÄSTRA GÖTALANDS LÄN</t>
        </is>
      </c>
      <c r="G246" t="inlineStr">
        <is>
          <t>UDDEVALLA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46261</v>
      </c>
      <c r="F247" t="inlineStr">
        <is>
          <t>VÄSTRA GÖTALANDS LÄN</t>
        </is>
      </c>
      <c r="G247" t="inlineStr">
        <is>
          <t>UDDEVALLA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46261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46261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63397-2021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44508</v>
      </c>
      <c r="E250" s="1" t="n">
        <v>46261</v>
      </c>
      <c r="F250" t="inlineStr">
        <is>
          <t>VÄSTRA GÖTALANDS LÄN</t>
        </is>
      </c>
      <c r="G250" t="inlineStr">
        <is>
          <t>UDDEVALLA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46261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69198-2021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44531</v>
      </c>
      <c r="E252" s="1" t="n">
        <v>46261</v>
      </c>
      <c r="F252" t="inlineStr">
        <is>
          <t>VÄSTRA GÖTALANDS LÄN</t>
        </is>
      </c>
      <c r="G252" t="inlineStr">
        <is>
          <t>UDDEVALLA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46261</v>
      </c>
      <c r="F253" t="inlineStr">
        <is>
          <t>VÄSTRA GÖTALANDS LÄN</t>
        </is>
      </c>
      <c r="G253" t="inlineStr">
        <is>
          <t>UDDEVALLA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44967</v>
      </c>
      <c r="E254" s="1" t="n">
        <v>46261</v>
      </c>
      <c r="F254" t="inlineStr">
        <is>
          <t>VÄSTRA GÖTALANDS LÄN</t>
        </is>
      </c>
      <c r="G254" t="inlineStr">
        <is>
          <t>UDDEVALLA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46251</v>
      </c>
      <c r="E255" s="1" t="n">
        <v>46261</v>
      </c>
      <c r="F255" t="inlineStr">
        <is>
          <t>VÄSTRA GÖTALANDS LÄN</t>
        </is>
      </c>
      <c r="G255" t="inlineStr">
        <is>
          <t>UDDEVALLA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45150</v>
      </c>
      <c r="E256" s="1" t="n">
        <v>46261</v>
      </c>
      <c r="F256" t="inlineStr">
        <is>
          <t>VÄSTRA GÖTALANDS LÄN</t>
        </is>
      </c>
      <c r="G256" t="inlineStr">
        <is>
          <t>UDDEVALLA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46261</v>
      </c>
      <c r="F257" t="inlineStr">
        <is>
          <t>VÄSTRA GÖTALANDS LÄN</t>
        </is>
      </c>
      <c r="G257" t="inlineStr">
        <is>
          <t>UDDEVALLA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46261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46261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46261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46261</v>
      </c>
      <c r="F261" t="inlineStr">
        <is>
          <t>VÄSTRA GÖTALANDS LÄN</t>
        </is>
      </c>
      <c r="G261" t="inlineStr">
        <is>
          <t>UDDEVALLA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45387</v>
      </c>
      <c r="E262" s="1" t="n">
        <v>46261</v>
      </c>
      <c r="F262" t="inlineStr">
        <is>
          <t>VÄSTRA GÖTALANDS LÄN</t>
        </is>
      </c>
      <c r="G262" t="inlineStr">
        <is>
          <t>UDDEVALLA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46211</v>
      </c>
      <c r="E263" s="1" t="n">
        <v>46261</v>
      </c>
      <c r="F263" t="inlineStr">
        <is>
          <t>VÄSTRA GÖTALANDS LÄN</t>
        </is>
      </c>
      <c r="G263" t="inlineStr">
        <is>
          <t>UDDEVALLA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46261</v>
      </c>
      <c r="F264" t="inlineStr">
        <is>
          <t>VÄSTRA GÖTALANDS LÄN</t>
        </is>
      </c>
      <c r="G264" t="inlineStr">
        <is>
          <t>UDDEVALLA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46261</v>
      </c>
      <c r="F265" t="inlineStr">
        <is>
          <t>VÄSTRA GÖTALANDS LÄN</t>
        </is>
      </c>
      <c r="G265" t="inlineStr">
        <is>
          <t>UDDEVALLA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46261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58958-2021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44489</v>
      </c>
      <c r="E267" s="1" t="n">
        <v>46261</v>
      </c>
      <c r="F267" t="inlineStr">
        <is>
          <t>VÄSTRA GÖTALANDS LÄN</t>
        </is>
      </c>
      <c r="G267" t="inlineStr">
        <is>
          <t>UDDEVALLA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46261</v>
      </c>
      <c r="F268" t="inlineStr">
        <is>
          <t>VÄSTRA GÖTALANDS LÄN</t>
        </is>
      </c>
      <c r="G268" t="inlineStr">
        <is>
          <t>UDDEVALLA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46212</v>
      </c>
      <c r="E269" s="1" t="n">
        <v>46261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Kyrkan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46261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46261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46261</v>
      </c>
      <c r="F272" t="inlineStr">
        <is>
          <t>VÄSTRA GÖTALANDS LÄN</t>
        </is>
      </c>
      <c r="G272" t="inlineStr">
        <is>
          <t>UDDEVALLA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46261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44582</v>
      </c>
      <c r="E274" s="1" t="n">
        <v>46261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45575</v>
      </c>
      <c r="E275" s="1" t="n">
        <v>46261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2306-2022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44578</v>
      </c>
      <c r="E276" s="1" t="n">
        <v>46261</v>
      </c>
      <c r="F276" t="inlineStr">
        <is>
          <t>VÄSTRA GÖTALANDS LÄN</t>
        </is>
      </c>
      <c r="G276" t="inlineStr">
        <is>
          <t>UDDEVALLA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46261</v>
      </c>
      <c r="F277" t="inlineStr">
        <is>
          <t>VÄSTRA GÖTALANDS LÄN</t>
        </is>
      </c>
      <c r="G277" t="inlineStr">
        <is>
          <t>UDDEVALLA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44602</v>
      </c>
      <c r="E278" s="1" t="n">
        <v>46261</v>
      </c>
      <c r="F278" t="inlineStr">
        <is>
          <t>VÄSTRA GÖTALANDS LÄN</t>
        </is>
      </c>
      <c r="G278" t="inlineStr">
        <is>
          <t>UDDEVALLA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14604-2022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44655</v>
      </c>
      <c r="E279" s="1" t="n">
        <v>46261</v>
      </c>
      <c r="F279" t="inlineStr">
        <is>
          <t>VÄSTRA GÖTALANDS LÄN</t>
        </is>
      </c>
      <c r="G279" t="inlineStr">
        <is>
          <t>UDDEVALLA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46261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46261</v>
      </c>
      <c r="F281" t="inlineStr">
        <is>
          <t>VÄSTRA GÖTALANDS LÄN</t>
        </is>
      </c>
      <c r="G281" t="inlineStr">
        <is>
          <t>UDDEVALLA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46261</v>
      </c>
      <c r="F282" t="inlineStr">
        <is>
          <t>VÄSTRA GÖTALANDS LÄN</t>
        </is>
      </c>
      <c r="G282" t="inlineStr">
        <is>
          <t>UDDEVALLA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46261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44133-2024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45572</v>
      </c>
      <c r="E284" s="1" t="n">
        <v>46261</v>
      </c>
      <c r="F284" t="inlineStr">
        <is>
          <t>VÄSTRA GÖTALANDS LÄN</t>
        </is>
      </c>
      <c r="G284" t="inlineStr">
        <is>
          <t>UDDEVALLA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46261</v>
      </c>
      <c r="F285" t="inlineStr">
        <is>
          <t>VÄSTRA GÖTALANDS LÄN</t>
        </is>
      </c>
      <c r="G285" t="inlineStr">
        <is>
          <t>UDDEVALLA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46261</v>
      </c>
      <c r="F286" t="inlineStr">
        <is>
          <t>VÄSTRA GÖTALANDS LÄN</t>
        </is>
      </c>
      <c r="G286" t="inlineStr">
        <is>
          <t>UDDEVALLA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44733</v>
      </c>
      <c r="E287" s="1" t="n">
        <v>46261</v>
      </c>
      <c r="F287" t="inlineStr">
        <is>
          <t>VÄSTRA GÖTALANDS LÄN</t>
        </is>
      </c>
      <c r="G287" t="inlineStr">
        <is>
          <t>UDDEVALLA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22923-2022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44715</v>
      </c>
      <c r="E288" s="1" t="n">
        <v>46261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45239</v>
      </c>
      <c r="E289" s="1" t="n">
        <v>46261</v>
      </c>
      <c r="F289" t="inlineStr">
        <is>
          <t>VÄSTRA GÖTALANDS LÄN</t>
        </is>
      </c>
      <c r="G289" t="inlineStr">
        <is>
          <t>UDDEVALLA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44820</v>
      </c>
      <c r="E290" s="1" t="n">
        <v>46261</v>
      </c>
      <c r="F290" t="inlineStr">
        <is>
          <t>VÄSTRA GÖTALANDS LÄN</t>
        </is>
      </c>
      <c r="G290" t="inlineStr">
        <is>
          <t>UDDEVALLA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39088-2022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46261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46261</v>
      </c>
      <c r="F292" t="inlineStr">
        <is>
          <t>VÄSTRA GÖTALANDS LÄN</t>
        </is>
      </c>
      <c r="G292" t="inlineStr">
        <is>
          <t>UDDEVALLA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46261</v>
      </c>
      <c r="F293" t="inlineStr">
        <is>
          <t>VÄSTRA GÖTALANDS LÄN</t>
        </is>
      </c>
      <c r="G293" t="inlineStr">
        <is>
          <t>UDDEVALLA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45257</v>
      </c>
      <c r="E294" s="1" t="n">
        <v>46261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46261</v>
      </c>
      <c r="F295" t="inlineStr">
        <is>
          <t>VÄSTRA GÖTALANDS LÄN</t>
        </is>
      </c>
      <c r="G295" t="inlineStr">
        <is>
          <t>UDDEVALLA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44984</v>
      </c>
      <c r="E296" s="1" t="n">
        <v>46261</v>
      </c>
      <c r="F296" t="inlineStr">
        <is>
          <t>VÄSTRA GÖTALANDS LÄN</t>
        </is>
      </c>
      <c r="G296" t="inlineStr">
        <is>
          <t>UDDEVALLA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44683</v>
      </c>
      <c r="E297" s="1" t="n">
        <v>46261</v>
      </c>
      <c r="F297" t="inlineStr">
        <is>
          <t>VÄSTRA GÖTALANDS LÄN</t>
        </is>
      </c>
      <c r="G297" t="inlineStr">
        <is>
          <t>UDDEVALLA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46261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70491-2021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44536</v>
      </c>
      <c r="E299" s="1" t="n">
        <v>46261</v>
      </c>
      <c r="F299" t="inlineStr">
        <is>
          <t>VÄSTRA GÖTALANDS LÄN</t>
        </is>
      </c>
      <c r="G299" t="inlineStr">
        <is>
          <t>UDDEVALLA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46261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46261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45553</v>
      </c>
      <c r="E302" s="1" t="n">
        <v>46261</v>
      </c>
      <c r="F302" t="inlineStr">
        <is>
          <t>VÄSTRA GÖTALANDS LÄN</t>
        </is>
      </c>
      <c r="G302" t="inlineStr">
        <is>
          <t>UDDEVALLA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46261</v>
      </c>
      <c r="F303" t="inlineStr">
        <is>
          <t>VÄSTRA GÖTALANDS LÄN</t>
        </is>
      </c>
      <c r="G303" t="inlineStr">
        <is>
          <t>UDDEVALLA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46261</v>
      </c>
      <c r="F304" t="inlineStr">
        <is>
          <t>VÄSTRA GÖTALANDS LÄN</t>
        </is>
      </c>
      <c r="G304" t="inlineStr">
        <is>
          <t>UDDEVALLA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45237</v>
      </c>
      <c r="E305" s="1" t="n">
        <v>46261</v>
      </c>
      <c r="F305" t="inlineStr">
        <is>
          <t>VÄSTRA GÖTALANDS LÄN</t>
        </is>
      </c>
      <c r="G305" t="inlineStr">
        <is>
          <t>UDDEVALLA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46261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46261</v>
      </c>
      <c r="F307" t="inlineStr">
        <is>
          <t>VÄSTRA GÖTALANDS LÄN</t>
        </is>
      </c>
      <c r="G307" t="inlineStr">
        <is>
          <t>UDDEVALLA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8893-2024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45355</v>
      </c>
      <c r="E308" s="1" t="n">
        <v>46261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46261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46261</v>
      </c>
      <c r="F310" t="inlineStr">
        <is>
          <t>VÄSTRA GÖTALANDS LÄN</t>
        </is>
      </c>
      <c r="G310" t="inlineStr">
        <is>
          <t>UDDEVALLA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46261</v>
      </c>
      <c r="F311" t="inlineStr">
        <is>
          <t>VÄSTRA GÖTALANDS LÄN</t>
        </is>
      </c>
      <c r="G311" t="inlineStr">
        <is>
          <t>UDDEVALLA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46261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46261</v>
      </c>
      <c r="F313" t="inlineStr">
        <is>
          <t>VÄSTRA GÖTALANDS LÄN</t>
        </is>
      </c>
      <c r="G313" t="inlineStr">
        <is>
          <t>UDDEVALLA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46261</v>
      </c>
      <c r="F314" t="inlineStr">
        <is>
          <t>VÄSTRA GÖTALANDS LÄN</t>
        </is>
      </c>
      <c r="G314" t="inlineStr">
        <is>
          <t>UDDEVALLA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44960</v>
      </c>
      <c r="E315" s="1" t="n">
        <v>46261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46261</v>
      </c>
      <c r="F316" t="inlineStr">
        <is>
          <t>VÄSTRA GÖTALANDS LÄN</t>
        </is>
      </c>
      <c r="G316" t="inlineStr">
        <is>
          <t>UDDEVALLA</t>
        </is>
      </c>
      <c r="I316" t="n">
        <v>12.2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46261</v>
      </c>
      <c r="F317" t="inlineStr">
        <is>
          <t>VÄSTRA GÖTALANDS LÄN</t>
        </is>
      </c>
      <c r="G317" t="inlineStr">
        <is>
          <t>UDDEVALLA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58625-2024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45635</v>
      </c>
      <c r="E318" s="1" t="n">
        <v>46261</v>
      </c>
      <c r="F318" t="inlineStr">
        <is>
          <t>VÄSTRA GÖTALANDS LÄN</t>
        </is>
      </c>
      <c r="G318" t="inlineStr">
        <is>
          <t>UDDEVALLA</t>
        </is>
      </c>
      <c r="I318" t="n">
        <v>14.9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44924</v>
      </c>
      <c r="E319" s="1" t="n">
        <v>46261</v>
      </c>
      <c r="F319" t="inlineStr">
        <is>
          <t>VÄSTRA GÖTALANDS LÄN</t>
        </is>
      </c>
      <c r="G319" t="inlineStr">
        <is>
          <t>UDDEVALLA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45684</v>
      </c>
      <c r="E320" s="1" t="n">
        <v>46261</v>
      </c>
      <c r="F320" t="inlineStr">
        <is>
          <t>VÄSTRA GÖTALANDS LÄN</t>
        </is>
      </c>
      <c r="G320" t="inlineStr">
        <is>
          <t>UDDEVALLA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46261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45251</v>
      </c>
      <c r="E322" s="1" t="n">
        <v>46261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49718-2024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45596</v>
      </c>
      <c r="E323" s="1" t="n">
        <v>46261</v>
      </c>
      <c r="F323" t="inlineStr">
        <is>
          <t>VÄSTRA GÖTALANDS LÄN</t>
        </is>
      </c>
      <c r="G323" t="inlineStr">
        <is>
          <t>UDDEVALLA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46261</v>
      </c>
      <c r="F324" t="inlineStr">
        <is>
          <t>VÄSTRA GÖTALANDS LÄN</t>
        </is>
      </c>
      <c r="G324" t="inlineStr">
        <is>
          <t>UDDEVALLA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46261</v>
      </c>
      <c r="F325" t="inlineStr">
        <is>
          <t>VÄSTRA GÖTALANDS LÄN</t>
        </is>
      </c>
      <c r="G325" t="inlineStr">
        <is>
          <t>UDDEVALLA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46261</v>
      </c>
      <c r="F326" t="inlineStr">
        <is>
          <t>VÄSTRA GÖTALANDS LÄN</t>
        </is>
      </c>
      <c r="G326" t="inlineStr">
        <is>
          <t>UDDEVALLA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46261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46261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46261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46261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46261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46261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46261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46261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2026-08-27T01:51:44Z</dcterms:created>
  <dcterms:modified xmlns:dcterms="http://purl.org/dc/terms/" xmlns:xsi="http://www.w3.org/2001/XMLSchema-instance" xsi:type="dcterms:W3CDTF">2026-08-27T01:51:44Z</dcterms:modified>
</cp:coreProperties>
</file>