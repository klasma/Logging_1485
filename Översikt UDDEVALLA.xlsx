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46225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46225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46225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46225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46225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46225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46225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46225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46225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46225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46225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46225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46225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46225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16882-2026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46113</v>
      </c>
      <c r="E20" s="1" t="n">
        <v>46225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Iller
Svinrot</t>
        </is>
      </c>
      <c r="W20">
        <f>HYPERLINK("https://klasma.github.io/Logging_1485/artfynd/A 16882-2026 artfynd.xlsx", "A 16882-2026")</f>
        <v/>
      </c>
      <c r="X20">
        <f>HYPERLINK("https://klasma.github.io/Logging_1485/kartor/A 16882-2026 karta.png", "A 16882-2026")</f>
        <v/>
      </c>
      <c r="Y20">
        <f>HYPERLINK("https://klasma.github.io/Logging_1485/kartor_geotiff/A 16882-2026 georefererad karta.tif", "A 16882-2026")</f>
        <v/>
      </c>
      <c r="AA20">
        <f>HYPERLINK("https://klasma.github.io/Logging_1485/klagomål/A 16882-2026 FSC-klagomål.docx", "A 16882-2026")</f>
        <v/>
      </c>
      <c r="AB20">
        <f>HYPERLINK("https://klasma.github.io/Logging_1485/klagomålsmail/A 16882-2026 FSC-klagomål mail.docx", "A 16882-2026")</f>
        <v/>
      </c>
      <c r="AC20">
        <f>HYPERLINK("https://klasma.github.io/Logging_1485/tillsyn/A 16882-2026 tillsynsbegäran.docx", "A 16882-2026")</f>
        <v/>
      </c>
      <c r="AD20">
        <f>HYPERLINK("https://klasma.github.io/Logging_1485/tillsynsmail/A 16882-2026 tillsynsbegäran mail.docx", "A 16882-2026")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46225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17995-2026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46124</v>
      </c>
      <c r="E22" s="1" t="n">
        <v>46225</v>
      </c>
      <c r="F22" t="inlineStr">
        <is>
          <t>VÄSTRA GÖTALANDS LÄN</t>
        </is>
      </c>
      <c r="G22" t="inlineStr">
        <is>
          <t>UDDEVALLA</t>
        </is>
      </c>
      <c r="I22" t="n">
        <v>3.8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Spillkråka
Revlummer</t>
        </is>
      </c>
      <c r="W22">
        <f>HYPERLINK("https://klasma.github.io/Logging_1485/artfynd/A 17995-2026 artfynd.xlsx", "A 17995-2026")</f>
        <v/>
      </c>
      <c r="X22">
        <f>HYPERLINK("https://klasma.github.io/Logging_1485/kartor/A 17995-2026 karta.png", "A 17995-2026")</f>
        <v/>
      </c>
      <c r="Y22">
        <f>HYPERLINK("https://klasma.github.io/Logging_1485/kartor_geotiff/A 17995-2026 georefererad karta.tif", "A 17995-2026")</f>
        <v/>
      </c>
      <c r="AA22">
        <f>HYPERLINK("https://klasma.github.io/Logging_1485/klagomål/A 17995-2026 FSC-klagomål.docx", "A 17995-2026")</f>
        <v/>
      </c>
      <c r="AB22">
        <f>HYPERLINK("https://klasma.github.io/Logging_1485/klagomålsmail/A 17995-2026 FSC-klagomål mail.docx", "A 17995-2026")</f>
        <v/>
      </c>
      <c r="AC22">
        <f>HYPERLINK("https://klasma.github.io/Logging_1485/tillsyn/A 17995-2026 tillsynsbegäran.docx", "A 17995-2026")</f>
        <v/>
      </c>
      <c r="AD22">
        <f>HYPERLINK("https://klasma.github.io/Logging_1485/tillsynsmail/A 17995-2026 tillsynsbegäran mail.docx", "A 17995-2026")</f>
        <v/>
      </c>
      <c r="AE22">
        <f>HYPERLINK("https://klasma.github.io/Logging_1485/fåglar/A 17995-2026 prioriterade fågelarter.docx", "A 17995-2026")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46225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46225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46225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46225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46225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Åttafläckig praktbagge</t>
        </is>
      </c>
      <c r="W27">
        <f>HYPERLINK("https://klasma.github.io/Logging_1485/artfynd/A 65109-2023 artfynd.xlsx", "A 65109-2023")</f>
        <v/>
      </c>
      <c r="X27">
        <f>HYPERLINK("https://klasma.github.io/Logging_1485/kartor/A 65109-2023 karta.png", "A 65109-2023")</f>
        <v/>
      </c>
      <c r="Y27">
        <f>HYPERLINK("https://klasma.github.io/Logging_1485/kartor_geotiff/A 65109-2023 georefererad karta.tif", "A 65109-2023")</f>
        <v/>
      </c>
      <c r="AA27">
        <f>HYPERLINK("https://klasma.github.io/Logging_1485/klagomål/A 65109-2023 FSC-klagomål.docx", "A 65109-2023")</f>
        <v/>
      </c>
      <c r="AB27">
        <f>HYPERLINK("https://klasma.github.io/Logging_1485/klagomålsmail/A 65109-2023 FSC-klagomål mail.docx", "A 65109-2023")</f>
        <v/>
      </c>
      <c r="AC27">
        <f>HYPERLINK("https://klasma.github.io/Logging_1485/tillsyn/A 65109-2023 tillsynsbegäran.docx", "A 65109-2023")</f>
        <v/>
      </c>
      <c r="AD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46225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46225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46225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46225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46225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30954-2025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46225</v>
      </c>
      <c r="F33" t="inlineStr">
        <is>
          <t>VÄSTRA GÖTALANDS LÄN</t>
        </is>
      </c>
      <c r="G33" t="inlineStr">
        <is>
          <t>UDDEVALLA</t>
        </is>
      </c>
      <c r="I33" t="n">
        <v>11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HYPERLINK("https://klasma.github.io/Logging_1485/artfynd/A 30954-2025 artfynd.xlsx", "A 30954-2025")</f>
        <v/>
      </c>
      <c r="X33">
        <f>HYPERLINK("https://klasma.github.io/Logging_1485/kartor/A 30954-2025 karta.png", "A 30954-2025")</f>
        <v/>
      </c>
      <c r="Y33">
        <f>HYPERLINK("https://klasma.github.io/Logging_1485/kartor_geotiff/A 30954-2025 georefererad karta.tif", "A 30954-2025")</f>
        <v/>
      </c>
      <c r="AA33">
        <f>HYPERLINK("https://klasma.github.io/Logging_1485/klagomål/A 30954-2025 FSC-klagomål.docx", "A 30954-2025")</f>
        <v/>
      </c>
      <c r="AB33">
        <f>HYPERLINK("https://klasma.github.io/Logging_1485/klagomålsmail/A 30954-2025 FSC-klagomål mail.docx", "A 30954-2025")</f>
        <v/>
      </c>
      <c r="AC33">
        <f>HYPERLINK("https://klasma.github.io/Logging_1485/tillsyn/A 30954-2025 tillsynsbegäran.docx", "A 30954-2025")</f>
        <v/>
      </c>
      <c r="AD33">
        <f>HYPERLINK("https://klasma.github.io/Logging_1485/tillsynsmail/A 30954-2025 tillsynsbegäran mail.docx", "A 30954-2025")</f>
        <v/>
      </c>
    </row>
    <row r="34" ht="15" customHeight="1">
      <c r="A34" t="inlineStr">
        <is>
          <t>A 9424-2026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46071</v>
      </c>
      <c r="E34" s="1" t="n">
        <v>46225</v>
      </c>
      <c r="F34" t="inlineStr">
        <is>
          <t>VÄSTRA GÖTALANDS LÄN</t>
        </is>
      </c>
      <c r="G34" t="inlineStr">
        <is>
          <t>UDDEVALLA</t>
        </is>
      </c>
      <c r="I34" t="n">
        <v>4.3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Flotagräs</t>
        </is>
      </c>
      <c r="W34">
        <f>HYPERLINK("https://klasma.github.io/Logging_1485/artfynd/A 9424-2026 artfynd.xlsx", "A 9424-2026")</f>
        <v/>
      </c>
      <c r="X34">
        <f>HYPERLINK("https://klasma.github.io/Logging_1485/kartor/A 9424-2026 karta.png", "A 9424-2026")</f>
        <v/>
      </c>
      <c r="Y34">
        <f>HYPERLINK("https://klasma.github.io/Logging_1485/kartor_geotiff/A 9424-2026 georefererad karta.tif", "A 9424-2026")</f>
        <v/>
      </c>
      <c r="AA34">
        <f>HYPERLINK("https://klasma.github.io/Logging_1485/klagomål/A 9424-2026 FSC-klagomål.docx", "A 9424-2026")</f>
        <v/>
      </c>
      <c r="AB34">
        <f>HYPERLINK("https://klasma.github.io/Logging_1485/klagomålsmail/A 9424-2026 FSC-klagomål mail.docx", "A 9424-2026")</f>
        <v/>
      </c>
      <c r="AC34">
        <f>HYPERLINK("https://klasma.github.io/Logging_1485/tillsyn/A 9424-2026 tillsynsbegäran.docx", "A 9424-2026")</f>
        <v/>
      </c>
      <c r="AD34">
        <f>HYPERLINK("https://klasma.github.io/Logging_1485/tillsynsmail/A 9424-2026 tillsynsbegäran mail.docx", "A 9424-2026")</f>
        <v/>
      </c>
    </row>
    <row r="35" ht="15" customHeight="1">
      <c r="A35" t="inlineStr">
        <is>
          <t>A 7770-2024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45348</v>
      </c>
      <c r="E35" s="1" t="n">
        <v>46225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Kyrkan</t>
        </is>
      </c>
      <c r="I35" t="n">
        <v>6.2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HYPERLINK("https://klasma.github.io/Logging_1485/artfynd/A 7770-2024 artfynd.xlsx", "A 7770-2024")</f>
        <v/>
      </c>
      <c r="X35">
        <f>HYPERLINK("https://klasma.github.io/Logging_1485/kartor/A 7770-2024 karta.png", "A 7770-2024")</f>
        <v/>
      </c>
      <c r="Y35">
        <f>HYPERLINK("https://klasma.github.io/Logging_1485/kartor_geotiff/A 7770-2024 georefererad karta.tif", "A 7770-2024")</f>
        <v/>
      </c>
      <c r="AA35">
        <f>HYPERLINK("https://klasma.github.io/Logging_1485/klagomål/A 7770-2024 FSC-klagomål.docx", "A 7770-2024")</f>
        <v/>
      </c>
      <c r="AB35">
        <f>HYPERLINK("https://klasma.github.io/Logging_1485/klagomålsmail/A 7770-2024 FSC-klagomål mail.docx", "A 7770-2024")</f>
        <v/>
      </c>
      <c r="AC35">
        <f>HYPERLINK("https://klasma.github.io/Logging_1485/tillsyn/A 7770-2024 tillsynsbegäran.docx", "A 7770-2024")</f>
        <v/>
      </c>
      <c r="AD35">
        <f>HYPERLINK("https://klasma.github.io/Logging_1485/tillsynsmail/A 7770-2024 tillsynsbegäran mail.docx", "A 7770-2024")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46225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50274-2024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46225</v>
      </c>
      <c r="F37" t="inlineStr">
        <is>
          <t>VÄSTRA GÖTALANDS LÄN</t>
        </is>
      </c>
      <c r="G37" t="inlineStr">
        <is>
          <t>UDDEVALLA</t>
        </is>
      </c>
      <c r="I37" t="n">
        <v>20.1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HYPERLINK("https://klasma.github.io/Logging_1485/artfynd/A 50274-2024 artfynd.xlsx", "A 50274-2024")</f>
        <v/>
      </c>
      <c r="X37">
        <f>HYPERLINK("https://klasma.github.io/Logging_1485/kartor/A 50274-2024 karta.png", "A 50274-2024")</f>
        <v/>
      </c>
      <c r="Y37">
        <f>HYPERLINK("https://klasma.github.io/Logging_1485/kartor_geotiff/A 50274-2024 georefererad karta.tif", "A 50274-2024")</f>
        <v/>
      </c>
      <c r="AA37">
        <f>HYPERLINK("https://klasma.github.io/Logging_1485/klagomål/A 50274-2024 FSC-klagomål.docx", "A 50274-2024")</f>
        <v/>
      </c>
      <c r="AB37">
        <f>HYPERLINK("https://klasma.github.io/Logging_1485/klagomålsmail/A 50274-2024 FSC-klagomål mail.docx", "A 50274-2024")</f>
        <v/>
      </c>
      <c r="AC37">
        <f>HYPERLINK("https://klasma.github.io/Logging_1485/tillsyn/A 50274-2024 tillsynsbegäran.docx", "A 50274-2024")</f>
        <v/>
      </c>
      <c r="AD37">
        <f>HYPERLINK("https://klasma.github.io/Logging_1485/tillsynsmail/A 50274-2024 tillsynsbegäran mail.docx", "A 50274-2024")</f>
        <v/>
      </c>
      <c r="AE37">
        <f>HYPERLINK("https://klasma.github.io/Logging_1485/fåglar/A 50274-2024 prioriterade fågelarter.docx", "A 50274-2024")</f>
        <v/>
      </c>
    </row>
    <row r="38" ht="15" customHeight="1">
      <c r="A38" t="inlineStr">
        <is>
          <t>A 2429-2026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46036</v>
      </c>
      <c r="E38" s="1" t="n">
        <v>46225</v>
      </c>
      <c r="F38" t="inlineStr">
        <is>
          <t>VÄSTRA GÖTALANDS LÄN</t>
        </is>
      </c>
      <c r="G38" t="inlineStr">
        <is>
          <t>UDDEVALLA</t>
        </is>
      </c>
      <c r="I38" t="n">
        <v>7.6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HYPERLINK("https://klasma.github.io/Logging_1485/artfynd/A 2429-2026 artfynd.xlsx", "A 2429-2026")</f>
        <v/>
      </c>
      <c r="X38">
        <f>HYPERLINK("https://klasma.github.io/Logging_1485/kartor/A 2429-2026 karta.png", "A 2429-2026")</f>
        <v/>
      </c>
      <c r="Y38">
        <f>HYPERLINK("https://klasma.github.io/Logging_1485/kartor_geotiff/A 2429-2026 georefererad karta.tif", "A 2429-2026")</f>
        <v/>
      </c>
      <c r="AA38">
        <f>HYPERLINK("https://klasma.github.io/Logging_1485/klagomål/A 2429-2026 FSC-klagomål.docx", "A 2429-2026")</f>
        <v/>
      </c>
      <c r="AB38">
        <f>HYPERLINK("https://klasma.github.io/Logging_1485/klagomålsmail/A 2429-2026 FSC-klagomål mail.docx", "A 2429-2026")</f>
        <v/>
      </c>
      <c r="AC38">
        <f>HYPERLINK("https://klasma.github.io/Logging_1485/tillsyn/A 2429-2026 tillsynsbegäran.docx", "A 2429-2026")</f>
        <v/>
      </c>
      <c r="AD38">
        <f>HYPERLINK("https://klasma.github.io/Logging_1485/tillsynsmail/A 2429-2026 tillsynsbegäran mail.docx", "A 2429-2026")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46225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46225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46225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46225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46225</v>
      </c>
      <c r="F43" t="inlineStr">
        <is>
          <t>VÄSTRA GÖTALANDS LÄN</t>
        </is>
      </c>
      <c r="G43" t="inlineStr">
        <is>
          <t>UDDEVALLA</t>
        </is>
      </c>
      <c r="I43" t="n">
        <v>16.7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Rödgul trumpetsvamp</t>
        </is>
      </c>
      <c r="W43">
        <f>HYPERLINK("https://klasma.github.io/Logging_1485/artfynd/A 236-2023 artfynd.xlsx", "A 236-2023")</f>
        <v/>
      </c>
      <c r="X43">
        <f>HYPERLINK("https://klasma.github.io/Logging_1485/kartor/A 236-2023 karta.png", "A 236-2023")</f>
        <v/>
      </c>
      <c r="Y43">
        <f>HYPERLINK("https://klasma.github.io/Logging_1485/kartor_geotiff/A 236-2023 georefererad karta.tif", "A 236-2023")</f>
        <v/>
      </c>
      <c r="AA43">
        <f>HYPERLINK("https://klasma.github.io/Logging_1485/klagomål/A 236-2023 FSC-klagomål.docx", "A 236-2023")</f>
        <v/>
      </c>
      <c r="AB43">
        <f>HYPERLINK("https://klasma.github.io/Logging_1485/klagomålsmail/A 236-2023 FSC-klagomål mail.docx", "A 236-2023")</f>
        <v/>
      </c>
      <c r="AC43">
        <f>HYPERLINK("https://klasma.github.io/Logging_1485/tillsyn/A 236-2023 tillsynsbegäran.docx", "A 236-2023")</f>
        <v/>
      </c>
      <c r="AD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46225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46225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46225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46225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46225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46225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46225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46225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46225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46225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46225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46225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46225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46225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46225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46225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46225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46225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46225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46225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46225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46225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46225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46225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46225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46225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46225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46225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46225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46225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46225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46225</v>
      </c>
      <c r="F75" t="inlineStr">
        <is>
          <t>VÄSTRA GÖTALANDS LÄN</t>
        </is>
      </c>
      <c r="G75" t="inlineStr">
        <is>
          <t>UDDEVALLA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46225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46225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46225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46225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46225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46225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46225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46026</v>
      </c>
      <c r="E83" s="1" t="n">
        <v>46225</v>
      </c>
      <c r="F83" t="inlineStr">
        <is>
          <t>VÄSTRA GÖTALANDS LÄN</t>
        </is>
      </c>
      <c r="G83" t="inlineStr">
        <is>
          <t>UDDEVALLA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46225</v>
      </c>
      <c r="F84" t="inlineStr">
        <is>
          <t>VÄSTRA GÖTALANDS LÄN</t>
        </is>
      </c>
      <c r="G84" t="inlineStr">
        <is>
          <t>UDDEVALLA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46225</v>
      </c>
      <c r="F85" t="inlineStr">
        <is>
          <t>VÄSTRA GÖTALANDS LÄN</t>
        </is>
      </c>
      <c r="G85" t="inlineStr">
        <is>
          <t>UDDEVALLA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45551</v>
      </c>
      <c r="E86" s="1" t="n">
        <v>46225</v>
      </c>
      <c r="F86" t="inlineStr">
        <is>
          <t>VÄSTRA GÖTALANDS LÄN</t>
        </is>
      </c>
      <c r="G86" t="inlineStr">
        <is>
          <t>UDDEVALLA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46225</v>
      </c>
      <c r="F87" t="inlineStr">
        <is>
          <t>VÄSTRA GÖTALANDS LÄN</t>
        </is>
      </c>
      <c r="G87" t="inlineStr">
        <is>
          <t>UDDEVALLA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46225</v>
      </c>
      <c r="F88" t="inlineStr">
        <is>
          <t>VÄSTRA GÖTALANDS LÄN</t>
        </is>
      </c>
      <c r="G88" t="inlineStr">
        <is>
          <t>UDDEVALLA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46225</v>
      </c>
      <c r="F89" t="inlineStr">
        <is>
          <t>VÄSTRA GÖTALANDS LÄN</t>
        </is>
      </c>
      <c r="G89" t="inlineStr">
        <is>
          <t>UDDEVALLA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46225</v>
      </c>
      <c r="F90" t="inlineStr">
        <is>
          <t>VÄSTRA GÖTALANDS LÄN</t>
        </is>
      </c>
      <c r="G90" t="inlineStr">
        <is>
          <t>UDDEVALLA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46225</v>
      </c>
      <c r="F91" t="inlineStr">
        <is>
          <t>VÄSTRA GÖTALANDS LÄN</t>
        </is>
      </c>
      <c r="G91" t="inlineStr">
        <is>
          <t>UDDEVALLA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45722</v>
      </c>
      <c r="E92" s="1" t="n">
        <v>46225</v>
      </c>
      <c r="F92" t="inlineStr">
        <is>
          <t>VÄSTRA GÖTALANDS LÄN</t>
        </is>
      </c>
      <c r="G92" t="inlineStr">
        <is>
          <t>UDDEVALLA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46225</v>
      </c>
      <c r="F93" t="inlineStr">
        <is>
          <t>VÄSTRA GÖTALANDS LÄN</t>
        </is>
      </c>
      <c r="G93" t="inlineStr">
        <is>
          <t>UDDEVALLA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46225</v>
      </c>
      <c r="F94" t="inlineStr">
        <is>
          <t>VÄSTRA GÖTALANDS LÄN</t>
        </is>
      </c>
      <c r="G94" t="inlineStr">
        <is>
          <t>UDDEVALLA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46225</v>
      </c>
      <c r="F95" t="inlineStr">
        <is>
          <t>VÄSTRA GÖTALANDS LÄN</t>
        </is>
      </c>
      <c r="G95" t="inlineStr">
        <is>
          <t>UDDEVALLA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46225</v>
      </c>
      <c r="F96" t="inlineStr">
        <is>
          <t>VÄSTRA GÖTALANDS LÄN</t>
        </is>
      </c>
      <c r="G96" t="inlineStr">
        <is>
          <t>UDDEVALLA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46225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46225</v>
      </c>
      <c r="F98" t="inlineStr">
        <is>
          <t>VÄSTRA GÖTALANDS LÄN</t>
        </is>
      </c>
      <c r="G98" t="inlineStr">
        <is>
          <t>UDDEVALLA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46225</v>
      </c>
      <c r="F99" t="inlineStr">
        <is>
          <t>VÄSTRA GÖTALANDS LÄN</t>
        </is>
      </c>
      <c r="G99" t="inlineStr">
        <is>
          <t>UDDEVALLA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46225</v>
      </c>
      <c r="F100" t="inlineStr">
        <is>
          <t>VÄSTRA GÖTALANDS LÄN</t>
        </is>
      </c>
      <c r="G100" t="inlineStr">
        <is>
          <t>UDDEVALLA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46225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46225</v>
      </c>
      <c r="F102" t="inlineStr">
        <is>
          <t>VÄSTRA GÖTALANDS LÄN</t>
        </is>
      </c>
      <c r="G102" t="inlineStr">
        <is>
          <t>UDDEVALLA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46225</v>
      </c>
      <c r="F103" t="inlineStr">
        <is>
          <t>VÄSTRA GÖTALANDS LÄN</t>
        </is>
      </c>
      <c r="G103" t="inlineStr">
        <is>
          <t>UDDEVALLA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46225</v>
      </c>
      <c r="F104" t="inlineStr">
        <is>
          <t>VÄSTRA GÖTALANDS LÄN</t>
        </is>
      </c>
      <c r="G104" t="inlineStr">
        <is>
          <t>UDDEVALLA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46225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46225</v>
      </c>
      <c r="F106" t="inlineStr">
        <is>
          <t>VÄSTRA GÖTALANDS LÄN</t>
        </is>
      </c>
      <c r="G106" t="inlineStr">
        <is>
          <t>UDDEVALLA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46225</v>
      </c>
      <c r="F107" t="inlineStr">
        <is>
          <t>VÄSTRA GÖTALANDS LÄN</t>
        </is>
      </c>
      <c r="G107" t="inlineStr">
        <is>
          <t>UDDEVALLA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46225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46225</v>
      </c>
      <c r="F109" t="inlineStr">
        <is>
          <t>VÄSTRA GÖTALANDS LÄN</t>
        </is>
      </c>
      <c r="G109" t="inlineStr">
        <is>
          <t>UDDEVALLA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46225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45035</v>
      </c>
      <c r="E111" s="1" t="n">
        <v>46225</v>
      </c>
      <c r="F111" t="inlineStr">
        <is>
          <t>VÄSTRA GÖTALANDS LÄN</t>
        </is>
      </c>
      <c r="G111" t="inlineStr">
        <is>
          <t>UDDEVALLA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46225</v>
      </c>
      <c r="F112" t="inlineStr">
        <is>
          <t>VÄSTRA GÖTALANDS LÄN</t>
        </is>
      </c>
      <c r="G112" t="inlineStr">
        <is>
          <t>UDDEVALLA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46225</v>
      </c>
      <c r="F113" t="inlineStr">
        <is>
          <t>VÄSTRA GÖTALANDS LÄN</t>
        </is>
      </c>
      <c r="G113" t="inlineStr">
        <is>
          <t>UDDEVALLA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46225</v>
      </c>
      <c r="F114" t="inlineStr">
        <is>
          <t>VÄSTRA GÖTALANDS LÄN</t>
        </is>
      </c>
      <c r="G114" t="inlineStr">
        <is>
          <t>UDDEVALLA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46071</v>
      </c>
      <c r="E115" s="1" t="n">
        <v>46225</v>
      </c>
      <c r="F115" t="inlineStr">
        <is>
          <t>VÄSTRA GÖTALANDS LÄN</t>
        </is>
      </c>
      <c r="G115" t="inlineStr">
        <is>
          <t>UDDEVALLA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45843</v>
      </c>
      <c r="E116" s="1" t="n">
        <v>46225</v>
      </c>
      <c r="F116" t="inlineStr">
        <is>
          <t>VÄSTRA GÖTALANDS LÄN</t>
        </is>
      </c>
      <c r="G116" t="inlineStr">
        <is>
          <t>UDDEVALLA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46225</v>
      </c>
      <c r="F117" t="inlineStr">
        <is>
          <t>VÄSTRA GÖTALANDS LÄN</t>
        </is>
      </c>
      <c r="G117" t="inlineStr">
        <is>
          <t>UDDEVALLA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46225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46225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46225</v>
      </c>
      <c r="F120" t="inlineStr">
        <is>
          <t>VÄSTRA GÖTALANDS LÄN</t>
        </is>
      </c>
      <c r="G120" t="inlineStr">
        <is>
          <t>UDDEVALLA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46076</v>
      </c>
      <c r="E121" s="1" t="n">
        <v>46225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46225</v>
      </c>
      <c r="F122" t="inlineStr">
        <is>
          <t>VÄSTRA GÖTALANDS LÄN</t>
        </is>
      </c>
      <c r="G122" t="inlineStr">
        <is>
          <t>UDDEVALLA</t>
        </is>
      </c>
      <c r="I122" t="n">
        <v>19.4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46225</v>
      </c>
      <c r="F123" t="inlineStr">
        <is>
          <t>VÄSTRA GÖTALANDS LÄN</t>
        </is>
      </c>
      <c r="G123" t="inlineStr">
        <is>
          <t>UDDEVALLA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46225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46225</v>
      </c>
      <c r="F125" t="inlineStr">
        <is>
          <t>VÄSTRA GÖTALANDS LÄN</t>
        </is>
      </c>
      <c r="G125" t="inlineStr">
        <is>
          <t>UDDEVALLA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45588</v>
      </c>
      <c r="E126" s="1" t="n">
        <v>46225</v>
      </c>
      <c r="F126" t="inlineStr">
        <is>
          <t>VÄSTRA GÖTALANDS LÄN</t>
        </is>
      </c>
      <c r="G126" t="inlineStr">
        <is>
          <t>UDDEVALLA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52289-2025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46225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Kyrkan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46225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45971</v>
      </c>
      <c r="E129" s="1" t="n">
        <v>46225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46225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46225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46225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45540</v>
      </c>
      <c r="E133" s="1" t="n">
        <v>46225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46225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46225</v>
      </c>
      <c r="F135" t="inlineStr">
        <is>
          <t>VÄSTRA GÖTALANDS LÄN</t>
        </is>
      </c>
      <c r="G135" t="inlineStr">
        <is>
          <t>UDDEVALLA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46225</v>
      </c>
      <c r="F136" t="inlineStr">
        <is>
          <t>VÄSTRA GÖTALANDS LÄN</t>
        </is>
      </c>
      <c r="G136" t="inlineStr">
        <is>
          <t>UDDEVALLA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46225</v>
      </c>
      <c r="F137" t="inlineStr">
        <is>
          <t>VÄSTRA GÖTALANDS LÄN</t>
        </is>
      </c>
      <c r="G137" t="inlineStr">
        <is>
          <t>UDDEVALLA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46225</v>
      </c>
      <c r="F138" t="inlineStr">
        <is>
          <t>VÄSTRA GÖTALANDS LÄN</t>
        </is>
      </c>
      <c r="G138" t="inlineStr">
        <is>
          <t>UDDEVALLA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46225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46225</v>
      </c>
      <c r="F140" t="inlineStr">
        <is>
          <t>VÄSTRA GÖTALANDS LÄN</t>
        </is>
      </c>
      <c r="G140" t="inlineStr">
        <is>
          <t>UDDEVALLA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45642</v>
      </c>
      <c r="E141" s="1" t="n">
        <v>46225</v>
      </c>
      <c r="F141" t="inlineStr">
        <is>
          <t>VÄSTRA GÖTALANDS LÄN</t>
        </is>
      </c>
      <c r="G141" t="inlineStr">
        <is>
          <t>UDDEVALLA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46225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46225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46225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46225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46225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46225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46225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46225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46225</v>
      </c>
      <c r="F150" t="inlineStr">
        <is>
          <t>VÄSTRA GÖTALANDS LÄN</t>
        </is>
      </c>
      <c r="G150" t="inlineStr">
        <is>
          <t>UDDEVALLA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45882</v>
      </c>
      <c r="E151" s="1" t="n">
        <v>46225</v>
      </c>
      <c r="F151" t="inlineStr">
        <is>
          <t>VÄSTRA GÖTALANDS LÄN</t>
        </is>
      </c>
      <c r="G151" t="inlineStr">
        <is>
          <t>UDDEVALLA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46225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46225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46225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46225</v>
      </c>
      <c r="F155" t="inlineStr">
        <is>
          <t>VÄSTRA GÖTALANDS LÄN</t>
        </is>
      </c>
      <c r="G155" t="inlineStr">
        <is>
          <t>UDDEVALLA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46225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46225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46225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46225</v>
      </c>
      <c r="F159" t="inlineStr">
        <is>
          <t>VÄSTRA GÖTALANDS LÄN</t>
        </is>
      </c>
      <c r="G159" t="inlineStr">
        <is>
          <t>UDDEVALLA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46225</v>
      </c>
      <c r="F160" t="inlineStr">
        <is>
          <t>VÄSTRA GÖTALANDS LÄN</t>
        </is>
      </c>
      <c r="G160" t="inlineStr">
        <is>
          <t>UDDEVALLA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45950</v>
      </c>
      <c r="E161" s="1" t="n">
        <v>46225</v>
      </c>
      <c r="F161" t="inlineStr">
        <is>
          <t>VÄSTRA GÖTALANDS LÄN</t>
        </is>
      </c>
      <c r="G161" t="inlineStr">
        <is>
          <t>UDDEVALLA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46225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45517</v>
      </c>
      <c r="E163" s="1" t="n">
        <v>46225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16819-2026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46113</v>
      </c>
      <c r="E164" s="1" t="n">
        <v>46225</v>
      </c>
      <c r="F164" t="inlineStr">
        <is>
          <t>VÄSTRA GÖTALANDS LÄN</t>
        </is>
      </c>
      <c r="G164" t="inlineStr">
        <is>
          <t>UDDEVALLA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45672</v>
      </c>
      <c r="E165" s="1" t="n">
        <v>46225</v>
      </c>
      <c r="F165" t="inlineStr">
        <is>
          <t>VÄSTRA GÖTALANDS LÄN</t>
        </is>
      </c>
      <c r="G165" t="inlineStr">
        <is>
          <t>UDDEVALLA</t>
        </is>
      </c>
      <c r="I165" t="n">
        <v>14.1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46225</v>
      </c>
      <c r="F166" t="inlineStr">
        <is>
          <t>VÄSTRA GÖTALANDS LÄN</t>
        </is>
      </c>
      <c r="G166" t="inlineStr">
        <is>
          <t>UDDEVALLA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46225</v>
      </c>
      <c r="F167" t="inlineStr">
        <is>
          <t>VÄSTRA GÖTALANDS LÄN</t>
        </is>
      </c>
      <c r="G167" t="inlineStr">
        <is>
          <t>UDDEVALLA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17244-2026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46119</v>
      </c>
      <c r="E168" s="1" t="n">
        <v>46225</v>
      </c>
      <c r="F168" t="inlineStr">
        <is>
          <t>VÄSTRA GÖTALANDS LÄN</t>
        </is>
      </c>
      <c r="G168" t="inlineStr">
        <is>
          <t>UDDEVALLA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46120</v>
      </c>
      <c r="E169" s="1" t="n">
        <v>46225</v>
      </c>
      <c r="F169" t="inlineStr">
        <is>
          <t>VÄSTRA GÖTALANDS LÄN</t>
        </is>
      </c>
      <c r="G169" t="inlineStr">
        <is>
          <t>UDDEVALLA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46225</v>
      </c>
      <c r="F170" t="inlineStr">
        <is>
          <t>VÄSTRA GÖTALANDS LÄN</t>
        </is>
      </c>
      <c r="G170" t="inlineStr">
        <is>
          <t>UDDEVALLA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46225</v>
      </c>
      <c r="F171" t="inlineStr">
        <is>
          <t>VÄSTRA GÖTALANDS LÄN</t>
        </is>
      </c>
      <c r="G171" t="inlineStr">
        <is>
          <t>UDDEVALLA</t>
        </is>
      </c>
      <c r="H171" t="inlineStr">
        <is>
          <t>Kommuner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46225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46225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46225</v>
      </c>
      <c r="F174" t="inlineStr">
        <is>
          <t>VÄSTRA GÖTALANDS LÄN</t>
        </is>
      </c>
      <c r="G174" t="inlineStr">
        <is>
          <t>UDDEVALLA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46225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46225</v>
      </c>
      <c r="F176" t="inlineStr">
        <is>
          <t>VÄSTRA GÖTALANDS LÄN</t>
        </is>
      </c>
      <c r="G176" t="inlineStr">
        <is>
          <t>UDDEVALLA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46225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46225</v>
      </c>
      <c r="F178" t="inlineStr">
        <is>
          <t>VÄSTRA GÖTALANDS LÄN</t>
        </is>
      </c>
      <c r="G178" t="inlineStr">
        <is>
          <t>UDDEVALLA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46225</v>
      </c>
      <c r="F179" t="inlineStr">
        <is>
          <t>VÄSTRA GÖTALANDS LÄN</t>
        </is>
      </c>
      <c r="G179" t="inlineStr">
        <is>
          <t>UDDEVALLA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45302</v>
      </c>
      <c r="E180" s="1" t="n">
        <v>46225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46225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46225</v>
      </c>
      <c r="F182" t="inlineStr">
        <is>
          <t>VÄSTRA GÖTALANDS LÄN</t>
        </is>
      </c>
      <c r="G182" t="inlineStr">
        <is>
          <t>UDDEVALLA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46225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46225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46225</v>
      </c>
      <c r="F185" t="inlineStr">
        <is>
          <t>VÄSTRA GÖTALANDS LÄN</t>
        </is>
      </c>
      <c r="G185" t="inlineStr">
        <is>
          <t>UDDEVALLA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46225</v>
      </c>
      <c r="F186" t="inlineStr">
        <is>
          <t>VÄSTRA GÖTALANDS LÄN</t>
        </is>
      </c>
      <c r="G186" t="inlineStr">
        <is>
          <t>UDDEVALLA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46225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Kommuner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45907</v>
      </c>
      <c r="E188" s="1" t="n">
        <v>46225</v>
      </c>
      <c r="F188" t="inlineStr">
        <is>
          <t>VÄSTRA GÖTALANDS LÄN</t>
        </is>
      </c>
      <c r="G188" t="inlineStr">
        <is>
          <t>UDDEVALLA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46225</v>
      </c>
      <c r="F189" t="inlineStr">
        <is>
          <t>VÄSTRA GÖTALANDS LÄN</t>
        </is>
      </c>
      <c r="G189" t="inlineStr">
        <is>
          <t>UDDEVALLA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46225</v>
      </c>
      <c r="F190" t="inlineStr">
        <is>
          <t>VÄSTRA GÖTALANDS LÄN</t>
        </is>
      </c>
      <c r="G190" t="inlineStr">
        <is>
          <t>UDDEVALLA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46225</v>
      </c>
      <c r="F191" t="inlineStr">
        <is>
          <t>VÄSTRA GÖTALANDS LÄN</t>
        </is>
      </c>
      <c r="G191" t="inlineStr">
        <is>
          <t>UDDEVALLA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46225</v>
      </c>
      <c r="F192" t="inlineStr">
        <is>
          <t>VÄSTRA GÖTALANDS LÄN</t>
        </is>
      </c>
      <c r="G192" t="inlineStr">
        <is>
          <t>UDDEVALLA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46225</v>
      </c>
      <c r="F193" t="inlineStr">
        <is>
          <t>VÄSTRA GÖTALANDS LÄN</t>
        </is>
      </c>
      <c r="G193" t="inlineStr">
        <is>
          <t>UDDEVALLA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20401-2026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46139</v>
      </c>
      <c r="E194" s="1" t="n">
        <v>46225</v>
      </c>
      <c r="F194" t="inlineStr">
        <is>
          <t>VÄSTRA GÖTALANDS LÄN</t>
        </is>
      </c>
      <c r="G194" t="inlineStr">
        <is>
          <t>UDDEVALLA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44592</v>
      </c>
      <c r="E195" s="1" t="n">
        <v>46225</v>
      </c>
      <c r="F195" t="inlineStr">
        <is>
          <t>VÄSTRA GÖTALANDS LÄN</t>
        </is>
      </c>
      <c r="G195" t="inlineStr">
        <is>
          <t>UDDEVALLA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46225</v>
      </c>
      <c r="F196" t="inlineStr">
        <is>
          <t>VÄSTRA GÖTALANDS LÄN</t>
        </is>
      </c>
      <c r="G196" t="inlineStr">
        <is>
          <t>UDDEVALLA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46225</v>
      </c>
      <c r="F197" t="inlineStr">
        <is>
          <t>VÄSTRA GÖTALANDS LÄN</t>
        </is>
      </c>
      <c r="G197" t="inlineStr">
        <is>
          <t>UDDEVALLA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46225</v>
      </c>
      <c r="F198" t="inlineStr">
        <is>
          <t>VÄSTRA GÖTALANDS LÄN</t>
        </is>
      </c>
      <c r="G198" t="inlineStr">
        <is>
          <t>UDDEVALLA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46225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45633</v>
      </c>
      <c r="E200" s="1" t="n">
        <v>46225</v>
      </c>
      <c r="F200" t="inlineStr">
        <is>
          <t>VÄSTRA GÖTALANDS LÄN</t>
        </is>
      </c>
      <c r="G200" t="inlineStr">
        <is>
          <t>UDDEVALLA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46225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46225</v>
      </c>
      <c r="F202" t="inlineStr">
        <is>
          <t>VÄSTRA GÖTALANDS LÄN</t>
        </is>
      </c>
      <c r="G202" t="inlineStr">
        <is>
          <t>UDDEVALLA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46225</v>
      </c>
      <c r="F203" t="inlineStr">
        <is>
          <t>VÄSTRA GÖTALANDS LÄN</t>
        </is>
      </c>
      <c r="G203" t="inlineStr">
        <is>
          <t>UDDEVALLA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73007-2021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44550</v>
      </c>
      <c r="E204" s="1" t="n">
        <v>46225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45226</v>
      </c>
      <c r="E205" s="1" t="n">
        <v>46225</v>
      </c>
      <c r="F205" t="inlineStr">
        <is>
          <t>VÄSTRA GÖTALANDS LÄN</t>
        </is>
      </c>
      <c r="G205" t="inlineStr">
        <is>
          <t>UDDEVALLA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46147</v>
      </c>
      <c r="E206" s="1" t="n">
        <v>46225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46225</v>
      </c>
      <c r="F207" t="inlineStr">
        <is>
          <t>VÄSTRA GÖTALANDS LÄN</t>
        </is>
      </c>
      <c r="G207" t="inlineStr">
        <is>
          <t>UDDEVALLA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46225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46225</v>
      </c>
      <c r="F209" t="inlineStr">
        <is>
          <t>VÄSTRA GÖTALANDS LÄN</t>
        </is>
      </c>
      <c r="G209" t="inlineStr">
        <is>
          <t>UDDEVALLA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59674-2023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45255</v>
      </c>
      <c r="E210" s="1" t="n">
        <v>46225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46225</v>
      </c>
      <c r="F211" t="inlineStr">
        <is>
          <t>VÄSTRA GÖTALANDS LÄN</t>
        </is>
      </c>
      <c r="G211" t="inlineStr">
        <is>
          <t>UDDEVALLA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46225</v>
      </c>
      <c r="F212" t="inlineStr">
        <is>
          <t>VÄSTRA GÖTALANDS LÄN</t>
        </is>
      </c>
      <c r="G212" t="inlineStr">
        <is>
          <t>UDDEVALLA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44418</v>
      </c>
      <c r="E213" s="1" t="n">
        <v>46225</v>
      </c>
      <c r="F213" t="inlineStr">
        <is>
          <t>VÄSTRA GÖTALANDS LÄN</t>
        </is>
      </c>
      <c r="G213" t="inlineStr">
        <is>
          <t>UDDEVALLA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46225</v>
      </c>
      <c r="F214" t="inlineStr">
        <is>
          <t>VÄSTRA GÖTALANDS LÄN</t>
        </is>
      </c>
      <c r="G214" t="inlineStr">
        <is>
          <t>UDDEVALLA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46225</v>
      </c>
      <c r="F215" t="inlineStr">
        <is>
          <t>VÄSTRA GÖTALANDS LÄN</t>
        </is>
      </c>
      <c r="G215" t="inlineStr">
        <is>
          <t>UDDEVALLA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46225</v>
      </c>
      <c r="F216" t="inlineStr">
        <is>
          <t>VÄSTRA GÖTALANDS LÄN</t>
        </is>
      </c>
      <c r="G216" t="inlineStr">
        <is>
          <t>UDDEVALLA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45121</v>
      </c>
      <c r="E217" s="1" t="n">
        <v>46225</v>
      </c>
      <c r="F217" t="inlineStr">
        <is>
          <t>VÄSTRA GÖTALANDS LÄN</t>
        </is>
      </c>
      <c r="G217" t="inlineStr">
        <is>
          <t>UDDEVALLA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46225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45309</v>
      </c>
      <c r="E219" s="1" t="n">
        <v>46225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46225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Övriga statliga verk och myndigheter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44823</v>
      </c>
      <c r="E221" s="1" t="n">
        <v>46225</v>
      </c>
      <c r="F221" t="inlineStr">
        <is>
          <t>VÄSTRA GÖTALANDS LÄN</t>
        </is>
      </c>
      <c r="G221" t="inlineStr">
        <is>
          <t>UDDEVALLA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46225</v>
      </c>
      <c r="F222" t="inlineStr">
        <is>
          <t>VÄSTRA GÖTALANDS LÄN</t>
        </is>
      </c>
      <c r="G222" t="inlineStr">
        <is>
          <t>UDDEVALLA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63878-2021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46225</v>
      </c>
      <c r="F223" t="inlineStr">
        <is>
          <t>VÄSTRA GÖTALANDS LÄN</t>
        </is>
      </c>
      <c r="G223" t="inlineStr">
        <is>
          <t>UDDEVALLA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46225</v>
      </c>
      <c r="F224" t="inlineStr">
        <is>
          <t>VÄSTRA GÖTALANDS LÄN</t>
        </is>
      </c>
      <c r="G224" t="inlineStr">
        <is>
          <t>UDDEVALLA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46225</v>
      </c>
      <c r="F225" t="inlineStr">
        <is>
          <t>VÄSTRA GÖTALANDS LÄN</t>
        </is>
      </c>
      <c r="G225" t="inlineStr">
        <is>
          <t>UDDEVALLA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46225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45071</v>
      </c>
      <c r="E227" s="1" t="n">
        <v>46225</v>
      </c>
      <c r="F227" t="inlineStr">
        <is>
          <t>VÄSTRA GÖTALANDS LÄN</t>
        </is>
      </c>
      <c r="G227" t="inlineStr">
        <is>
          <t>UDDEVALLA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46225</v>
      </c>
      <c r="F228" t="inlineStr">
        <is>
          <t>VÄSTRA GÖTALANDS LÄN</t>
        </is>
      </c>
      <c r="G228" t="inlineStr">
        <is>
          <t>UDDEVALLA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46225</v>
      </c>
      <c r="F229" t="inlineStr">
        <is>
          <t>VÄSTRA GÖTALANDS LÄN</t>
        </is>
      </c>
      <c r="G229" t="inlineStr">
        <is>
          <t>UDDEVALLA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46225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46225</v>
      </c>
      <c r="F231" t="inlineStr">
        <is>
          <t>VÄSTRA GÖTALANDS LÄN</t>
        </is>
      </c>
      <c r="G231" t="inlineStr">
        <is>
          <t>UDDEVALLA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46225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Kommuner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46210</v>
      </c>
      <c r="E233" s="1" t="n">
        <v>46225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45754</v>
      </c>
      <c r="E234" s="1" t="n">
        <v>46225</v>
      </c>
      <c r="F234" t="inlineStr">
        <is>
          <t>VÄSTRA GÖTALANDS LÄN</t>
        </is>
      </c>
      <c r="G234" t="inlineStr">
        <is>
          <t>UDDEVALLA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17058-2025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45754</v>
      </c>
      <c r="E235" s="1" t="n">
        <v>46225</v>
      </c>
      <c r="F235" t="inlineStr">
        <is>
          <t>VÄSTRA GÖTALANDS LÄN</t>
        </is>
      </c>
      <c r="G235" t="inlineStr">
        <is>
          <t>UDDEVALLA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43170-2021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44431</v>
      </c>
      <c r="E236" s="1" t="n">
        <v>46225</v>
      </c>
      <c r="F236" t="inlineStr">
        <is>
          <t>VÄSTRA GÖTALANDS LÄN</t>
        </is>
      </c>
      <c r="G236" t="inlineStr">
        <is>
          <t>UDDEVALLA</t>
        </is>
      </c>
      <c r="I236" t="n">
        <v>13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46212</v>
      </c>
      <c r="E237" s="1" t="n">
        <v>46225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46211</v>
      </c>
      <c r="E238" s="1" t="n">
        <v>46225</v>
      </c>
      <c r="F238" t="inlineStr">
        <is>
          <t>VÄSTRA GÖTALANDS LÄN</t>
        </is>
      </c>
      <c r="G238" t="inlineStr">
        <is>
          <t>UDDEVALLA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45551</v>
      </c>
      <c r="E239" s="1" t="n">
        <v>46225</v>
      </c>
      <c r="F239" t="inlineStr">
        <is>
          <t>VÄSTRA GÖTALANDS LÄN</t>
        </is>
      </c>
      <c r="G239" t="inlineStr">
        <is>
          <t>UDDEVALLA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73437-2021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44551</v>
      </c>
      <c r="E240" s="1" t="n">
        <v>46225</v>
      </c>
      <c r="F240" t="inlineStr">
        <is>
          <t>VÄSTRA GÖTALANDS LÄN</t>
        </is>
      </c>
      <c r="G240" t="inlineStr">
        <is>
          <t>UDDEVALLA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46225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45495</v>
      </c>
      <c r="E242" s="1" t="n">
        <v>46225</v>
      </c>
      <c r="F242" t="inlineStr">
        <is>
          <t>VÄSTRA GÖTALANDS LÄN</t>
        </is>
      </c>
      <c r="G242" t="inlineStr">
        <is>
          <t>UDDEVALLA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45455</v>
      </c>
      <c r="E243" s="1" t="n">
        <v>46225</v>
      </c>
      <c r="F243" t="inlineStr">
        <is>
          <t>VÄSTRA GÖTALANDS LÄN</t>
        </is>
      </c>
      <c r="G243" t="inlineStr">
        <is>
          <t>UDDEVALLA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45063</v>
      </c>
      <c r="E244" s="1" t="n">
        <v>46225</v>
      </c>
      <c r="F244" t="inlineStr">
        <is>
          <t>VÄSTRA GÖTALANDS LÄN</t>
        </is>
      </c>
      <c r="G244" t="inlineStr">
        <is>
          <t>UDDEVALLA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46225</v>
      </c>
      <c r="F245" t="inlineStr">
        <is>
          <t>VÄSTRA GÖTALANDS LÄN</t>
        </is>
      </c>
      <c r="G245" t="inlineStr">
        <is>
          <t>UDDEVALLA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46225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46225</v>
      </c>
      <c r="F247" t="inlineStr">
        <is>
          <t>VÄSTRA GÖTALANDS LÄN</t>
        </is>
      </c>
      <c r="G247" t="inlineStr">
        <is>
          <t>UDDEVALLA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46225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46225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46225</v>
      </c>
      <c r="F250" t="inlineStr">
        <is>
          <t>VÄSTRA GÖTALANDS LÄN</t>
        </is>
      </c>
      <c r="G250" t="inlineStr">
        <is>
          <t>UDDEVALLA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59474-2022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46225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63397-2021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44508</v>
      </c>
      <c r="E252" s="1" t="n">
        <v>46225</v>
      </c>
      <c r="F252" t="inlineStr">
        <is>
          <t>VÄSTRA GÖTALANDS LÄN</t>
        </is>
      </c>
      <c r="G252" t="inlineStr">
        <is>
          <t>UDDEVALLA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46225</v>
      </c>
      <c r="F253" t="inlineStr">
        <is>
          <t>VÄSTRA GÖTALANDS LÄN</t>
        </is>
      </c>
      <c r="G253" t="inlineStr">
        <is>
          <t>UDDEVALLA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46222</v>
      </c>
      <c r="E254" s="1" t="n">
        <v>46225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46225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46225</v>
      </c>
      <c r="F256" t="inlineStr">
        <is>
          <t>VÄSTRA GÖTALANDS LÄN</t>
        </is>
      </c>
      <c r="G256" t="inlineStr">
        <is>
          <t>UDDEVALLA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69198-2021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46225</v>
      </c>
      <c r="F257" t="inlineStr">
        <is>
          <t>VÄSTRA GÖTALANDS LÄN</t>
        </is>
      </c>
      <c r="G257" t="inlineStr">
        <is>
          <t>UDDEVALLA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46225</v>
      </c>
      <c r="F258" t="inlineStr">
        <is>
          <t>VÄSTRA GÖTALANDS LÄN</t>
        </is>
      </c>
      <c r="G258" t="inlineStr">
        <is>
          <t>UDDEVALLA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45150</v>
      </c>
      <c r="E259" s="1" t="n">
        <v>46225</v>
      </c>
      <c r="F259" t="inlineStr">
        <is>
          <t>VÄSTRA GÖTALANDS LÄN</t>
        </is>
      </c>
      <c r="G259" t="inlineStr">
        <is>
          <t>UDDEVALLA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45133</v>
      </c>
      <c r="E260" s="1" t="n">
        <v>46225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46225</v>
      </c>
      <c r="F261" t="inlineStr">
        <is>
          <t>VÄSTRA GÖTALANDS LÄN</t>
        </is>
      </c>
      <c r="G261" t="inlineStr">
        <is>
          <t>UDDEVALLA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46225</v>
      </c>
      <c r="F262" t="inlineStr">
        <is>
          <t>VÄSTRA GÖTALANDS LÄN</t>
        </is>
      </c>
      <c r="G262" t="inlineStr">
        <is>
          <t>UDDEVALLA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46225</v>
      </c>
      <c r="F263" t="inlineStr">
        <is>
          <t>VÄSTRA GÖTALANDS LÄN</t>
        </is>
      </c>
      <c r="G263" t="inlineStr">
        <is>
          <t>UDDEVALLA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46225</v>
      </c>
      <c r="F264" t="inlineStr">
        <is>
          <t>VÄSTRA GÖTALANDS LÄN</t>
        </is>
      </c>
      <c r="G264" t="inlineStr">
        <is>
          <t>UDDEVALLA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46225</v>
      </c>
      <c r="F265" t="inlineStr">
        <is>
          <t>VÄSTRA GÖTALANDS LÄN</t>
        </is>
      </c>
      <c r="G265" t="inlineStr">
        <is>
          <t>UDDEVALLA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58958-2021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44489</v>
      </c>
      <c r="E266" s="1" t="n">
        <v>46225</v>
      </c>
      <c r="F266" t="inlineStr">
        <is>
          <t>VÄSTRA GÖTALANDS LÄN</t>
        </is>
      </c>
      <c r="G266" t="inlineStr">
        <is>
          <t>UDDEVALLA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46225</v>
      </c>
      <c r="F267" t="inlineStr">
        <is>
          <t>VÄSTRA GÖTALANDS LÄN</t>
        </is>
      </c>
      <c r="G267" t="inlineStr">
        <is>
          <t>UDDEVALLA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45771</v>
      </c>
      <c r="E268" s="1" t="n">
        <v>46225</v>
      </c>
      <c r="F268" t="inlineStr">
        <is>
          <t>VÄSTRA GÖTALANDS LÄN</t>
        </is>
      </c>
      <c r="G268" t="inlineStr">
        <is>
          <t>UDDEVALLA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44981</v>
      </c>
      <c r="E269" s="1" t="n">
        <v>46225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46225</v>
      </c>
      <c r="F270" t="inlineStr">
        <is>
          <t>VÄSTRA GÖTALANDS LÄN</t>
        </is>
      </c>
      <c r="G270" t="inlineStr">
        <is>
          <t>UDDEVALLA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46225</v>
      </c>
      <c r="F271" t="inlineStr">
        <is>
          <t>VÄSTRA GÖTALANDS LÄN</t>
        </is>
      </c>
      <c r="G271" t="inlineStr">
        <is>
          <t>UDDEVALLA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44582</v>
      </c>
      <c r="E272" s="1" t="n">
        <v>46225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46225</v>
      </c>
      <c r="F273" t="inlineStr">
        <is>
          <t>VÄSTRA GÖTALANDS LÄN</t>
        </is>
      </c>
      <c r="G273" t="inlineStr">
        <is>
          <t>UDDEVALLA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2306-2022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44578</v>
      </c>
      <c r="E274" s="1" t="n">
        <v>46225</v>
      </c>
      <c r="F274" t="inlineStr">
        <is>
          <t>VÄSTRA GÖTALANDS LÄN</t>
        </is>
      </c>
      <c r="G274" t="inlineStr">
        <is>
          <t>UDDEVALLA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46225</v>
      </c>
      <c r="F275" t="inlineStr">
        <is>
          <t>VÄSTRA GÖTALANDS LÄN</t>
        </is>
      </c>
      <c r="G275" t="inlineStr">
        <is>
          <t>UDDEVALLA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44602</v>
      </c>
      <c r="E276" s="1" t="n">
        <v>46225</v>
      </c>
      <c r="F276" t="inlineStr">
        <is>
          <t>VÄSTRA GÖTALANDS LÄN</t>
        </is>
      </c>
      <c r="G276" t="inlineStr">
        <is>
          <t>UDDEVALLA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44655</v>
      </c>
      <c r="E277" s="1" t="n">
        <v>46225</v>
      </c>
      <c r="F277" t="inlineStr">
        <is>
          <t>VÄSTRA GÖTALANDS LÄN</t>
        </is>
      </c>
      <c r="G277" t="inlineStr">
        <is>
          <t>UDDEVALLA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45456</v>
      </c>
      <c r="E278" s="1" t="n">
        <v>46225</v>
      </c>
      <c r="F278" t="inlineStr">
        <is>
          <t>VÄSTRA GÖTALANDS LÄN</t>
        </is>
      </c>
      <c r="G278" t="inlineStr">
        <is>
          <t>UDDEVALLA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45664</v>
      </c>
      <c r="E279" s="1" t="n">
        <v>46225</v>
      </c>
      <c r="F279" t="inlineStr">
        <is>
          <t>VÄSTRA GÖTALANDS LÄN</t>
        </is>
      </c>
      <c r="G279" t="inlineStr">
        <is>
          <t>UDDEVALLA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46225</v>
      </c>
      <c r="F280" t="inlineStr">
        <is>
          <t>VÄSTRA GÖTALANDS LÄN</t>
        </is>
      </c>
      <c r="G280" t="inlineStr">
        <is>
          <t>UDDEVALLA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45183</v>
      </c>
      <c r="E281" s="1" t="n">
        <v>46225</v>
      </c>
      <c r="F281" t="inlineStr">
        <is>
          <t>VÄSTRA GÖTALANDS LÄN</t>
        </is>
      </c>
      <c r="G281" t="inlineStr">
        <is>
          <t>UDDEVALLA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44133-2024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45572</v>
      </c>
      <c r="E282" s="1" t="n">
        <v>46225</v>
      </c>
      <c r="F282" t="inlineStr">
        <is>
          <t>VÄSTRA GÖTALANDS LÄN</t>
        </is>
      </c>
      <c r="G282" t="inlineStr">
        <is>
          <t>UDDEVALLA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46225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45631</v>
      </c>
      <c r="E284" s="1" t="n">
        <v>46225</v>
      </c>
      <c r="F284" t="inlineStr">
        <is>
          <t>VÄSTRA GÖTALANDS LÄN</t>
        </is>
      </c>
      <c r="G284" t="inlineStr">
        <is>
          <t>UDDEVALLA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44733</v>
      </c>
      <c r="E285" s="1" t="n">
        <v>46225</v>
      </c>
      <c r="F285" t="inlineStr">
        <is>
          <t>VÄSTRA GÖTALANDS LÄN</t>
        </is>
      </c>
      <c r="G285" t="inlineStr">
        <is>
          <t>UDDEVALLA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44715</v>
      </c>
      <c r="E286" s="1" t="n">
        <v>46225</v>
      </c>
      <c r="F286" t="inlineStr">
        <is>
          <t>VÄSTRA GÖTALANDS LÄN</t>
        </is>
      </c>
      <c r="G286" t="inlineStr">
        <is>
          <t>UDDEVALLA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46225</v>
      </c>
      <c r="F287" t="inlineStr">
        <is>
          <t>VÄSTRA GÖTALANDS LÄN</t>
        </is>
      </c>
      <c r="G287" t="inlineStr">
        <is>
          <t>UDDEVALLA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44820</v>
      </c>
      <c r="E288" s="1" t="n">
        <v>46225</v>
      </c>
      <c r="F288" t="inlineStr">
        <is>
          <t>VÄSTRA GÖTALANDS LÄN</t>
        </is>
      </c>
      <c r="G288" t="inlineStr">
        <is>
          <t>UDDEVALLA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46225</v>
      </c>
      <c r="F289" t="inlineStr">
        <is>
          <t>VÄSTRA GÖTALANDS LÄN</t>
        </is>
      </c>
      <c r="G289" t="inlineStr">
        <is>
          <t>UDDEVALLA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45303</v>
      </c>
      <c r="E290" s="1" t="n">
        <v>46225</v>
      </c>
      <c r="F290" t="inlineStr">
        <is>
          <t>VÄSTRA GÖTALANDS LÄN</t>
        </is>
      </c>
      <c r="G290" t="inlineStr">
        <is>
          <t>UDDEVALLA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46225</v>
      </c>
      <c r="F291" t="inlineStr">
        <is>
          <t>VÄSTRA GÖTALANDS LÄN</t>
        </is>
      </c>
      <c r="G291" t="inlineStr">
        <is>
          <t>UDDEVALLA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44973</v>
      </c>
      <c r="E292" s="1" t="n">
        <v>46225</v>
      </c>
      <c r="F292" t="inlineStr">
        <is>
          <t>VÄSTRA GÖTALANDS LÄN</t>
        </is>
      </c>
      <c r="G292" t="inlineStr">
        <is>
          <t>UDDEVALLA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46225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46225</v>
      </c>
      <c r="F294" t="inlineStr">
        <is>
          <t>VÄSTRA GÖTALANDS LÄN</t>
        </is>
      </c>
      <c r="G294" t="inlineStr">
        <is>
          <t>UDDEVALLA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44984</v>
      </c>
      <c r="E295" s="1" t="n">
        <v>46225</v>
      </c>
      <c r="F295" t="inlineStr">
        <is>
          <t>VÄSTRA GÖTALANDS LÄN</t>
        </is>
      </c>
      <c r="G295" t="inlineStr">
        <is>
          <t>UDDEVALLA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44683</v>
      </c>
      <c r="E296" s="1" t="n">
        <v>46225</v>
      </c>
      <c r="F296" t="inlineStr">
        <is>
          <t>VÄSTRA GÖTALANDS LÄN</t>
        </is>
      </c>
      <c r="G296" t="inlineStr">
        <is>
          <t>UDDEVALLA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46225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70491-2021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44536</v>
      </c>
      <c r="E298" s="1" t="n">
        <v>46225</v>
      </c>
      <c r="F298" t="inlineStr">
        <is>
          <t>VÄSTRA GÖTALANDS LÄN</t>
        </is>
      </c>
      <c r="G298" t="inlineStr">
        <is>
          <t>UDDEVALLA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46225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46225</v>
      </c>
      <c r="F300" t="inlineStr">
        <is>
          <t>VÄSTRA GÖTALANDS LÄN</t>
        </is>
      </c>
      <c r="G300" t="inlineStr">
        <is>
          <t>UDDEVALLA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46225</v>
      </c>
      <c r="F301" t="inlineStr">
        <is>
          <t>VÄSTRA GÖTALANDS LÄN</t>
        </is>
      </c>
      <c r="G301" t="inlineStr">
        <is>
          <t>UDDEVALLA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46225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46225</v>
      </c>
      <c r="F303" t="inlineStr">
        <is>
          <t>VÄSTRA GÖTALANDS LÄN</t>
        </is>
      </c>
      <c r="G303" t="inlineStr">
        <is>
          <t>UDDEVALLA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45237</v>
      </c>
      <c r="E304" s="1" t="n">
        <v>46225</v>
      </c>
      <c r="F304" t="inlineStr">
        <is>
          <t>VÄSTRA GÖTALANDS LÄN</t>
        </is>
      </c>
      <c r="G304" t="inlineStr">
        <is>
          <t>UDDEVALLA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46225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46225</v>
      </c>
      <c r="F306" t="inlineStr">
        <is>
          <t>VÄSTRA GÖTALANDS LÄN</t>
        </is>
      </c>
      <c r="G306" t="inlineStr">
        <is>
          <t>UDDEVALLA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8893-2024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45355</v>
      </c>
      <c r="E307" s="1" t="n">
        <v>46225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46225</v>
      </c>
      <c r="F308" t="inlineStr">
        <is>
          <t>VÄSTRA GÖTALANDS LÄN</t>
        </is>
      </c>
      <c r="G308" t="inlineStr">
        <is>
          <t>UDDEVALLA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46225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45667</v>
      </c>
      <c r="E310" s="1" t="n">
        <v>46225</v>
      </c>
      <c r="F310" t="inlineStr">
        <is>
          <t>VÄSTRA GÖTALANDS LÄN</t>
        </is>
      </c>
      <c r="G310" t="inlineStr">
        <is>
          <t>UDDEVALLA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46225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45205</v>
      </c>
      <c r="E312" s="1" t="n">
        <v>46225</v>
      </c>
      <c r="F312" t="inlineStr">
        <is>
          <t>VÄSTRA GÖTALANDS LÄN</t>
        </is>
      </c>
      <c r="G312" t="inlineStr">
        <is>
          <t>UDDEVALLA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46225</v>
      </c>
      <c r="F313" t="inlineStr">
        <is>
          <t>VÄSTRA GÖTALANDS LÄN</t>
        </is>
      </c>
      <c r="G313" t="inlineStr">
        <is>
          <t>UDDEVALLA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46225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46225</v>
      </c>
      <c r="F315" t="inlineStr">
        <is>
          <t>VÄSTRA GÖTALANDS LÄN</t>
        </is>
      </c>
      <c r="G315" t="inlineStr">
        <is>
          <t>UDDEVALLA</t>
        </is>
      </c>
      <c r="I315" t="n">
        <v>12.2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46225</v>
      </c>
      <c r="F316" t="inlineStr">
        <is>
          <t>VÄSTRA GÖTALANDS LÄN</t>
        </is>
      </c>
      <c r="G316" t="inlineStr">
        <is>
          <t>UDDEVALLA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58625-2024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45635</v>
      </c>
      <c r="E317" s="1" t="n">
        <v>46225</v>
      </c>
      <c r="F317" t="inlineStr">
        <is>
          <t>VÄSTRA GÖTALANDS LÄN</t>
        </is>
      </c>
      <c r="G317" t="inlineStr">
        <is>
          <t>UDDEVALLA</t>
        </is>
      </c>
      <c r="I317" t="n">
        <v>14.9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46225</v>
      </c>
      <c r="F318" t="inlineStr">
        <is>
          <t>VÄSTRA GÖTALANDS LÄN</t>
        </is>
      </c>
      <c r="G318" t="inlineStr">
        <is>
          <t>UDDEVALLA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46225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46225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46225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46225</v>
      </c>
      <c r="F322" t="inlineStr">
        <is>
          <t>VÄSTRA GÖTALANDS LÄN</t>
        </is>
      </c>
      <c r="G322" t="inlineStr">
        <is>
          <t>UDDEVALLA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46225</v>
      </c>
      <c r="F323" t="inlineStr">
        <is>
          <t>VÄSTRA GÖTALANDS LÄN</t>
        </is>
      </c>
      <c r="G323" t="inlineStr">
        <is>
          <t>UDDEVALLA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46225</v>
      </c>
      <c r="F324" t="inlineStr">
        <is>
          <t>VÄSTRA GÖTALANDS LÄN</t>
        </is>
      </c>
      <c r="G324" t="inlineStr">
        <is>
          <t>UDDEVALLA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46225</v>
      </c>
      <c r="F325" t="inlineStr">
        <is>
          <t>VÄSTRA GÖTALANDS LÄN</t>
        </is>
      </c>
      <c r="G325" t="inlineStr">
        <is>
          <t>UDDEVALLA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46225</v>
      </c>
      <c r="F326" t="inlineStr">
        <is>
          <t>VÄSTRA GÖTALANDS LÄN</t>
        </is>
      </c>
      <c r="G326" t="inlineStr">
        <is>
          <t>UDDEVALLA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46225</v>
      </c>
      <c r="F327" t="inlineStr">
        <is>
          <t>VÄSTRA GÖTALANDS LÄN</t>
        </is>
      </c>
      <c r="G327" t="inlineStr">
        <is>
          <t>UDDEVALLA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46225</v>
      </c>
      <c r="F328" t="inlineStr">
        <is>
          <t>VÄSTRA GÖTALANDS LÄN</t>
        </is>
      </c>
      <c r="G328" t="inlineStr">
        <is>
          <t>UDDEVALLA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46225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46225</v>
      </c>
      <c r="F330" t="inlineStr">
        <is>
          <t>VÄSTRA GÖTALANDS LÄN</t>
        </is>
      </c>
      <c r="G330" t="inlineStr">
        <is>
          <t>UDDEVALLA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46225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46225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46225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46225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46225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2026-07-22T01:36:21Z</dcterms:created>
  <dcterms:modified xmlns:dcterms="http://purl.org/dc/terms/" xmlns:xsi="http://www.w3.org/2001/XMLSchema-instance" xsi:type="dcterms:W3CDTF">2026-07-22T01:36:21Z</dcterms:modified>
</cp:coreProperties>
</file>