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46224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46224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46224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46224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46224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46224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46224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46224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46224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14063-2025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45740</v>
      </c>
      <c r="E11" s="1" t="n">
        <v>46224</v>
      </c>
      <c r="F11" t="inlineStr">
        <is>
          <t>VÄSTRA GÖTALANDS LÄN</t>
        </is>
      </c>
      <c r="G11" t="inlineStr">
        <is>
          <t>UDDEVALLA</t>
        </is>
      </c>
      <c r="I11" t="n">
        <v>8.800000000000001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Granspira
Mattlummer
Lopplummer (aggregat)</t>
        </is>
      </c>
      <c r="W11">
        <f>HYPERLINK("https://klasma.github.io/Logging_1485/artfynd/A 14063-2025 artfynd.xlsx", "A 14063-2025")</f>
        <v/>
      </c>
      <c r="X11">
        <f>HYPERLINK("https://klasma.github.io/Logging_1485/kartor/A 14063-2025 karta.png", "A 14063-2025")</f>
        <v/>
      </c>
      <c r="Y11">
        <f>HYPERLINK("https://klasma.github.io/Logging_1485/kartor_geotiff/A 14063-2025 georefererad karta.tif", "A 14063-2025")</f>
        <v/>
      </c>
      <c r="AA11">
        <f>HYPERLINK("https://klasma.github.io/Logging_1485/klagomål/A 14063-2025 FSC-klagomål.docx", "A 14063-2025")</f>
        <v/>
      </c>
      <c r="AB11">
        <f>HYPERLINK("https://klasma.github.io/Logging_1485/klagomålsmail/A 14063-2025 FSC-klagomål mail.docx", "A 14063-2025")</f>
        <v/>
      </c>
      <c r="AC11">
        <f>HYPERLINK("https://klasma.github.io/Logging_1485/tillsyn/A 14063-2025 tillsynsbegäran.docx", "A 14063-2025")</f>
        <v/>
      </c>
      <c r="AD11">
        <f>HYPERLINK("https://klasma.github.io/Logging_1485/tillsynsmail/A 14063-2025 tillsynsbegäran mail.docx", "A 14063-2025")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46224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46224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46224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46224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46224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45653</v>
      </c>
      <c r="E18" s="1" t="n">
        <v>46224</v>
      </c>
      <c r="F18" t="inlineStr">
        <is>
          <t>VÄSTRA GÖTALANDS LÄN</t>
        </is>
      </c>
      <c r="G18" t="inlineStr">
        <is>
          <t>UDDEVALLA</t>
        </is>
      </c>
      <c r="I18" t="n">
        <v>3.4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Brunpudrad nållav
Blåmossa</t>
        </is>
      </c>
      <c r="W18">
        <f>HYPERLINK("https://klasma.github.io/Logging_1485/artfynd/A 266-2025 artfynd.xlsx", "A 266-2025")</f>
        <v/>
      </c>
      <c r="X18">
        <f>HYPERLINK("https://klasma.github.io/Logging_1485/kartor/A 266-2025 karta.png", "A 266-2025")</f>
        <v/>
      </c>
      <c r="Y18">
        <f>HYPERLINK("https://klasma.github.io/Logging_1485/kartor_geotiff/A 266-2025 georefererad karta.tif", "A 266-2025")</f>
        <v/>
      </c>
      <c r="AA18">
        <f>HYPERLINK("https://klasma.github.io/Logging_1485/klagomål/A 266-2025 FSC-klagomål.docx", "A 266-2025")</f>
        <v/>
      </c>
      <c r="AB18">
        <f>HYPERLINK("https://klasma.github.io/Logging_1485/klagomålsmail/A 266-2025 FSC-klagomål mail.docx", "A 266-2025")</f>
        <v/>
      </c>
      <c r="AC18">
        <f>HYPERLINK("https://klasma.github.io/Logging_1485/tillsyn/A 266-2025 tillsynsbegäran.docx", "A 266-2025")</f>
        <v/>
      </c>
      <c r="AD18">
        <f>HYPERLINK("https://klasma.github.io/Logging_1485/tillsynsmail/A 266-2025 tillsynsbegäran mail.docx", "A 266-2025")</f>
        <v/>
      </c>
    </row>
    <row r="19" ht="15" customHeight="1">
      <c r="A19" t="inlineStr">
        <is>
          <t>A 57654-2025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46224</v>
      </c>
      <c r="F19" t="inlineStr">
        <is>
          <t>VÄSTRA GÖTALANDS LÄN</t>
        </is>
      </c>
      <c r="G19" t="inlineStr">
        <is>
          <t>UDDEVALLA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Lundvårlök</t>
        </is>
      </c>
      <c r="W19">
        <f>HYPERLINK("https://klasma.github.io/Logging_1485/artfynd/A 57654-2025 artfynd.xlsx", "A 57654-2025")</f>
        <v/>
      </c>
      <c r="X19">
        <f>HYPERLINK("https://klasma.github.io/Logging_1485/kartor/A 57654-2025 karta.png", "A 57654-2025")</f>
        <v/>
      </c>
      <c r="Y19">
        <f>HYPERLINK("https://klasma.github.io/Logging_1485/kartor_geotiff/A 57654-2025 georefererad karta.tif", "A 57654-2025")</f>
        <v/>
      </c>
      <c r="AA19">
        <f>HYPERLINK("https://klasma.github.io/Logging_1485/klagomål/A 57654-2025 FSC-klagomål.docx", "A 57654-2025")</f>
        <v/>
      </c>
      <c r="AB19">
        <f>HYPERLINK("https://klasma.github.io/Logging_1485/klagomålsmail/A 57654-2025 FSC-klagomål mail.docx", "A 57654-2025")</f>
        <v/>
      </c>
      <c r="AC19">
        <f>HYPERLINK("https://klasma.github.io/Logging_1485/tillsyn/A 57654-2025 tillsynsbegäran.docx", "A 57654-2025")</f>
        <v/>
      </c>
      <c r="AD19">
        <f>HYPERLINK("https://klasma.github.io/Logging_1485/tillsynsmail/A 57654-2025 tillsynsbegäran mail.docx", "A 57654-2025")</f>
        <v/>
      </c>
    </row>
    <row r="20" ht="15" customHeight="1">
      <c r="A20" t="inlineStr">
        <is>
          <t>A 65109-2023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45288</v>
      </c>
      <c r="E20" s="1" t="n">
        <v>46224</v>
      </c>
      <c r="F20" t="inlineStr">
        <is>
          <t>VÄSTRA GÖTALANDS LÄN</t>
        </is>
      </c>
      <c r="G20" t="inlineStr">
        <is>
          <t>UDDEVALLA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Lunglav
Åttafläckig praktbagge</t>
        </is>
      </c>
      <c r="W20">
        <f>HYPERLINK("https://klasma.github.io/Logging_1485/artfynd/A 65109-2023 artfynd.xlsx", "A 65109-2023")</f>
        <v/>
      </c>
      <c r="X20">
        <f>HYPERLINK("https://klasma.github.io/Logging_1485/kartor/A 65109-2023 karta.png", "A 65109-2023")</f>
        <v/>
      </c>
      <c r="Y20">
        <f>HYPERLINK("https://klasma.github.io/Logging_1485/kartor_geotiff/A 65109-2023 georefererad karta.tif", "A 65109-2023")</f>
        <v/>
      </c>
      <c r="AA20">
        <f>HYPERLINK("https://klasma.github.io/Logging_1485/klagomål/A 65109-2023 FSC-klagomål.docx", "A 65109-2023")</f>
        <v/>
      </c>
      <c r="AB20">
        <f>HYPERLINK("https://klasma.github.io/Logging_1485/klagomålsmail/A 65109-2023 FSC-klagomål mail.docx", "A 65109-2023")</f>
        <v/>
      </c>
      <c r="AC20">
        <f>HYPERLINK("https://klasma.github.io/Logging_1485/tillsyn/A 65109-2023 tillsynsbegäran.docx", "A 65109-2023")</f>
        <v/>
      </c>
      <c r="AD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46224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46224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Iller
Svinrot</t>
        </is>
      </c>
      <c r="W22">
        <f>HYPERLINK("https://klasma.github.io/Logging_1485/artfynd/A 16882-2026 artfynd.xlsx", "A 16882-2026")</f>
        <v/>
      </c>
      <c r="X22">
        <f>HYPERLINK("https://klasma.github.io/Logging_1485/kartor/A 16882-2026 karta.png", "A 16882-2026")</f>
        <v/>
      </c>
      <c r="Y22">
        <f>HYPERLINK("https://klasma.github.io/Logging_1485/kartor_geotiff/A 16882-2026 georefererad karta.tif", "A 16882-2026")</f>
        <v/>
      </c>
      <c r="AA22">
        <f>HYPERLINK("https://klasma.github.io/Logging_1485/klagomål/A 16882-2026 FSC-klagomål.docx", "A 16882-2026")</f>
        <v/>
      </c>
      <c r="AB22">
        <f>HYPERLINK("https://klasma.github.io/Logging_1485/klagomålsmail/A 16882-2026 FSC-klagomål mail.docx", "A 16882-2026")</f>
        <v/>
      </c>
      <c r="AC22">
        <f>HYPERLINK("https://klasma.github.io/Logging_1485/tillsyn/A 16882-2026 tillsynsbegäran.docx", "A 16882-2026")</f>
        <v/>
      </c>
      <c r="AD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46224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16863-2025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45754</v>
      </c>
      <c r="E24" s="1" t="n">
        <v>46224</v>
      </c>
      <c r="F24" t="inlineStr">
        <is>
          <t>VÄSTRA GÖTALANDS LÄN</t>
        </is>
      </c>
      <c r="G24" t="inlineStr">
        <is>
          <t>UDDEVALLA</t>
        </is>
      </c>
      <c r="I24" t="n">
        <v>15.3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Kambräken
Kopparödla</t>
        </is>
      </c>
      <c r="W24">
        <f>HYPERLINK("https://klasma.github.io/Logging_1485/artfynd/A 16863-2025 artfynd.xlsx", "A 16863-2025")</f>
        <v/>
      </c>
      <c r="X24">
        <f>HYPERLINK("https://klasma.github.io/Logging_1485/kartor/A 16863-2025 karta.png", "A 16863-2025")</f>
        <v/>
      </c>
      <c r="Y24">
        <f>HYPERLINK("https://klasma.github.io/Logging_1485/kartor_geotiff/A 16863-2025 georefererad karta.tif", "A 16863-2025")</f>
        <v/>
      </c>
      <c r="AA24">
        <f>HYPERLINK("https://klasma.github.io/Logging_1485/klagomål/A 16863-2025 FSC-klagomål.docx", "A 16863-2025")</f>
        <v/>
      </c>
      <c r="AB24">
        <f>HYPERLINK("https://klasma.github.io/Logging_1485/klagomålsmail/A 16863-2025 FSC-klagomål mail.docx", "A 16863-2025")</f>
        <v/>
      </c>
      <c r="AC24">
        <f>HYPERLINK("https://klasma.github.io/Logging_1485/tillsyn/A 16863-2025 tillsynsbegäran.docx", "A 16863-2025")</f>
        <v/>
      </c>
      <c r="AD24">
        <f>HYPERLINK("https://klasma.github.io/Logging_1485/tillsynsmail/A 16863-2025 tillsynsbegäran mail.docx", "A 16863-2025")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46224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46224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46224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46224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46224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46224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46224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23322-2025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46224</v>
      </c>
      <c r="F32" t="inlineStr">
        <is>
          <t>VÄSTRA GÖTALANDS LÄN</t>
        </is>
      </c>
      <c r="G32" t="inlineStr">
        <is>
          <t>UDDEVALLA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HYPERLINK("https://klasma.github.io/Logging_1485/artfynd/A 23322-2025 artfynd.xlsx", "A 23322-2025")</f>
        <v/>
      </c>
      <c r="X32">
        <f>HYPERLINK("https://klasma.github.io/Logging_1485/kartor/A 23322-2025 karta.png", "A 23322-2025")</f>
        <v/>
      </c>
      <c r="Y32">
        <f>HYPERLINK("https://klasma.github.io/Logging_1485/kartor_geotiff/A 23322-2025 georefererad karta.tif", "A 23322-2025")</f>
        <v/>
      </c>
      <c r="AA32">
        <f>HYPERLINK("https://klasma.github.io/Logging_1485/klagomål/A 23322-2025 FSC-klagomål.docx", "A 23322-2025")</f>
        <v/>
      </c>
      <c r="AB32">
        <f>HYPERLINK("https://klasma.github.io/Logging_1485/klagomålsmail/A 23322-2025 FSC-klagomål mail.docx", "A 23322-2025")</f>
        <v/>
      </c>
      <c r="AC32">
        <f>HYPERLINK("https://klasma.github.io/Logging_1485/tillsyn/A 23322-2025 tillsynsbegäran.docx", "A 23322-2025")</f>
        <v/>
      </c>
      <c r="AD32">
        <f>HYPERLINK("https://klasma.github.io/Logging_1485/tillsynsmail/A 23322-2025 tillsynsbegäran mail.docx", "A 23322-2025")</f>
        <v/>
      </c>
      <c r="AE32">
        <f>HYPERLINK("https://klasma.github.io/Logging_1485/fåglar/A 23322-2025 prioriterade fågelarter.docx", "A 23322-2025")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46224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46224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HYPERLINK("https://klasma.github.io/Logging_1485/artfynd/A 30954-2025 artfynd.xlsx", "A 30954-2025")</f>
        <v/>
      </c>
      <c r="X34">
        <f>HYPERLINK("https://klasma.github.io/Logging_1485/kartor/A 30954-2025 karta.png", "A 30954-2025")</f>
        <v/>
      </c>
      <c r="Y34">
        <f>HYPERLINK("https://klasma.github.io/Logging_1485/kartor_geotiff/A 30954-2025 georefererad karta.tif", "A 30954-2025")</f>
        <v/>
      </c>
      <c r="AA34">
        <f>HYPERLINK("https://klasma.github.io/Logging_1485/klagomål/A 30954-2025 FSC-klagomål.docx", "A 30954-2025")</f>
        <v/>
      </c>
      <c r="AB34">
        <f>HYPERLINK("https://klasma.github.io/Logging_1485/klagomålsmail/A 30954-2025 FSC-klagomål mail.docx", "A 30954-2025")</f>
        <v/>
      </c>
      <c r="AC34">
        <f>HYPERLINK("https://klasma.github.io/Logging_1485/tillsyn/A 30954-2025 tillsynsbegäran.docx", "A 30954-2025")</f>
        <v/>
      </c>
      <c r="AD34">
        <f>HYPERLINK("https://klasma.github.io/Logging_1485/tillsynsmail/A 30954-2025 tillsynsbegäran mail.docx", "A 30954-2025")</f>
        <v/>
      </c>
    </row>
    <row r="35" ht="15" customHeight="1">
      <c r="A35" t="inlineStr">
        <is>
          <t>A 22603-2023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45071</v>
      </c>
      <c r="E35" s="1" t="n">
        <v>46224</v>
      </c>
      <c r="F35" t="inlineStr">
        <is>
          <t>VÄSTRA GÖTALANDS LÄN</t>
        </is>
      </c>
      <c r="G35" t="inlineStr">
        <is>
          <t>UDDEVALLA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HYPERLINK("https://klasma.github.io/Logging_1485/artfynd/A 22603-2023 artfynd.xlsx", "A 22603-2023")</f>
        <v/>
      </c>
      <c r="X35">
        <f>HYPERLINK("https://klasma.github.io/Logging_1485/kartor/A 22603-2023 karta.png", "A 22603-2023")</f>
        <v/>
      </c>
      <c r="Y35">
        <f>HYPERLINK("https://klasma.github.io/Logging_1485/kartor_geotiff/A 22603-2023 georefererad karta.tif", "A 22603-2023")</f>
        <v/>
      </c>
      <c r="AA35">
        <f>HYPERLINK("https://klasma.github.io/Logging_1485/klagomål/A 22603-2023 FSC-klagomål.docx", "A 22603-2023")</f>
        <v/>
      </c>
      <c r="AB35">
        <f>HYPERLINK("https://klasma.github.io/Logging_1485/klagomålsmail/A 22603-2023 FSC-klagomål mail.docx", "A 22603-2023")</f>
        <v/>
      </c>
      <c r="AC35">
        <f>HYPERLINK("https://klasma.github.io/Logging_1485/tillsyn/A 22603-2023 tillsynsbegäran.docx", "A 22603-2023")</f>
        <v/>
      </c>
      <c r="AD35">
        <f>HYPERLINK("https://klasma.github.io/Logging_1485/tillsynsmail/A 22603-2023 tillsynsbegäran mail.docx", "A 22603-2023")</f>
        <v/>
      </c>
    </row>
    <row r="36" ht="15" customHeight="1">
      <c r="A36" t="inlineStr">
        <is>
          <t>A 236-2023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46224</v>
      </c>
      <c r="F36" t="inlineStr">
        <is>
          <t>VÄSTRA GÖTALANDS LÄN</t>
        </is>
      </c>
      <c r="G36" t="inlineStr">
        <is>
          <t>UDDEVALLA</t>
        </is>
      </c>
      <c r="I36" t="n">
        <v>16.7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Rödgul trumpetsvamp</t>
        </is>
      </c>
      <c r="W36">
        <f>HYPERLINK("https://klasma.github.io/Logging_1485/artfynd/A 236-2023 artfynd.xlsx", "A 236-2023")</f>
        <v/>
      </c>
      <c r="X36">
        <f>HYPERLINK("https://klasma.github.io/Logging_1485/kartor/A 236-2023 karta.png", "A 236-2023")</f>
        <v/>
      </c>
      <c r="Y36">
        <f>HYPERLINK("https://klasma.github.io/Logging_1485/kartor_geotiff/A 236-2023 georefererad karta.tif", "A 236-2023")</f>
        <v/>
      </c>
      <c r="AA36">
        <f>HYPERLINK("https://klasma.github.io/Logging_1485/klagomål/A 236-2023 FSC-klagomål.docx", "A 236-2023")</f>
        <v/>
      </c>
      <c r="AB36">
        <f>HYPERLINK("https://klasma.github.io/Logging_1485/klagomålsmail/A 236-2023 FSC-klagomål mail.docx", "A 236-2023")</f>
        <v/>
      </c>
      <c r="AC36">
        <f>HYPERLINK("https://klasma.github.io/Logging_1485/tillsyn/A 236-2023 tillsynsbegäran.docx", "A 236-2023")</f>
        <v/>
      </c>
      <c r="AD36">
        <f>HYPERLINK("https://klasma.github.io/Logging_1485/tillsynsmail/A 236-2023 tillsynsbegäran mail.docx", "A 236-2023")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46224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10865-2022 artfynd.xlsx", "A 10865-2022")</f>
        <v/>
      </c>
      <c r="X37">
        <f>HYPERLINK("https://klasma.github.io/Logging_1485/kartor/A 10865-2022 karta.png", "A 10865-2022")</f>
        <v/>
      </c>
      <c r="Y37">
        <f>HYPERLINK("https://klasma.github.io/Logging_1485/kartor_geotiff/A 10865-2022 georefererad karta.tif", "A 10865-2022")</f>
        <v/>
      </c>
      <c r="AA37">
        <f>HYPERLINK("https://klasma.github.io/Logging_1485/klagomål/A 10865-2022 FSC-klagomål.docx", "A 10865-2022")</f>
        <v/>
      </c>
      <c r="AB37">
        <f>HYPERLINK("https://klasma.github.io/Logging_1485/klagomålsmail/A 10865-2022 FSC-klagomål mail.docx", "A 10865-2022")</f>
        <v/>
      </c>
      <c r="AC37">
        <f>HYPERLINK("https://klasma.github.io/Logging_1485/tillsyn/A 10865-2022 tillsynsbegäran.docx", "A 10865-2022")</f>
        <v/>
      </c>
      <c r="AD37">
        <f>HYPERLINK("https://klasma.github.io/Logging_1485/tillsynsmail/A 10865-2022 tillsynsbegäran mail.docx", "A 10865-2022")</f>
        <v/>
      </c>
    </row>
    <row r="38" ht="15" customHeight="1">
      <c r="A38" t="inlineStr">
        <is>
          <t>A 55288-2023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45237</v>
      </c>
      <c r="E38" s="1" t="n">
        <v>46224</v>
      </c>
      <c r="F38" t="inlineStr">
        <is>
          <t>VÄSTRA GÖTALANDS LÄN</t>
        </is>
      </c>
      <c r="G38" t="inlineStr">
        <is>
          <t>UDDEVALLA</t>
        </is>
      </c>
      <c r="I38" t="n">
        <v>5.2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55288-2023 artfynd.xlsx", "A 55288-2023")</f>
        <v/>
      </c>
      <c r="X38">
        <f>HYPERLINK("https://klasma.github.io/Logging_1485/kartor/A 55288-2023 karta.png", "A 55288-2023")</f>
        <v/>
      </c>
      <c r="Y38">
        <f>HYPERLINK("https://klasma.github.io/Logging_1485/kartor_geotiff/A 55288-2023 georefererad karta.tif", "A 55288-2023")</f>
        <v/>
      </c>
      <c r="AA38">
        <f>HYPERLINK("https://klasma.github.io/Logging_1485/klagomål/A 55288-2023 FSC-klagomål.docx", "A 55288-2023")</f>
        <v/>
      </c>
      <c r="AB38">
        <f>HYPERLINK("https://klasma.github.io/Logging_1485/klagomålsmail/A 55288-2023 FSC-klagomål mail.docx", "A 55288-2023")</f>
        <v/>
      </c>
      <c r="AC38">
        <f>HYPERLINK("https://klasma.github.io/Logging_1485/tillsyn/A 55288-2023 tillsynsbegäran.docx", "A 55288-2023")</f>
        <v/>
      </c>
      <c r="AD38">
        <f>HYPERLINK("https://klasma.github.io/Logging_1485/tillsynsmail/A 55288-2023 tillsynsbegäran mail.docx", "A 55288-2023")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46224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9424-2026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46224</v>
      </c>
      <c r="F40" t="inlineStr">
        <is>
          <t>VÄSTRA GÖTALANDS LÄN</t>
        </is>
      </c>
      <c r="G40" t="inlineStr">
        <is>
          <t>UDDEVALLA</t>
        </is>
      </c>
      <c r="I40" t="n">
        <v>4.3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Flotagräs</t>
        </is>
      </c>
      <c r="W40">
        <f>HYPERLINK("https://klasma.github.io/Logging_1485/artfynd/A 9424-2026 artfynd.xlsx", "A 9424-2026")</f>
        <v/>
      </c>
      <c r="X40">
        <f>HYPERLINK("https://klasma.github.io/Logging_1485/kartor/A 9424-2026 karta.png", "A 9424-2026")</f>
        <v/>
      </c>
      <c r="Y40">
        <f>HYPERLINK("https://klasma.github.io/Logging_1485/kartor_geotiff/A 9424-2026 georefererad karta.tif", "A 9424-2026")</f>
        <v/>
      </c>
      <c r="AA40">
        <f>HYPERLINK("https://klasma.github.io/Logging_1485/klagomål/A 9424-2026 FSC-klagomål.docx", "A 9424-2026")</f>
        <v/>
      </c>
      <c r="AB40">
        <f>HYPERLINK("https://klasma.github.io/Logging_1485/klagomålsmail/A 9424-2026 FSC-klagomål mail.docx", "A 9424-2026")</f>
        <v/>
      </c>
      <c r="AC40">
        <f>HYPERLINK("https://klasma.github.io/Logging_1485/tillsyn/A 9424-2026 tillsynsbegäran.docx", "A 9424-2026")</f>
        <v/>
      </c>
      <c r="AD40">
        <f>HYPERLINK("https://klasma.github.io/Logging_1485/tillsynsmail/A 9424-2026 tillsynsbegäran mail.docx", "A 9424-2026")</f>
        <v/>
      </c>
    </row>
    <row r="41" ht="15" customHeight="1">
      <c r="A41" t="inlineStr">
        <is>
          <t>A 7770-2024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46224</v>
      </c>
      <c r="F41" t="inlineStr">
        <is>
          <t>VÄSTRA GÖTALANDS LÄN</t>
        </is>
      </c>
      <c r="G41" t="inlineStr">
        <is>
          <t>UDDEVALLA</t>
        </is>
      </c>
      <c r="H41" t="inlineStr">
        <is>
          <t>Kyrkan</t>
        </is>
      </c>
      <c r="I41" t="n">
        <v>6.2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HYPERLINK("https://klasma.github.io/Logging_1485/artfynd/A 7770-2024 artfynd.xlsx", "A 7770-2024")</f>
        <v/>
      </c>
      <c r="X41">
        <f>HYPERLINK("https://klasma.github.io/Logging_1485/kartor/A 7770-2024 karta.png", "A 7770-2024")</f>
        <v/>
      </c>
      <c r="Y41">
        <f>HYPERLINK("https://klasma.github.io/Logging_1485/kartor_geotiff/A 7770-2024 georefererad karta.tif", "A 7770-2024")</f>
        <v/>
      </c>
      <c r="AA41">
        <f>HYPERLINK("https://klasma.github.io/Logging_1485/klagomål/A 7770-2024 FSC-klagomål.docx", "A 7770-2024")</f>
        <v/>
      </c>
      <c r="AB41">
        <f>HYPERLINK("https://klasma.github.io/Logging_1485/klagomålsmail/A 7770-2024 FSC-klagomål mail.docx", "A 7770-2024")</f>
        <v/>
      </c>
      <c r="AC41">
        <f>HYPERLINK("https://klasma.github.io/Logging_1485/tillsyn/A 7770-2024 tillsynsbegäran.docx", "A 7770-2024")</f>
        <v/>
      </c>
      <c r="AD41">
        <f>HYPERLINK("https://klasma.github.io/Logging_1485/tillsynsmail/A 7770-2024 tillsynsbegäran mail.docx", "A 7770-2024")</f>
        <v/>
      </c>
    </row>
    <row r="42" ht="15" customHeight="1">
      <c r="A42" t="inlineStr">
        <is>
          <t>A 34058-2023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45135</v>
      </c>
      <c r="E42" s="1" t="n">
        <v>46224</v>
      </c>
      <c r="F42" t="inlineStr">
        <is>
          <t>VÄSTRA GÖTALANDS LÄN</t>
        </is>
      </c>
      <c r="G42" t="inlineStr">
        <is>
          <t>UDDEVALLA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Lundvaxskivling</t>
        </is>
      </c>
      <c r="W42">
        <f>HYPERLINK("https://klasma.github.io/Logging_1485/artfynd/A 34058-2023 artfynd.xlsx", "A 34058-2023")</f>
        <v/>
      </c>
      <c r="X42">
        <f>HYPERLINK("https://klasma.github.io/Logging_1485/kartor/A 34058-2023 karta.png", "A 34058-2023")</f>
        <v/>
      </c>
      <c r="Y42">
        <f>HYPERLINK("https://klasma.github.io/Logging_1485/kartor_geotiff/A 34058-2023 georefererad karta.tif", "A 34058-2023")</f>
        <v/>
      </c>
      <c r="AA42">
        <f>HYPERLINK("https://klasma.github.io/Logging_1485/klagomål/A 34058-2023 FSC-klagomål.docx", "A 34058-2023")</f>
        <v/>
      </c>
      <c r="AB42">
        <f>HYPERLINK("https://klasma.github.io/Logging_1485/klagomålsmail/A 34058-2023 FSC-klagomål mail.docx", "A 34058-2023")</f>
        <v/>
      </c>
      <c r="AC42">
        <f>HYPERLINK("https://klasma.github.io/Logging_1485/tillsyn/A 34058-2023 tillsynsbegäran.docx", "A 34058-2023")</f>
        <v/>
      </c>
      <c r="AD42">
        <f>HYPERLINK("https://klasma.github.io/Logging_1485/tillsynsmail/A 34058-2023 tillsynsbegäran mail.docx", "A 34058-2023")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46224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46224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46224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46224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HYPERLINK("https://klasma.github.io/Logging_1485/artfynd/S 337-2024 artfynd.xlsx", "S 337-2024")</f>
        <v/>
      </c>
      <c r="X46">
        <f>HYPERLINK("https://klasma.github.io/Logging_1485/kartor/S 337-2024 karta.png", "S 337-2024")</f>
        <v/>
      </c>
      <c r="Y46">
        <f>HYPERLINK("https://klasma.github.io/Logging_1485/kartor_geotiff/S 337-2024 georefererad karta.tif", "S 337-2024")</f>
        <v/>
      </c>
      <c r="AA46">
        <f>HYPERLINK("https://klasma.github.io/Logging_1485/klagomål/S 337-2024 FSC-klagomål.docx", "S 337-2024")</f>
        <v/>
      </c>
      <c r="AB46">
        <f>HYPERLINK("https://klasma.github.io/Logging_1485/klagomålsmail/S 337-2024 FSC-klagomål mail.docx", "S 337-2024")</f>
        <v/>
      </c>
      <c r="AC46">
        <f>HYPERLINK("https://klasma.github.io/Logging_1485/tillsyn/S 337-2024 tillsynsbegäran.docx", "S 337-2024")</f>
        <v/>
      </c>
      <c r="AD46">
        <f>HYPERLINK("https://klasma.github.io/Logging_1485/tillsynsmail/S 337-2024 tillsynsbegäran mail.docx", "S 337-2024")</f>
        <v/>
      </c>
      <c r="AE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46224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46224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46224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46224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46224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46224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46224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46224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46224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46224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46224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46224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46224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46224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46224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46224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46224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46224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65457-2021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46224</v>
      </c>
      <c r="F65" t="inlineStr">
        <is>
          <t>VÄSTRA GÖTALANDS LÄN</t>
        </is>
      </c>
      <c r="G65" t="inlineStr">
        <is>
          <t>UDDEVALLA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46224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46224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46224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46224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46224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46224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46224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46224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46224</v>
      </c>
      <c r="F74" t="inlineStr">
        <is>
          <t>VÄSTRA GÖTALANDS LÄN</t>
        </is>
      </c>
      <c r="G74" t="inlineStr">
        <is>
          <t>UDDEVALLA</t>
        </is>
      </c>
      <c r="H74" t="inlineStr">
        <is>
          <t>Kyrkan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46224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46224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46224</v>
      </c>
      <c r="F77" t="inlineStr">
        <is>
          <t>VÄSTRA GÖTALANDS LÄN</t>
        </is>
      </c>
      <c r="G77" t="inlineStr">
        <is>
          <t>UDDEVALLA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70491-2021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46224</v>
      </c>
      <c r="F78" t="inlineStr">
        <is>
          <t>VÄSTRA GÖTALANDS LÄN</t>
        </is>
      </c>
      <c r="G78" t="inlineStr">
        <is>
          <t>UDDEVALLA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46224</v>
      </c>
      <c r="F79" t="inlineStr">
        <is>
          <t>VÄSTRA GÖTALANDS LÄN</t>
        </is>
      </c>
      <c r="G79" t="inlineStr">
        <is>
          <t>UDDEVALLA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46224</v>
      </c>
      <c r="F80" t="inlineStr">
        <is>
          <t>VÄSTRA GÖTALANDS LÄN</t>
        </is>
      </c>
      <c r="G80" t="inlineStr">
        <is>
          <t>UDDEVALLA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46224</v>
      </c>
      <c r="F81" t="inlineStr">
        <is>
          <t>VÄSTRA GÖTALANDS LÄN</t>
        </is>
      </c>
      <c r="G81" t="inlineStr">
        <is>
          <t>UDDEVALLA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46224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46224</v>
      </c>
      <c r="F83" t="inlineStr">
        <is>
          <t>VÄSTRA GÖTALANDS LÄN</t>
        </is>
      </c>
      <c r="G83" t="inlineStr">
        <is>
          <t>UDDEVALLA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46224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46224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46224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46224</v>
      </c>
      <c r="F87" t="inlineStr">
        <is>
          <t>VÄSTRA GÖTALANDS LÄN</t>
        </is>
      </c>
      <c r="G87" t="inlineStr">
        <is>
          <t>UDDEVALLA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44634</v>
      </c>
      <c r="E88" s="1" t="n">
        <v>46224</v>
      </c>
      <c r="F88" t="inlineStr">
        <is>
          <t>VÄSTRA GÖTALANDS LÄN</t>
        </is>
      </c>
      <c r="G88" t="inlineStr">
        <is>
          <t>UDDEVALLA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45740</v>
      </c>
      <c r="E89" s="1" t="n">
        <v>46224</v>
      </c>
      <c r="F89" t="inlineStr">
        <is>
          <t>VÄSTRA GÖTALANDS LÄN</t>
        </is>
      </c>
      <c r="G89" t="inlineStr">
        <is>
          <t>UDDEVALLA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46224</v>
      </c>
      <c r="F90" t="inlineStr">
        <is>
          <t>VÄSTRA GÖTALANDS LÄN</t>
        </is>
      </c>
      <c r="G90" t="inlineStr">
        <is>
          <t>UDDEVALLA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46224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46224</v>
      </c>
      <c r="F92" t="inlineStr">
        <is>
          <t>VÄSTRA GÖTALANDS LÄN</t>
        </is>
      </c>
      <c r="G92" t="inlineStr">
        <is>
          <t>UDDEVALLA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46224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73437-2021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46224</v>
      </c>
      <c r="F94" t="inlineStr">
        <is>
          <t>VÄSTRA GÖTALANDS LÄN</t>
        </is>
      </c>
      <c r="G94" t="inlineStr">
        <is>
          <t>UDDEVALLA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46224</v>
      </c>
      <c r="F95" t="inlineStr">
        <is>
          <t>VÄSTRA GÖTALANDS LÄN</t>
        </is>
      </c>
      <c r="G95" t="inlineStr">
        <is>
          <t>UDDEVALLA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46224</v>
      </c>
      <c r="F96" t="inlineStr">
        <is>
          <t>VÄSTRA GÖTALANDS LÄN</t>
        </is>
      </c>
      <c r="G96" t="inlineStr">
        <is>
          <t>UDDEVALLA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46224</v>
      </c>
      <c r="F97" t="inlineStr">
        <is>
          <t>VÄSTRA GÖTALANDS LÄN</t>
        </is>
      </c>
      <c r="G97" t="inlineStr">
        <is>
          <t>UDDEVALLA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46224</v>
      </c>
      <c r="F98" t="inlineStr">
        <is>
          <t>VÄSTRA GÖTALANDS LÄN</t>
        </is>
      </c>
      <c r="G98" t="inlineStr">
        <is>
          <t>UDDEVALLA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4639-2022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44592</v>
      </c>
      <c r="E99" s="1" t="n">
        <v>46224</v>
      </c>
      <c r="F99" t="inlineStr">
        <is>
          <t>VÄSTRA GÖTALANDS LÄN</t>
        </is>
      </c>
      <c r="G99" t="inlineStr">
        <is>
          <t>UDDEVALLA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46224</v>
      </c>
      <c r="F100" t="inlineStr">
        <is>
          <t>VÄSTRA GÖTALANDS LÄN</t>
        </is>
      </c>
      <c r="G100" t="inlineStr">
        <is>
          <t>UDDEVALLA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46224</v>
      </c>
      <c r="F101" t="inlineStr">
        <is>
          <t>VÄSTRA GÖTALANDS LÄN</t>
        </is>
      </c>
      <c r="G101" t="inlineStr">
        <is>
          <t>UDDEVALLA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45426</v>
      </c>
      <c r="E102" s="1" t="n">
        <v>46224</v>
      </c>
      <c r="F102" t="inlineStr">
        <is>
          <t>VÄSTRA GÖTALANDS LÄN</t>
        </is>
      </c>
      <c r="G102" t="inlineStr">
        <is>
          <t>UDDEVALLA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46224</v>
      </c>
      <c r="F103" t="inlineStr">
        <is>
          <t>VÄSTRA GÖTALANDS LÄN</t>
        </is>
      </c>
      <c r="G103" t="inlineStr">
        <is>
          <t>UDDEVALLA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41576-2025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46224</v>
      </c>
      <c r="F104" t="inlineStr">
        <is>
          <t>VÄSTRA GÖTALANDS LÄN</t>
        </is>
      </c>
      <c r="G104" t="inlineStr">
        <is>
          <t>UDDEVALLA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46224</v>
      </c>
      <c r="F105" t="inlineStr">
        <is>
          <t>VÄSTRA GÖTALANDS LÄN</t>
        </is>
      </c>
      <c r="G105" t="inlineStr">
        <is>
          <t>UDDEVALLA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45722</v>
      </c>
      <c r="E106" s="1" t="n">
        <v>46224</v>
      </c>
      <c r="F106" t="inlineStr">
        <is>
          <t>VÄSTRA GÖTALANDS LÄN</t>
        </is>
      </c>
      <c r="G106" t="inlineStr">
        <is>
          <t>UDDEVALLA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45551</v>
      </c>
      <c r="E107" s="1" t="n">
        <v>46224</v>
      </c>
      <c r="F107" t="inlineStr">
        <is>
          <t>VÄSTRA GÖTALANDS LÄN</t>
        </is>
      </c>
      <c r="G107" t="inlineStr">
        <is>
          <t>UDDEVALLA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46224</v>
      </c>
      <c r="F108" t="inlineStr">
        <is>
          <t>VÄSTRA GÖTALANDS LÄN</t>
        </is>
      </c>
      <c r="G108" t="inlineStr">
        <is>
          <t>UDDEVALLA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46224</v>
      </c>
      <c r="F109" t="inlineStr">
        <is>
          <t>VÄSTRA GÖTALANDS LÄN</t>
        </is>
      </c>
      <c r="G109" t="inlineStr">
        <is>
          <t>UDDEVALLA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46224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46224</v>
      </c>
      <c r="F111" t="inlineStr">
        <is>
          <t>VÄSTRA GÖTALANDS LÄN</t>
        </is>
      </c>
      <c r="G111" t="inlineStr">
        <is>
          <t>UDDEVALLA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46224</v>
      </c>
      <c r="F112" t="inlineStr">
        <is>
          <t>VÄSTRA GÖTALANDS LÄN</t>
        </is>
      </c>
      <c r="G112" t="inlineStr">
        <is>
          <t>UDDEVALLA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45723</v>
      </c>
      <c r="E113" s="1" t="n">
        <v>46224</v>
      </c>
      <c r="F113" t="inlineStr">
        <is>
          <t>VÄSTRA GÖTALANDS LÄN</t>
        </is>
      </c>
      <c r="G113" t="inlineStr">
        <is>
          <t>UDDEVALLA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44133-2024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45572</v>
      </c>
      <c r="E114" s="1" t="n">
        <v>46224</v>
      </c>
      <c r="F114" t="inlineStr">
        <is>
          <t>VÄSTRA GÖTALANDS LÄN</t>
        </is>
      </c>
      <c r="G114" t="inlineStr">
        <is>
          <t>UDDEVALLA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46224</v>
      </c>
      <c r="F115" t="inlineStr">
        <is>
          <t>VÄSTRA GÖTALANDS LÄN</t>
        </is>
      </c>
      <c r="G115" t="inlineStr">
        <is>
          <t>UDDEVALLA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45914</v>
      </c>
      <c r="E116" s="1" t="n">
        <v>46224</v>
      </c>
      <c r="F116" t="inlineStr">
        <is>
          <t>VÄSTRA GÖTALANDS LÄN</t>
        </is>
      </c>
      <c r="G116" t="inlineStr">
        <is>
          <t>UDDEVALLA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46224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46224</v>
      </c>
      <c r="F118" t="inlineStr">
        <is>
          <t>VÄSTRA GÖTALANDS LÄN</t>
        </is>
      </c>
      <c r="G118" t="inlineStr">
        <is>
          <t>UDDEVALLA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46224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45594</v>
      </c>
      <c r="E120" s="1" t="n">
        <v>46224</v>
      </c>
      <c r="F120" t="inlineStr">
        <is>
          <t>VÄSTRA GÖTALANDS LÄN</t>
        </is>
      </c>
      <c r="G120" t="inlineStr">
        <is>
          <t>UDDEVALLA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46224</v>
      </c>
      <c r="F121" t="inlineStr">
        <is>
          <t>VÄSTRA GÖTALANDS LÄN</t>
        </is>
      </c>
      <c r="G121" t="inlineStr">
        <is>
          <t>UDDEVALLA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46224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46224</v>
      </c>
      <c r="F123" t="inlineStr">
        <is>
          <t>VÄSTRA GÖTALANDS LÄN</t>
        </is>
      </c>
      <c r="G123" t="inlineStr">
        <is>
          <t>UDDEVALLA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46224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46224</v>
      </c>
      <c r="F125" t="inlineStr">
        <is>
          <t>VÄSTRA GÖTALANDS LÄN</t>
        </is>
      </c>
      <c r="G125" t="inlineStr">
        <is>
          <t>UDDEVALLA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46224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46224</v>
      </c>
      <c r="F127" t="inlineStr">
        <is>
          <t>VÄSTRA GÖTALANDS LÄN</t>
        </is>
      </c>
      <c r="G127" t="inlineStr">
        <is>
          <t>UDDEVALLA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58958-2021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44489</v>
      </c>
      <c r="E128" s="1" t="n">
        <v>46224</v>
      </c>
      <c r="F128" t="inlineStr">
        <is>
          <t>VÄSTRA GÖTALANDS LÄN</t>
        </is>
      </c>
      <c r="G128" t="inlineStr">
        <is>
          <t>UDDEVALLA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46224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46224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46224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46224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46224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46224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46224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46224</v>
      </c>
      <c r="F136" t="inlineStr">
        <is>
          <t>VÄSTRA GÖTALANDS LÄN</t>
        </is>
      </c>
      <c r="G136" t="inlineStr">
        <is>
          <t>UDDEVALLA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60241-2024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45642</v>
      </c>
      <c r="E137" s="1" t="n">
        <v>46224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46224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46224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45843</v>
      </c>
      <c r="E140" s="1" t="n">
        <v>46224</v>
      </c>
      <c r="F140" t="inlineStr">
        <is>
          <t>VÄSTRA GÖTALANDS LÄN</t>
        </is>
      </c>
      <c r="G140" t="inlineStr">
        <is>
          <t>UDDEVALLA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46026</v>
      </c>
      <c r="E141" s="1" t="n">
        <v>46224</v>
      </c>
      <c r="F141" t="inlineStr">
        <is>
          <t>VÄSTRA GÖTALANDS LÄN</t>
        </is>
      </c>
      <c r="G141" t="inlineStr">
        <is>
          <t>UDDEVALLA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46027</v>
      </c>
      <c r="E142" s="1" t="n">
        <v>46224</v>
      </c>
      <c r="F142" t="inlineStr">
        <is>
          <t>VÄSTRA GÖTALANDS LÄN</t>
        </is>
      </c>
      <c r="G142" t="inlineStr">
        <is>
          <t>UDDEVALLA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46224</v>
      </c>
      <c r="F143" t="inlineStr">
        <is>
          <t>VÄSTRA GÖTALANDS LÄN</t>
        </is>
      </c>
      <c r="G143" t="inlineStr">
        <is>
          <t>UDDEVALLA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45847</v>
      </c>
      <c r="E144" s="1" t="n">
        <v>46224</v>
      </c>
      <c r="F144" t="inlineStr">
        <is>
          <t>VÄSTRA GÖTALANDS LÄN</t>
        </is>
      </c>
      <c r="G144" t="inlineStr">
        <is>
          <t>UDDEVALLA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46224</v>
      </c>
      <c r="F145" t="inlineStr">
        <is>
          <t>VÄSTRA GÖTALANDS LÄN</t>
        </is>
      </c>
      <c r="G145" t="inlineStr">
        <is>
          <t>UDDEVALLA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45772</v>
      </c>
      <c r="E146" s="1" t="n">
        <v>46224</v>
      </c>
      <c r="F146" t="inlineStr">
        <is>
          <t>VÄSTRA GÖTALANDS LÄN</t>
        </is>
      </c>
      <c r="G146" t="inlineStr">
        <is>
          <t>UDDEVALLA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46224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46224</v>
      </c>
      <c r="F148" t="inlineStr">
        <is>
          <t>VÄSTRA GÖTALANDS LÄN</t>
        </is>
      </c>
      <c r="G148" t="inlineStr">
        <is>
          <t>UDDEVALLA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46224</v>
      </c>
      <c r="F149" t="inlineStr">
        <is>
          <t>VÄSTRA GÖTALANDS LÄN</t>
        </is>
      </c>
      <c r="G149" t="inlineStr">
        <is>
          <t>UDDEVALLA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46224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45950</v>
      </c>
      <c r="E151" s="1" t="n">
        <v>46224</v>
      </c>
      <c r="F151" t="inlineStr">
        <is>
          <t>VÄSTRA GÖTALANDS LÄN</t>
        </is>
      </c>
      <c r="G151" t="inlineStr">
        <is>
          <t>UDDEVALLA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46224</v>
      </c>
      <c r="F152" t="inlineStr">
        <is>
          <t>VÄSTRA GÖTALANDS LÄN</t>
        </is>
      </c>
      <c r="G152" t="inlineStr">
        <is>
          <t>UDDEVALLA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44508</v>
      </c>
      <c r="E153" s="1" t="n">
        <v>46224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46224</v>
      </c>
      <c r="F154" t="inlineStr">
        <is>
          <t>VÄSTRA GÖTALANDS LÄN</t>
        </is>
      </c>
      <c r="G154" t="inlineStr">
        <is>
          <t>UDDEVALLA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46224</v>
      </c>
      <c r="F155" t="inlineStr">
        <is>
          <t>VÄSTRA GÖTALANDS LÄN</t>
        </is>
      </c>
      <c r="G155" t="inlineStr">
        <is>
          <t>UDDEVALLA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40037-2021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44418</v>
      </c>
      <c r="E156" s="1" t="n">
        <v>46224</v>
      </c>
      <c r="F156" t="inlineStr">
        <is>
          <t>VÄSTRA GÖTALANDS LÄN</t>
        </is>
      </c>
      <c r="G156" t="inlineStr">
        <is>
          <t>UDDEVALLA</t>
        </is>
      </c>
      <c r="I156" t="n">
        <v>10.3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36236-2023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45150</v>
      </c>
      <c r="E157" s="1" t="n">
        <v>46224</v>
      </c>
      <c r="F157" t="inlineStr">
        <is>
          <t>VÄSTRA GÖTALANDS LÄN</t>
        </is>
      </c>
      <c r="G157" t="inlineStr">
        <is>
          <t>UDDEVALLA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46224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46224</v>
      </c>
      <c r="F159" t="inlineStr">
        <is>
          <t>VÄSTRA GÖTALANDS LÄN</t>
        </is>
      </c>
      <c r="G159" t="inlineStr">
        <is>
          <t>UDDEVALLA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45672</v>
      </c>
      <c r="E160" s="1" t="n">
        <v>46224</v>
      </c>
      <c r="F160" t="inlineStr">
        <is>
          <t>VÄSTRA GÖTALANDS LÄN</t>
        </is>
      </c>
      <c r="G160" t="inlineStr">
        <is>
          <t>UDDEVALLA</t>
        </is>
      </c>
      <c r="I160" t="n">
        <v>14.1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46224</v>
      </c>
      <c r="F161" t="inlineStr">
        <is>
          <t>VÄSTRA GÖTALANDS LÄN</t>
        </is>
      </c>
      <c r="G161" t="inlineStr">
        <is>
          <t>UDDEVALLA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45882</v>
      </c>
      <c r="E162" s="1" t="n">
        <v>46224</v>
      </c>
      <c r="F162" t="inlineStr">
        <is>
          <t>VÄSTRA GÖTALANDS LÄN</t>
        </is>
      </c>
      <c r="G162" t="inlineStr">
        <is>
          <t>UDDEVALLA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46224</v>
      </c>
      <c r="F163" t="inlineStr">
        <is>
          <t>VÄSTRA GÖTALANDS LÄN</t>
        </is>
      </c>
      <c r="G163" t="inlineStr">
        <is>
          <t>UDDEVALLA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46224</v>
      </c>
      <c r="F164" t="inlineStr">
        <is>
          <t>VÄSTRA GÖTALANDS LÄN</t>
        </is>
      </c>
      <c r="G164" t="inlineStr">
        <is>
          <t>UDDEVALLA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46224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46036</v>
      </c>
      <c r="E166" s="1" t="n">
        <v>46224</v>
      </c>
      <c r="F166" t="inlineStr">
        <is>
          <t>VÄSTRA GÖTALANDS LÄN</t>
        </is>
      </c>
      <c r="G166" t="inlineStr">
        <is>
          <t>UDDEVALLA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46224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46224</v>
      </c>
      <c r="F168" t="inlineStr">
        <is>
          <t>VÄSTRA GÖTALANDS LÄN</t>
        </is>
      </c>
      <c r="G168" t="inlineStr">
        <is>
          <t>UDDEVALLA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46036</v>
      </c>
      <c r="E169" s="1" t="n">
        <v>46224</v>
      </c>
      <c r="F169" t="inlineStr">
        <is>
          <t>VÄSTRA GÖTALANDS LÄN</t>
        </is>
      </c>
      <c r="G169" t="inlineStr">
        <is>
          <t>UDDEVALLA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46036</v>
      </c>
      <c r="E170" s="1" t="n">
        <v>46224</v>
      </c>
      <c r="F170" t="inlineStr">
        <is>
          <t>VÄSTRA GÖTALANDS LÄN</t>
        </is>
      </c>
      <c r="G170" t="inlineStr">
        <is>
          <t>UDDEVALLA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46224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46224</v>
      </c>
      <c r="F172" t="inlineStr">
        <is>
          <t>VÄSTRA GÖTALANDS LÄN</t>
        </is>
      </c>
      <c r="G172" t="inlineStr">
        <is>
          <t>UDDEVALLA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46224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46224</v>
      </c>
      <c r="F174" t="inlineStr">
        <is>
          <t>VÄSTRA GÖTALANDS LÄN</t>
        </is>
      </c>
      <c r="G174" t="inlineStr">
        <is>
          <t>UDDEVALLA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45560</v>
      </c>
      <c r="E175" s="1" t="n">
        <v>46224</v>
      </c>
      <c r="F175" t="inlineStr">
        <is>
          <t>VÄSTRA GÖTALANDS LÄN</t>
        </is>
      </c>
      <c r="G175" t="inlineStr">
        <is>
          <t>UDDEVALLA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46224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45992</v>
      </c>
      <c r="E177" s="1" t="n">
        <v>46224</v>
      </c>
      <c r="F177" t="inlineStr">
        <is>
          <t>VÄSTRA GÖTALANDS LÄN</t>
        </is>
      </c>
      <c r="G177" t="inlineStr">
        <is>
          <t>UDDEVALLA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46224</v>
      </c>
      <c r="F178" t="inlineStr">
        <is>
          <t>VÄSTRA GÖTALANDS LÄN</t>
        </is>
      </c>
      <c r="G178" t="inlineStr">
        <is>
          <t>UDDEVALLA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44715</v>
      </c>
      <c r="E179" s="1" t="n">
        <v>46224</v>
      </c>
      <c r="F179" t="inlineStr">
        <is>
          <t>VÄSTRA GÖTALANDS LÄN</t>
        </is>
      </c>
      <c r="G179" t="inlineStr">
        <is>
          <t>UDDEVALLA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46224</v>
      </c>
      <c r="F180" t="inlineStr">
        <is>
          <t>VÄSTRA GÖTALANDS LÄN</t>
        </is>
      </c>
      <c r="G180" t="inlineStr">
        <is>
          <t>UDDEVALLA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46224</v>
      </c>
      <c r="F181" t="inlineStr">
        <is>
          <t>VÄSTRA GÖTALANDS LÄN</t>
        </is>
      </c>
      <c r="G181" t="inlineStr">
        <is>
          <t>UDDEVALLA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46224</v>
      </c>
      <c r="F182" t="inlineStr">
        <is>
          <t>VÄSTRA GÖTALANDS LÄN</t>
        </is>
      </c>
      <c r="G182" t="inlineStr">
        <is>
          <t>UDDEVALLA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46224</v>
      </c>
      <c r="F183" t="inlineStr">
        <is>
          <t>VÄSTRA GÖTALANDS LÄN</t>
        </is>
      </c>
      <c r="G183" t="inlineStr">
        <is>
          <t>UDDEVALLA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45580</v>
      </c>
      <c r="E184" s="1" t="n">
        <v>46224</v>
      </c>
      <c r="F184" t="inlineStr">
        <is>
          <t>VÄSTRA GÖTALANDS LÄN</t>
        </is>
      </c>
      <c r="G184" t="inlineStr">
        <is>
          <t>UDDEVALLA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46224</v>
      </c>
      <c r="F185" t="inlineStr">
        <is>
          <t>VÄSTRA GÖTALANDS LÄN</t>
        </is>
      </c>
      <c r="G185" t="inlineStr">
        <is>
          <t>UDDEVALLA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46224</v>
      </c>
      <c r="F186" t="inlineStr">
        <is>
          <t>VÄSTRA GÖTALANDS LÄN</t>
        </is>
      </c>
      <c r="G186" t="inlineStr">
        <is>
          <t>UDDEVALLA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46224</v>
      </c>
      <c r="F187" t="inlineStr">
        <is>
          <t>VÄSTRA GÖTALANDS LÄN</t>
        </is>
      </c>
      <c r="G187" t="inlineStr">
        <is>
          <t>UDDEVALLA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46224</v>
      </c>
      <c r="F188" t="inlineStr">
        <is>
          <t>VÄSTRA GÖTALANDS LÄN</t>
        </is>
      </c>
      <c r="G188" t="inlineStr">
        <is>
          <t>UDDEVALLA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46224</v>
      </c>
      <c r="F189" t="inlineStr">
        <is>
          <t>VÄSTRA GÖTALANDS LÄN</t>
        </is>
      </c>
      <c r="G189" t="inlineStr">
        <is>
          <t>UDDEVALLA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46224</v>
      </c>
      <c r="F190" t="inlineStr">
        <is>
          <t>VÄSTRA GÖTALANDS LÄN</t>
        </is>
      </c>
      <c r="G190" t="inlineStr">
        <is>
          <t>UDDEVALLA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46224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46224</v>
      </c>
      <c r="F192" t="inlineStr">
        <is>
          <t>VÄSTRA GÖTALANDS LÄN</t>
        </is>
      </c>
      <c r="G192" t="inlineStr">
        <is>
          <t>UDDEVALLA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46224</v>
      </c>
      <c r="F193" t="inlineStr">
        <is>
          <t>VÄSTRA GÖTALANDS LÄN</t>
        </is>
      </c>
      <c r="G193" t="inlineStr">
        <is>
          <t>UDDEVALLA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46071</v>
      </c>
      <c r="E194" s="1" t="n">
        <v>46224</v>
      </c>
      <c r="F194" t="inlineStr">
        <is>
          <t>VÄSTRA GÖTALANDS LÄN</t>
        </is>
      </c>
      <c r="G194" t="inlineStr">
        <is>
          <t>UDDEVALLA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17964-2022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46224</v>
      </c>
      <c r="F195" t="inlineStr">
        <is>
          <t>VÄSTRA GÖTALANDS LÄN</t>
        </is>
      </c>
      <c r="G195" t="inlineStr">
        <is>
          <t>UDDEVALLA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46224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10436-2026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46076</v>
      </c>
      <c r="E197" s="1" t="n">
        <v>46224</v>
      </c>
      <c r="F197" t="inlineStr">
        <is>
          <t>VÄSTRA GÖTALANDS LÄN</t>
        </is>
      </c>
      <c r="G197" t="inlineStr">
        <is>
          <t>UDDEVALLA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46224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46083</v>
      </c>
      <c r="E199" s="1" t="n">
        <v>46224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46224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46224</v>
      </c>
      <c r="F201" t="inlineStr">
        <is>
          <t>VÄSTRA GÖTALANDS LÄN</t>
        </is>
      </c>
      <c r="G201" t="inlineStr">
        <is>
          <t>UDDEVALLA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46224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46224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46224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46224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46224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46224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46224</v>
      </c>
      <c r="F208" t="inlineStr">
        <is>
          <t>VÄSTRA GÖTALANDS LÄN</t>
        </is>
      </c>
      <c r="G208" t="inlineStr">
        <is>
          <t>UDDEVALLA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46224</v>
      </c>
      <c r="F209" t="inlineStr">
        <is>
          <t>VÄSTRA GÖTALANDS LÄN</t>
        </is>
      </c>
      <c r="G209" t="inlineStr">
        <is>
          <t>UDDEVALLA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46224</v>
      </c>
      <c r="F210" t="inlineStr">
        <is>
          <t>VÄSTRA GÖTALANDS LÄN</t>
        </is>
      </c>
      <c r="G210" t="inlineStr">
        <is>
          <t>UDDEVALLA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46224</v>
      </c>
      <c r="F211" t="inlineStr">
        <is>
          <t>VÄSTRA GÖTALANDS LÄN</t>
        </is>
      </c>
      <c r="G211" t="inlineStr">
        <is>
          <t>UDDEVALLA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46224</v>
      </c>
      <c r="F212" t="inlineStr">
        <is>
          <t>VÄSTRA GÖTALANDS LÄN</t>
        </is>
      </c>
      <c r="G212" t="inlineStr">
        <is>
          <t>UDDEVALLA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46224</v>
      </c>
      <c r="F213" t="inlineStr">
        <is>
          <t>VÄSTRA GÖTALANDS LÄN</t>
        </is>
      </c>
      <c r="G213" t="inlineStr">
        <is>
          <t>UDDEVALLA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46224</v>
      </c>
      <c r="F214" t="inlineStr">
        <is>
          <t>VÄSTRA GÖTALANDS LÄN</t>
        </is>
      </c>
      <c r="G214" t="inlineStr">
        <is>
          <t>UDDEVALLA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46224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46224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46224</v>
      </c>
      <c r="F217" t="inlineStr">
        <is>
          <t>VÄSTRA GÖTALANDS LÄN</t>
        </is>
      </c>
      <c r="G217" t="inlineStr">
        <is>
          <t>UDDEVALLA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45374</v>
      </c>
      <c r="E218" s="1" t="n">
        <v>46224</v>
      </c>
      <c r="F218" t="inlineStr">
        <is>
          <t>VÄSTRA GÖTALANDS LÄN</t>
        </is>
      </c>
      <c r="G218" t="inlineStr">
        <is>
          <t>UDDEVALLA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44928</v>
      </c>
      <c r="E219" s="1" t="n">
        <v>46224</v>
      </c>
      <c r="F219" t="inlineStr">
        <is>
          <t>VÄSTRA GÖTALANDS LÄN</t>
        </is>
      </c>
      <c r="G219" t="inlineStr">
        <is>
          <t>UDDEVALLA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46224</v>
      </c>
      <c r="F220" t="inlineStr">
        <is>
          <t>VÄSTRA GÖTALANDS LÄN</t>
        </is>
      </c>
      <c r="G220" t="inlineStr">
        <is>
          <t>UDDEVALLA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46224</v>
      </c>
      <c r="F221" t="inlineStr">
        <is>
          <t>VÄSTRA GÖTALANDS LÄN</t>
        </is>
      </c>
      <c r="G221" t="inlineStr">
        <is>
          <t>UDDEVALLA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46120</v>
      </c>
      <c r="E222" s="1" t="n">
        <v>46224</v>
      </c>
      <c r="F222" t="inlineStr">
        <is>
          <t>VÄSTRA GÖTALANDS LÄN</t>
        </is>
      </c>
      <c r="G222" t="inlineStr">
        <is>
          <t>UDDEVALLA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44813</v>
      </c>
      <c r="E223" s="1" t="n">
        <v>46224</v>
      </c>
      <c r="F223" t="inlineStr">
        <is>
          <t>VÄSTRA GÖTALANDS LÄN</t>
        </is>
      </c>
      <c r="G223" t="inlineStr">
        <is>
          <t>UDDEVALLA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45021</v>
      </c>
      <c r="E224" s="1" t="n">
        <v>46224</v>
      </c>
      <c r="F224" t="inlineStr">
        <is>
          <t>VÄSTRA GÖTALANDS LÄN</t>
        </is>
      </c>
      <c r="G224" t="inlineStr">
        <is>
          <t>UDDEVALLA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17729-2026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46224</v>
      </c>
      <c r="F225" t="inlineStr">
        <is>
          <t>VÄSTRA GÖTALANDS LÄN</t>
        </is>
      </c>
      <c r="G225" t="inlineStr">
        <is>
          <t>UDDEVALLA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46125</v>
      </c>
      <c r="E226" s="1" t="n">
        <v>46224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Kommuner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45303</v>
      </c>
      <c r="E227" s="1" t="n">
        <v>46224</v>
      </c>
      <c r="F227" t="inlineStr">
        <is>
          <t>VÄSTRA GÖTALANDS LÄN</t>
        </is>
      </c>
      <c r="G227" t="inlineStr">
        <is>
          <t>UDDEVALLA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46224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18207-2026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46224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73437-2021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46224</v>
      </c>
      <c r="F230" t="inlineStr">
        <is>
          <t>VÄSTRA GÖTALANDS LÄN</t>
        </is>
      </c>
      <c r="G230" t="inlineStr">
        <is>
          <t>UDDEVALLA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46128</v>
      </c>
      <c r="E231" s="1" t="n">
        <v>46224</v>
      </c>
      <c r="F231" t="inlineStr">
        <is>
          <t>VÄSTRA GÖTALANDS LÄN</t>
        </is>
      </c>
      <c r="G231" t="inlineStr">
        <is>
          <t>UDDEVALLA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46224</v>
      </c>
      <c r="F232" t="inlineStr">
        <is>
          <t>VÄSTRA GÖTALANDS LÄN</t>
        </is>
      </c>
      <c r="G232" t="inlineStr">
        <is>
          <t>UDDEVALLA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44924</v>
      </c>
      <c r="E233" s="1" t="n">
        <v>46224</v>
      </c>
      <c r="F233" t="inlineStr">
        <is>
          <t>VÄSTRA GÖTALANDS LÄN</t>
        </is>
      </c>
      <c r="G233" t="inlineStr">
        <is>
          <t>UDDEVALLA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46224</v>
      </c>
      <c r="F234" t="inlineStr">
        <is>
          <t>VÄSTRA GÖTALANDS LÄN</t>
        </is>
      </c>
      <c r="G234" t="inlineStr">
        <is>
          <t>UDDEVALLA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46224</v>
      </c>
      <c r="F235" t="inlineStr">
        <is>
          <t>VÄSTRA GÖTALANDS LÄN</t>
        </is>
      </c>
      <c r="G235" t="inlineStr">
        <is>
          <t>UDDEVALLA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46224</v>
      </c>
      <c r="F236" t="inlineStr">
        <is>
          <t>VÄSTRA GÖTALANDS LÄN</t>
        </is>
      </c>
      <c r="G236" t="inlineStr">
        <is>
          <t>UDDEVALLA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46224</v>
      </c>
      <c r="F237" t="inlineStr">
        <is>
          <t>VÄSTRA GÖTALANDS LÄN</t>
        </is>
      </c>
      <c r="G237" t="inlineStr">
        <is>
          <t>UDDEVALLA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45907</v>
      </c>
      <c r="E238" s="1" t="n">
        <v>46224</v>
      </c>
      <c r="F238" t="inlineStr">
        <is>
          <t>VÄSTRA GÖTALANDS LÄN</t>
        </is>
      </c>
      <c r="G238" t="inlineStr">
        <is>
          <t>UDDEVALLA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45133</v>
      </c>
      <c r="E239" s="1" t="n">
        <v>46224</v>
      </c>
      <c r="F239" t="inlineStr">
        <is>
          <t>VÄSTRA GÖTALANDS LÄN</t>
        </is>
      </c>
      <c r="G239" t="inlineStr">
        <is>
          <t>UDDEVALLA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46224</v>
      </c>
      <c r="F240" t="inlineStr">
        <is>
          <t>VÄSTRA GÖTALANDS LÄN</t>
        </is>
      </c>
      <c r="G240" t="inlineStr">
        <is>
          <t>UDDEVALLA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45355</v>
      </c>
      <c r="E241" s="1" t="n">
        <v>46224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46119</v>
      </c>
      <c r="E242" s="1" t="n">
        <v>46224</v>
      </c>
      <c r="F242" t="inlineStr">
        <is>
          <t>VÄSTRA GÖTALANDS LÄN</t>
        </is>
      </c>
      <c r="G242" t="inlineStr">
        <is>
          <t>UDDEVALLA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45656</v>
      </c>
      <c r="E243" s="1" t="n">
        <v>46224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Kommuner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46224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44578</v>
      </c>
      <c r="E245" s="1" t="n">
        <v>46224</v>
      </c>
      <c r="F245" t="inlineStr">
        <is>
          <t>VÄSTRA GÖTALANDS LÄN</t>
        </is>
      </c>
      <c r="G245" t="inlineStr">
        <is>
          <t>UDDEVALLA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46224</v>
      </c>
      <c r="F246" t="inlineStr">
        <is>
          <t>VÄSTRA GÖTALANDS LÄN</t>
        </is>
      </c>
      <c r="G246" t="inlineStr">
        <is>
          <t>UDDEVALLA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1147-2024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45302</v>
      </c>
      <c r="E247" s="1" t="n">
        <v>46224</v>
      </c>
      <c r="F247" t="inlineStr">
        <is>
          <t>VÄSTRA GÖTALANDS LÄN</t>
        </is>
      </c>
      <c r="G247" t="inlineStr">
        <is>
          <t>UDDEVALLA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46224</v>
      </c>
      <c r="F248" t="inlineStr">
        <is>
          <t>VÄSTRA GÖTALANDS LÄN</t>
        </is>
      </c>
      <c r="G248" t="inlineStr">
        <is>
          <t>UDDEVALLA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46224</v>
      </c>
      <c r="F249" t="inlineStr">
        <is>
          <t>VÄSTRA GÖTALANDS LÄN</t>
        </is>
      </c>
      <c r="G249" t="inlineStr">
        <is>
          <t>UDDEVALLA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46224</v>
      </c>
      <c r="F250" t="inlineStr">
        <is>
          <t>VÄSTRA GÖTALANDS LÄN</t>
        </is>
      </c>
      <c r="G250" t="inlineStr">
        <is>
          <t>UDDEVALLA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45097</v>
      </c>
      <c r="E251" s="1" t="n">
        <v>46224</v>
      </c>
      <c r="F251" t="inlineStr">
        <is>
          <t>VÄSTRA GÖTALANDS LÄN</t>
        </is>
      </c>
      <c r="G251" t="inlineStr">
        <is>
          <t>UDDEVALLA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46224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20401-2026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46139</v>
      </c>
      <c r="E253" s="1" t="n">
        <v>46224</v>
      </c>
      <c r="F253" t="inlineStr">
        <is>
          <t>VÄSTRA GÖTALANDS LÄN</t>
        </is>
      </c>
      <c r="G253" t="inlineStr">
        <is>
          <t>UDDEVALLA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46224</v>
      </c>
      <c r="F254" t="inlineStr">
        <is>
          <t>VÄSTRA GÖTALANDS LÄN</t>
        </is>
      </c>
      <c r="G254" t="inlineStr">
        <is>
          <t>UDDEVALLA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46224</v>
      </c>
      <c r="F255" t="inlineStr">
        <is>
          <t>VÄSTRA GÖTALANDS LÄN</t>
        </is>
      </c>
      <c r="G255" t="inlineStr">
        <is>
          <t>UDDEVALLA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46224</v>
      </c>
      <c r="F256" t="inlineStr">
        <is>
          <t>VÄSTRA GÖTALANDS LÄN</t>
        </is>
      </c>
      <c r="G256" t="inlineStr">
        <is>
          <t>UDDEVALLA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46224</v>
      </c>
      <c r="F257" t="inlineStr">
        <is>
          <t>VÄSTRA GÖTALANDS LÄN</t>
        </is>
      </c>
      <c r="G257" t="inlineStr">
        <is>
          <t>UDDEVALLA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46224</v>
      </c>
      <c r="F258" t="inlineStr">
        <is>
          <t>VÄSTRA GÖTALANDS LÄN</t>
        </is>
      </c>
      <c r="G258" t="inlineStr">
        <is>
          <t>UDDEVALLA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73007-2021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44550</v>
      </c>
      <c r="E259" s="1" t="n">
        <v>46224</v>
      </c>
      <c r="F259" t="inlineStr">
        <is>
          <t>VÄSTRA GÖTALANDS LÄN</t>
        </is>
      </c>
      <c r="G259" t="inlineStr">
        <is>
          <t>UDDEVALLA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44956</v>
      </c>
      <c r="E260" s="1" t="n">
        <v>46224</v>
      </c>
      <c r="F260" t="inlineStr">
        <is>
          <t>VÄSTRA GÖTALANDS LÄN</t>
        </is>
      </c>
      <c r="G260" t="inlineStr">
        <is>
          <t>UDDEVALLA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46224</v>
      </c>
      <c r="F261" t="inlineStr">
        <is>
          <t>VÄSTRA GÖTALANDS LÄN</t>
        </is>
      </c>
      <c r="G261" t="inlineStr">
        <is>
          <t>UDDEVALLA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46224</v>
      </c>
      <c r="F262" t="inlineStr">
        <is>
          <t>VÄSTRA GÖTALANDS LÄN</t>
        </is>
      </c>
      <c r="G262" t="inlineStr">
        <is>
          <t>UDDEVALLA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46224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46147</v>
      </c>
      <c r="E264" s="1" t="n">
        <v>46224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46224</v>
      </c>
      <c r="F265" t="inlineStr">
        <is>
          <t>VÄSTRA GÖTALANDS LÄN</t>
        </is>
      </c>
      <c r="G265" t="inlineStr">
        <is>
          <t>UDDEVALLA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63878-2021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46224</v>
      </c>
      <c r="F266" t="inlineStr">
        <is>
          <t>VÄSTRA GÖTALANDS LÄN</t>
        </is>
      </c>
      <c r="G266" t="inlineStr">
        <is>
          <t>UDDEVALLA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22461-2026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46224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6875-2022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44602</v>
      </c>
      <c r="E268" s="1" t="n">
        <v>46224</v>
      </c>
      <c r="F268" t="inlineStr">
        <is>
          <t>VÄSTRA GÖTALANDS LÄN</t>
        </is>
      </c>
      <c r="G268" t="inlineStr">
        <is>
          <t>UDDEVALLA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46224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46224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46224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46224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46224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46224</v>
      </c>
      <c r="F274" t="inlineStr">
        <is>
          <t>VÄSTRA GÖTALANDS LÄN</t>
        </is>
      </c>
      <c r="G274" t="inlineStr">
        <is>
          <t>UDDEVALLA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17058-2025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45754</v>
      </c>
      <c r="E275" s="1" t="n">
        <v>46224</v>
      </c>
      <c r="F275" t="inlineStr">
        <is>
          <t>VÄSTRA GÖTALANDS LÄN</t>
        </is>
      </c>
      <c r="G275" t="inlineStr">
        <is>
          <t>UDDEVALLA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58625-2024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45635</v>
      </c>
      <c r="E276" s="1" t="n">
        <v>46224</v>
      </c>
      <c r="F276" t="inlineStr">
        <is>
          <t>VÄSTRA GÖTALANDS LÄN</t>
        </is>
      </c>
      <c r="G276" t="inlineStr">
        <is>
          <t>UDDEVALLA</t>
        </is>
      </c>
      <c r="I276" t="n">
        <v>14.9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46224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46224</v>
      </c>
      <c r="F278" t="inlineStr">
        <is>
          <t>VÄSTRA GÖTALANDS LÄN</t>
        </is>
      </c>
      <c r="G278" t="inlineStr">
        <is>
          <t>UDDEVALLA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46224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46224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Övriga statliga verk och myndigheter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46224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44655</v>
      </c>
      <c r="E282" s="1" t="n">
        <v>46224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46224</v>
      </c>
      <c r="F283" t="inlineStr">
        <is>
          <t>VÄSTRA GÖTALANDS LÄN</t>
        </is>
      </c>
      <c r="G283" t="inlineStr">
        <is>
          <t>UDDEVALLA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46224</v>
      </c>
      <c r="F284" t="inlineStr">
        <is>
          <t>VÄSTRA GÖTALANDS LÄN</t>
        </is>
      </c>
      <c r="G284" t="inlineStr">
        <is>
          <t>UDDEVALLA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45771</v>
      </c>
      <c r="E285" s="1" t="n">
        <v>46224</v>
      </c>
      <c r="F285" t="inlineStr">
        <is>
          <t>VÄSTRA GÖTALANDS LÄN</t>
        </is>
      </c>
      <c r="G285" t="inlineStr">
        <is>
          <t>UDDEVALLA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46224</v>
      </c>
      <c r="F286" t="inlineStr">
        <is>
          <t>VÄSTRA GÖTALANDS LÄN</t>
        </is>
      </c>
      <c r="G286" t="inlineStr">
        <is>
          <t>UDDEVALLA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44984</v>
      </c>
      <c r="E287" s="1" t="n">
        <v>46224</v>
      </c>
      <c r="F287" t="inlineStr">
        <is>
          <t>VÄSTRA GÖTALANDS LÄN</t>
        </is>
      </c>
      <c r="G287" t="inlineStr">
        <is>
          <t>UDDEVALLA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45034</v>
      </c>
      <c r="E288" s="1" t="n">
        <v>46224</v>
      </c>
      <c r="F288" t="inlineStr">
        <is>
          <t>VÄSTRA GÖTALANDS LÄN</t>
        </is>
      </c>
      <c r="G288" t="inlineStr">
        <is>
          <t>UDDEVALLA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46224</v>
      </c>
      <c r="F289" t="inlineStr">
        <is>
          <t>VÄSTRA GÖTALANDS LÄN</t>
        </is>
      </c>
      <c r="G289" t="inlineStr">
        <is>
          <t>UDDEVALLA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45475</v>
      </c>
      <c r="E290" s="1" t="n">
        <v>46224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46224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69198-2021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46224</v>
      </c>
      <c r="F292" t="inlineStr">
        <is>
          <t>VÄSTRA GÖTALANDS LÄN</t>
        </is>
      </c>
      <c r="G292" t="inlineStr">
        <is>
          <t>UDDEVALLA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46224</v>
      </c>
      <c r="F293" t="inlineStr">
        <is>
          <t>VÄSTRA GÖTALANDS LÄN</t>
        </is>
      </c>
      <c r="G293" t="inlineStr">
        <is>
          <t>UDDEVALLA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46224</v>
      </c>
      <c r="F294" t="inlineStr">
        <is>
          <t>VÄSTRA GÖTALANDS LÄN</t>
        </is>
      </c>
      <c r="G294" t="inlineStr">
        <is>
          <t>UDDEVALLA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45028</v>
      </c>
      <c r="E295" s="1" t="n">
        <v>46224</v>
      </c>
      <c r="F295" t="inlineStr">
        <is>
          <t>VÄSTRA GÖTALANDS LÄN</t>
        </is>
      </c>
      <c r="G295" t="inlineStr">
        <is>
          <t>UDDEVALLA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45255</v>
      </c>
      <c r="E296" s="1" t="n">
        <v>46224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46224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45366</v>
      </c>
      <c r="E298" s="1" t="n">
        <v>46224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46224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Kommuner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30536-2026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46210</v>
      </c>
      <c r="E300" s="1" t="n">
        <v>46224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Kommuner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46224</v>
      </c>
      <c r="F301" t="inlineStr">
        <is>
          <t>VÄSTRA GÖTALANDS LÄN</t>
        </is>
      </c>
      <c r="G301" t="inlineStr">
        <is>
          <t>UDDEVALLA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46212</v>
      </c>
      <c r="E302" s="1" t="n">
        <v>46224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Kyrkan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45426</v>
      </c>
      <c r="E303" s="1" t="n">
        <v>46224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30639-2024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45495</v>
      </c>
      <c r="E304" s="1" t="n">
        <v>46224</v>
      </c>
      <c r="F304" t="inlineStr">
        <is>
          <t>VÄSTRA GÖTALANDS LÄN</t>
        </is>
      </c>
      <c r="G304" t="inlineStr">
        <is>
          <t>UDDEVALLA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46224</v>
      </c>
      <c r="F305" t="inlineStr">
        <is>
          <t>VÄSTRA GÖTALANDS LÄN</t>
        </is>
      </c>
      <c r="G305" t="inlineStr">
        <is>
          <t>UDDEVALLA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46224</v>
      </c>
      <c r="F306" t="inlineStr">
        <is>
          <t>VÄSTRA GÖTALANDS LÄN</t>
        </is>
      </c>
      <c r="G306" t="inlineStr">
        <is>
          <t>UDDEVALLA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45484</v>
      </c>
      <c r="E307" s="1" t="n">
        <v>46224</v>
      </c>
      <c r="F307" t="inlineStr">
        <is>
          <t>VÄSTRA GÖTALANDS LÄN</t>
        </is>
      </c>
      <c r="G307" t="inlineStr">
        <is>
          <t>UDDEVALLA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46224</v>
      </c>
      <c r="F308" t="inlineStr">
        <is>
          <t>VÄSTRA GÖTALANDS LÄN</t>
        </is>
      </c>
      <c r="G308" t="inlineStr">
        <is>
          <t>UDDEVALLA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46224</v>
      </c>
      <c r="F309" t="inlineStr">
        <is>
          <t>VÄSTRA GÖTALANDS LÄN</t>
        </is>
      </c>
      <c r="G309" t="inlineStr">
        <is>
          <t>UDDEVALLA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46224</v>
      </c>
      <c r="F310" t="inlineStr">
        <is>
          <t>VÄSTRA GÖTALANDS LÄN</t>
        </is>
      </c>
      <c r="G310" t="inlineStr">
        <is>
          <t>UDDEVALLA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44794</v>
      </c>
      <c r="E311" s="1" t="n">
        <v>46224</v>
      </c>
      <c r="F311" t="inlineStr">
        <is>
          <t>VÄSTRA GÖTALANDS LÄN</t>
        </is>
      </c>
      <c r="G311" t="inlineStr">
        <is>
          <t>UDDEVALLA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46224</v>
      </c>
      <c r="F312" t="inlineStr">
        <is>
          <t>VÄSTRA GÖTALANDS LÄN</t>
        </is>
      </c>
      <c r="G312" t="inlineStr">
        <is>
          <t>UDDEVALLA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46222</v>
      </c>
      <c r="E313" s="1" t="n">
        <v>46224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46224</v>
      </c>
      <c r="F314" t="inlineStr">
        <is>
          <t>VÄSTRA GÖTALANDS LÄN</t>
        </is>
      </c>
      <c r="G314" t="inlineStr">
        <is>
          <t>UDDEVALLA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46224</v>
      </c>
      <c r="F315" t="inlineStr">
        <is>
          <t>VÄSTRA GÖTALANDS LÄN</t>
        </is>
      </c>
      <c r="G315" t="inlineStr">
        <is>
          <t>UDDEVALLA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44582</v>
      </c>
      <c r="E316" s="1" t="n">
        <v>46224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Kyrkan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43170-2021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44431</v>
      </c>
      <c r="E317" s="1" t="n">
        <v>46224</v>
      </c>
      <c r="F317" t="inlineStr">
        <is>
          <t>VÄSTRA GÖTALANDS LÄN</t>
        </is>
      </c>
      <c r="G317" t="inlineStr">
        <is>
          <t>UDDEVALLA</t>
        </is>
      </c>
      <c r="I317" t="n">
        <v>13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45484</v>
      </c>
      <c r="E318" s="1" t="n">
        <v>46224</v>
      </c>
      <c r="F318" t="inlineStr">
        <is>
          <t>VÄSTRA GÖTALANDS LÄN</t>
        </is>
      </c>
      <c r="G318" t="inlineStr">
        <is>
          <t>UDDEVALLA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25613-2026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46224</v>
      </c>
      <c r="F319" t="inlineStr">
        <is>
          <t>VÄSTRA GÖTALANDS LÄN</t>
        </is>
      </c>
      <c r="G319" t="inlineStr">
        <is>
          <t>UDDEVALLA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46224</v>
      </c>
      <c r="F320" t="inlineStr">
        <is>
          <t>VÄSTRA GÖTALANDS LÄN</t>
        </is>
      </c>
      <c r="G320" t="inlineStr">
        <is>
          <t>UDDEVALLA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46181</v>
      </c>
      <c r="E321" s="1" t="n">
        <v>46224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Kommuner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45387</v>
      </c>
      <c r="E322" s="1" t="n">
        <v>46224</v>
      </c>
      <c r="F322" t="inlineStr">
        <is>
          <t>VÄSTRA GÖTALANDS LÄN</t>
        </is>
      </c>
      <c r="G322" t="inlineStr">
        <is>
          <t>UDDEVALLA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23462-2024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46224</v>
      </c>
      <c r="F323" t="inlineStr">
        <is>
          <t>VÄSTRA GÖTALANDS LÄN</t>
        </is>
      </c>
      <c r="G323" t="inlineStr">
        <is>
          <t>UDDEVALLA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46224</v>
      </c>
      <c r="F324" t="inlineStr">
        <is>
          <t>VÄSTRA GÖTALANDS LÄN</t>
        </is>
      </c>
      <c r="G324" t="inlineStr">
        <is>
          <t>UDDEVALLA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46224</v>
      </c>
      <c r="F325" t="inlineStr">
        <is>
          <t>VÄSTRA GÖTALANDS LÄN</t>
        </is>
      </c>
      <c r="G325" t="inlineStr">
        <is>
          <t>UDDEVALLA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46224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46224</v>
      </c>
      <c r="F327" t="inlineStr">
        <is>
          <t>VÄSTRA GÖTALANDS LÄN</t>
        </is>
      </c>
      <c r="G327" t="inlineStr">
        <is>
          <t>UDDEVALLA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40571-2022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44823</v>
      </c>
      <c r="E328" s="1" t="n">
        <v>46224</v>
      </c>
      <c r="F328" t="inlineStr">
        <is>
          <t>VÄSTRA GÖTALANDS LÄN</t>
        </is>
      </c>
      <c r="G328" t="inlineStr">
        <is>
          <t>UDDEVALLA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46224</v>
      </c>
      <c r="F329" t="inlineStr">
        <is>
          <t>VÄSTRA GÖTALANDS LÄN</t>
        </is>
      </c>
      <c r="G329" t="inlineStr">
        <is>
          <t>UDDEVALLA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45777</v>
      </c>
      <c r="E330" s="1" t="n">
        <v>46224</v>
      </c>
      <c r="F330" t="inlineStr">
        <is>
          <t>VÄSTRA GÖTALANDS LÄN</t>
        </is>
      </c>
      <c r="G330" t="inlineStr">
        <is>
          <t>UDDEVALLA</t>
        </is>
      </c>
      <c r="I330" t="n">
        <v>12.9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46224</v>
      </c>
      <c r="F331" t="inlineStr">
        <is>
          <t>VÄSTRA GÖTALANDS LÄN</t>
        </is>
      </c>
      <c r="G331" t="inlineStr">
        <is>
          <t>UDDEVALLA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46224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46224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46224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46224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2026-07-21T01:35:28Z</dcterms:created>
  <dcterms:modified xmlns:dcterms="http://purl.org/dc/terms/" xmlns:xsi="http://www.w3.org/2001/XMLSchema-instance" xsi:type="dcterms:W3CDTF">2026-07-21T01:35:28Z</dcterms:modified>
</cp:coreProperties>
</file>