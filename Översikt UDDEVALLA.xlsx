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46269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21</v>
      </c>
      <c r="T2" t="n">
        <v>28</v>
      </c>
      <c r="U2" t="n">
        <v>0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46269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46269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46269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46269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46269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46269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46269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46269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62048-2024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45656</v>
      </c>
      <c r="E11" s="1" t="n">
        <v>46269</v>
      </c>
      <c r="F11" t="inlineStr">
        <is>
          <t>VÄSTRA GÖTALANDS LÄN</t>
        </is>
      </c>
      <c r="G11" t="inlineStr">
        <is>
          <t>UDDEVALLA</t>
        </is>
      </c>
      <c r="H11" t="inlineStr">
        <is>
          <t>Kommuner</t>
        </is>
      </c>
      <c r="I11" t="n">
        <v>3.8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Klippfrullania
Stor revmossa
Västlig hakmossa
Lopplummer (aggregat)
Revlummer</t>
        </is>
      </c>
      <c r="W11">
        <f>HYPERLINK("https://klasma.github.io/Logging_1485/artfynd/A 62048-2024 artfynd.xlsx", "A 62048-2024")</f>
        <v/>
      </c>
      <c r="X11">
        <f>HYPERLINK("https://klasma.github.io/Logging_1485/kartor/A 62048-2024 karta.png", "A 62048-2024")</f>
        <v/>
      </c>
      <c r="Y11">
        <f>HYPERLINK("https://klasma.github.io/Logging_1485/kartor_geotiff/A 62048-2024 georefererad karta.tif", "A 62048-2024")</f>
        <v/>
      </c>
      <c r="AA11">
        <f>HYPERLINK("https://klasma.github.io/Logging_1485/klagomål/A 62048-2024 FSC-klagomål.docx", "A 62048-2024")</f>
        <v/>
      </c>
      <c r="AB11">
        <f>HYPERLINK("https://klasma.github.io/Logging_1485/klagomålsmail/A 62048-2024 FSC-klagomål mail.docx", "A 62048-2024")</f>
        <v/>
      </c>
      <c r="AC11">
        <f>HYPERLINK("https://klasma.github.io/Logging_1485/tillsyn/A 62048-2024 tillsynsbegäran.docx", "A 62048-2024")</f>
        <v/>
      </c>
      <c r="AD11">
        <f>HYPERLINK("https://klasma.github.io/Logging_1485/tillsynsmail/A 62048-2024 tillsynsbegäran mail.docx", "A 62048-2024")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46269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46269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3435-2024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45317</v>
      </c>
      <c r="E14" s="1" t="n">
        <v>46269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Kyrkan</t>
        </is>
      </c>
      <c r="I14" t="n">
        <v>1.9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Blåmossa
Västlig hakmossa
Spillkråka</t>
        </is>
      </c>
      <c r="W14">
        <f>HYPERLINK("https://klasma.github.io/Logging_1485/artfynd/A 3435-2024 artfynd.xlsx", "A 3435-2024")</f>
        <v/>
      </c>
      <c r="X14">
        <f>HYPERLINK("https://klasma.github.io/Logging_1485/kartor/A 3435-2024 karta.png", "A 3435-2024")</f>
        <v/>
      </c>
      <c r="Y14">
        <f>HYPERLINK("https://klasma.github.io/Logging_1485/kartor_geotiff/A 3435-2024 georefererad karta.tif", "A 3435-2024")</f>
        <v/>
      </c>
      <c r="AA14">
        <f>HYPERLINK("https://klasma.github.io/Logging_1485/klagomål/A 3435-2024 FSC-klagomål.docx", "A 3435-2024")</f>
        <v/>
      </c>
      <c r="AB14">
        <f>HYPERLINK("https://klasma.github.io/Logging_1485/klagomålsmail/A 3435-2024 FSC-klagomål mail.docx", "A 3435-2024")</f>
        <v/>
      </c>
      <c r="AC14">
        <f>HYPERLINK("https://klasma.github.io/Logging_1485/tillsyn/A 3435-2024 tillsynsbegäran.docx", "A 3435-2024")</f>
        <v/>
      </c>
      <c r="AD14">
        <f>HYPERLINK("https://klasma.github.io/Logging_1485/tillsynsmail/A 3435-2024 tillsynsbegäran mail.docx", "A 3435-2024")</f>
        <v/>
      </c>
      <c r="AE14">
        <f>HYPERLINK("https://klasma.github.io/Logging_1485/fåglar/A 3435-2024 prioriterade fågelarter.docx", "A 3435-2024")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46269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46269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46269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46269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59552-2025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45990</v>
      </c>
      <c r="E19" s="1" t="n">
        <v>46269</v>
      </c>
      <c r="F19" t="inlineStr">
        <is>
          <t>VÄSTRA GÖTALANDS LÄN</t>
        </is>
      </c>
      <c r="G19" t="inlineStr">
        <is>
          <t>UDDEVALLA</t>
        </is>
      </c>
      <c r="I19" t="n">
        <v>5.1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Kattfotslav
Stor revmossa
Revlummer</t>
        </is>
      </c>
      <c r="W19">
        <f>HYPERLINK("https://klasma.github.io/Logging_1485/artfynd/A 59552-2025 artfynd.xlsx", "A 59552-2025")</f>
        <v/>
      </c>
      <c r="X19">
        <f>HYPERLINK("https://klasma.github.io/Logging_1485/kartor/A 59552-2025 karta.png", "A 59552-2025")</f>
        <v/>
      </c>
      <c r="Y19">
        <f>HYPERLINK("https://klasma.github.io/Logging_1485/kartor_geotiff/A 59552-2025 georefererad karta.tif", "A 59552-2025")</f>
        <v/>
      </c>
      <c r="AA19">
        <f>HYPERLINK("https://klasma.github.io/Logging_1485/klagomål/A 59552-2025 FSC-klagomål.docx", "A 59552-2025")</f>
        <v/>
      </c>
      <c r="AB19">
        <f>HYPERLINK("https://klasma.github.io/Logging_1485/klagomålsmail/A 59552-2025 FSC-klagomål mail.docx", "A 59552-2025")</f>
        <v/>
      </c>
      <c r="AC19">
        <f>HYPERLINK("https://klasma.github.io/Logging_1485/tillsyn/A 59552-2025 tillsynsbegäran.docx", "A 59552-2025")</f>
        <v/>
      </c>
      <c r="AD19">
        <f>HYPERLINK("https://klasma.github.io/Logging_1485/tillsynsmail/A 59552-2025 tillsynsbegäran mail.docx", "A 59552-2025")</f>
        <v/>
      </c>
    </row>
    <row r="20" ht="15" customHeight="1">
      <c r="A20" t="inlineStr">
        <is>
          <t>A 8666-2024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46269</v>
      </c>
      <c r="F20" t="inlineStr">
        <is>
          <t>VÄSTRA GÖTALANDS LÄN</t>
        </is>
      </c>
      <c r="G20" t="inlineStr">
        <is>
          <t>UDDEVALLA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Västlig hakmossa
Spillkråka</t>
        </is>
      </c>
      <c r="W20">
        <f>HYPERLINK("https://klasma.github.io/Logging_1485/artfynd/A 8666-2024 artfynd.xlsx", "A 8666-2024")</f>
        <v/>
      </c>
      <c r="X20">
        <f>HYPERLINK("https://klasma.github.io/Logging_1485/kartor/A 8666-2024 karta.png", "A 8666-2024")</f>
        <v/>
      </c>
      <c r="Y20">
        <f>HYPERLINK("https://klasma.github.io/Logging_1485/kartor_geotiff/A 8666-2024 georefererad karta.tif", "A 8666-2024")</f>
        <v/>
      </c>
      <c r="AA20">
        <f>HYPERLINK("https://klasma.github.io/Logging_1485/klagomål/A 8666-2024 FSC-klagomål.docx", "A 8666-2024")</f>
        <v/>
      </c>
      <c r="AB20">
        <f>HYPERLINK("https://klasma.github.io/Logging_1485/klagomålsmail/A 8666-2024 FSC-klagomål mail.docx", "A 8666-2024")</f>
        <v/>
      </c>
      <c r="AC20">
        <f>HYPERLINK("https://klasma.github.io/Logging_1485/tillsyn/A 8666-2024 tillsynsbegäran.docx", "A 8666-2024")</f>
        <v/>
      </c>
      <c r="AD20">
        <f>HYPERLINK("https://klasma.github.io/Logging_1485/tillsynsmail/A 8666-2024 tillsynsbegäran mail.docx", "A 8666-2024")</f>
        <v/>
      </c>
      <c r="AE20">
        <f>HYPERLINK("https://klasma.github.io/Logging_1485/fåglar/A 8666-2024 prioriterade fågelarter.docx", "A 8666-2024")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46269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46269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46269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46269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266-2025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45653</v>
      </c>
      <c r="E25" s="1" t="n">
        <v>46269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Brunpudrad nållav
Blåmossa</t>
        </is>
      </c>
      <c r="W25">
        <f>HYPERLINK("https://klasma.github.io/Logging_1485/artfynd/A 266-2025 artfynd.xlsx", "A 266-2025")</f>
        <v/>
      </c>
      <c r="X25">
        <f>HYPERLINK("https://klasma.github.io/Logging_1485/kartor/A 266-2025 karta.png", "A 266-2025")</f>
        <v/>
      </c>
      <c r="Y25">
        <f>HYPERLINK("https://klasma.github.io/Logging_1485/kartor_geotiff/A 266-2025 georefererad karta.tif", "A 266-2025")</f>
        <v/>
      </c>
      <c r="AA25">
        <f>HYPERLINK("https://klasma.github.io/Logging_1485/klagomål/A 266-2025 FSC-klagomål.docx", "A 266-2025")</f>
        <v/>
      </c>
      <c r="AB25">
        <f>HYPERLINK("https://klasma.github.io/Logging_1485/klagomålsmail/A 266-2025 FSC-klagomål mail.docx", "A 266-2025")</f>
        <v/>
      </c>
      <c r="AC25">
        <f>HYPERLINK("https://klasma.github.io/Logging_1485/tillsyn/A 266-2025 tillsynsbegäran.docx", "A 266-2025")</f>
        <v/>
      </c>
      <c r="AD25">
        <f>HYPERLINK("https://klasma.github.io/Logging_1485/tillsynsmail/A 266-2025 tillsynsbegäran mail.docx", "A 266-2025")</f>
        <v/>
      </c>
    </row>
    <row r="26" ht="15" customHeight="1">
      <c r="A26" t="inlineStr">
        <is>
          <t>A 57654-2025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46269</v>
      </c>
      <c r="F26" t="inlineStr">
        <is>
          <t>VÄSTRA GÖTALANDS LÄN</t>
        </is>
      </c>
      <c r="G26" t="inlineStr">
        <is>
          <t>UDDEVALLA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Lundvårlök</t>
        </is>
      </c>
      <c r="W26">
        <f>HYPERLINK("https://klasma.github.io/Logging_1485/artfynd/A 57654-2025 artfynd.xlsx", "A 57654-2025")</f>
        <v/>
      </c>
      <c r="X26">
        <f>HYPERLINK("https://klasma.github.io/Logging_1485/kartor/A 57654-2025 karta.png", "A 57654-2025")</f>
        <v/>
      </c>
      <c r="Y26">
        <f>HYPERLINK("https://klasma.github.io/Logging_1485/kartor_geotiff/A 57654-2025 georefererad karta.tif", "A 57654-2025")</f>
        <v/>
      </c>
      <c r="AA26">
        <f>HYPERLINK("https://klasma.github.io/Logging_1485/klagomål/A 57654-2025 FSC-klagomål.docx", "A 57654-2025")</f>
        <v/>
      </c>
      <c r="AB26">
        <f>HYPERLINK("https://klasma.github.io/Logging_1485/klagomålsmail/A 57654-2025 FSC-klagomål mail.docx", "A 57654-2025")</f>
        <v/>
      </c>
      <c r="AC26">
        <f>HYPERLINK("https://klasma.github.io/Logging_1485/tillsyn/A 57654-2025 tillsynsbegäran.docx", "A 57654-2025")</f>
        <v/>
      </c>
      <c r="AD26">
        <f>HYPERLINK("https://klasma.github.io/Logging_1485/tillsynsmail/A 57654-2025 tillsynsbegäran mail.docx", "A 57654-2025")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46269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46269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46269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16882-2026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46113</v>
      </c>
      <c r="E30" s="1" t="n">
        <v>46269</v>
      </c>
      <c r="F30" t="inlineStr">
        <is>
          <t>VÄSTRA GÖTALANDS LÄN</t>
        </is>
      </c>
      <c r="G30" t="inlineStr">
        <is>
          <t>UDDEVALLA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Iller
Svinrot</t>
        </is>
      </c>
      <c r="W30">
        <f>HYPERLINK("https://klasma.github.io/Logging_1485/artfynd/A 16882-2026 artfynd.xlsx", "A 16882-2026")</f>
        <v/>
      </c>
      <c r="X30">
        <f>HYPERLINK("https://klasma.github.io/Logging_1485/kartor/A 16882-2026 karta.png", "A 16882-2026")</f>
        <v/>
      </c>
      <c r="Y30">
        <f>HYPERLINK("https://klasma.github.io/Logging_1485/kartor_geotiff/A 16882-2026 georefererad karta.tif", "A 16882-2026")</f>
        <v/>
      </c>
      <c r="AA30">
        <f>HYPERLINK("https://klasma.github.io/Logging_1485/klagomål/A 16882-2026 FSC-klagomål.docx", "A 16882-2026")</f>
        <v/>
      </c>
      <c r="AB30">
        <f>HYPERLINK("https://klasma.github.io/Logging_1485/klagomålsmail/A 16882-2026 FSC-klagomål mail.docx", "A 16882-2026")</f>
        <v/>
      </c>
      <c r="AC30">
        <f>HYPERLINK("https://klasma.github.io/Logging_1485/tillsyn/A 16882-2026 tillsynsbegäran.docx", "A 16882-2026")</f>
        <v/>
      </c>
      <c r="AD30">
        <f>HYPERLINK("https://klasma.github.io/Logging_1485/tillsynsmail/A 16882-2026 tillsynsbegäran mail.docx", "A 16882-2026")</f>
        <v/>
      </c>
    </row>
    <row r="31" ht="15" customHeight="1">
      <c r="A31" t="inlineStr">
        <is>
          <t>A 17995-2026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46124</v>
      </c>
      <c r="E31" s="1" t="n">
        <v>46269</v>
      </c>
      <c r="F31" t="inlineStr">
        <is>
          <t>VÄSTRA GÖTALANDS LÄN</t>
        </is>
      </c>
      <c r="G31" t="inlineStr">
        <is>
          <t>UDDEVALLA</t>
        </is>
      </c>
      <c r="I31" t="n">
        <v>3.8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Spillkråka
Revlummer</t>
        </is>
      </c>
      <c r="W31">
        <f>HYPERLINK("https://klasma.github.io/Logging_1485/artfynd/A 17995-2026 artfynd.xlsx", "A 17995-2026")</f>
        <v/>
      </c>
      <c r="X31">
        <f>HYPERLINK("https://klasma.github.io/Logging_1485/kartor/A 17995-2026 karta.png", "A 17995-2026")</f>
        <v/>
      </c>
      <c r="Y31">
        <f>HYPERLINK("https://klasma.github.io/Logging_1485/kartor_geotiff/A 17995-2026 georefererad karta.tif", "A 17995-2026")</f>
        <v/>
      </c>
      <c r="AA31">
        <f>HYPERLINK("https://klasma.github.io/Logging_1485/klagomål/A 17995-2026 FSC-klagomål.docx", "A 17995-2026")</f>
        <v/>
      </c>
      <c r="AB31">
        <f>HYPERLINK("https://klasma.github.io/Logging_1485/klagomålsmail/A 17995-2026 FSC-klagomål mail.docx", "A 17995-2026")</f>
        <v/>
      </c>
      <c r="AC31">
        <f>HYPERLINK("https://klasma.github.io/Logging_1485/tillsyn/A 17995-2026 tillsynsbegäran.docx", "A 17995-2026")</f>
        <v/>
      </c>
      <c r="AD31">
        <f>HYPERLINK("https://klasma.github.io/Logging_1485/tillsynsmail/A 17995-2026 tillsynsbegäran mail.docx", "A 17995-2026")</f>
        <v/>
      </c>
      <c r="AE31">
        <f>HYPERLINK("https://klasma.github.io/Logging_1485/fåglar/A 17995-2026 prioriterade fågelarter.docx", "A 17995-2026")</f>
        <v/>
      </c>
    </row>
    <row r="32" ht="15" customHeight="1">
      <c r="A32" t="inlineStr">
        <is>
          <t>A 65109-2023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45288</v>
      </c>
      <c r="E32" s="1" t="n">
        <v>46269</v>
      </c>
      <c r="F32" t="inlineStr">
        <is>
          <t>VÄSTRA GÖTALANDS LÄN</t>
        </is>
      </c>
      <c r="G32" t="inlineStr">
        <is>
          <t>UDDEVALLA</t>
        </is>
      </c>
      <c r="I32" t="n">
        <v>1.8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Åttafläckig praktbagge</t>
        </is>
      </c>
      <c r="W32">
        <f>HYPERLINK("https://klasma.github.io/Logging_1485/artfynd/A 65109-2023 artfynd.xlsx", "A 65109-2023")</f>
        <v/>
      </c>
      <c r="X32">
        <f>HYPERLINK("https://klasma.github.io/Logging_1485/kartor/A 65109-2023 karta.png", "A 65109-2023")</f>
        <v/>
      </c>
      <c r="Y32">
        <f>HYPERLINK("https://klasma.github.io/Logging_1485/kartor_geotiff/A 65109-2023 georefererad karta.tif", "A 65109-2023")</f>
        <v/>
      </c>
      <c r="AA32">
        <f>HYPERLINK("https://klasma.github.io/Logging_1485/klagomål/A 65109-2023 FSC-klagomål.docx", "A 65109-2023")</f>
        <v/>
      </c>
      <c r="AB32">
        <f>HYPERLINK("https://klasma.github.io/Logging_1485/klagomålsmail/A 65109-2023 FSC-klagomål mail.docx", "A 65109-2023")</f>
        <v/>
      </c>
      <c r="AC32">
        <f>HYPERLINK("https://klasma.github.io/Logging_1485/tillsyn/A 65109-2023 tillsynsbegäran.docx", "A 65109-2023")</f>
        <v/>
      </c>
      <c r="AD32">
        <f>HYPERLINK("https://klasma.github.io/Logging_1485/tillsynsmail/A 65109-2023 tillsynsbegäran mail.docx", "A 65109-2023")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46269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46269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51869-2021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46269</v>
      </c>
      <c r="F35" t="inlineStr">
        <is>
          <t>VÄSTRA GÖTALANDS LÄN</t>
        </is>
      </c>
      <c r="G35" t="inlineStr">
        <is>
          <t>UDDEVALLA</t>
        </is>
      </c>
      <c r="I35" t="n">
        <v>3.2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HYPERLINK("https://klasma.github.io/Logging_1485/artfynd/A 51869-2021 artfynd.xlsx", "A 51869-2021")</f>
        <v/>
      </c>
      <c r="X35">
        <f>HYPERLINK("https://klasma.github.io/Logging_1485/kartor/A 51869-2021 karta.png", "A 51869-2021")</f>
        <v/>
      </c>
      <c r="Y35">
        <f>HYPERLINK("https://klasma.github.io/Logging_1485/kartor_geotiff/A 51869-2021 georefererad karta.tif", "A 51869-2021")</f>
        <v/>
      </c>
      <c r="AA35">
        <f>HYPERLINK("https://klasma.github.io/Logging_1485/klagomål/A 51869-2021 FSC-klagomål.docx", "A 51869-2021")</f>
        <v/>
      </c>
      <c r="AB35">
        <f>HYPERLINK("https://klasma.github.io/Logging_1485/klagomålsmail/A 51869-2021 FSC-klagomål mail.docx", "A 51869-2021")</f>
        <v/>
      </c>
      <c r="AC35">
        <f>HYPERLINK("https://klasma.github.io/Logging_1485/tillsyn/A 51869-2021 tillsynsbegäran.docx", "A 51869-2021")</f>
        <v/>
      </c>
      <c r="AD35">
        <f>HYPERLINK("https://klasma.github.io/Logging_1485/tillsynsmail/A 51869-2021 tillsynsbegäran mail.docx", "A 51869-2021")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46269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HYPERLINK("https://klasma.github.io/Logging_1485/artfynd/A 23322-2025 artfynd.xlsx", "A 23322-2025")</f>
        <v/>
      </c>
      <c r="X36">
        <f>HYPERLINK("https://klasma.github.io/Logging_1485/kartor/A 23322-2025 karta.png", "A 23322-2025")</f>
        <v/>
      </c>
      <c r="Y36">
        <f>HYPERLINK("https://klasma.github.io/Logging_1485/kartor_geotiff/A 23322-2025 georefererad karta.tif", "A 23322-2025")</f>
        <v/>
      </c>
      <c r="AA36">
        <f>HYPERLINK("https://klasma.github.io/Logging_1485/klagomål/A 23322-2025 FSC-klagomål.docx", "A 23322-2025")</f>
        <v/>
      </c>
      <c r="AB36">
        <f>HYPERLINK("https://klasma.github.io/Logging_1485/klagomålsmail/A 23322-2025 FSC-klagomål mail.docx", "A 23322-2025")</f>
        <v/>
      </c>
      <c r="AC36">
        <f>HYPERLINK("https://klasma.github.io/Logging_1485/tillsyn/A 23322-2025 tillsynsbegäran.docx", "A 23322-2025")</f>
        <v/>
      </c>
      <c r="AD36">
        <f>HYPERLINK("https://klasma.github.io/Logging_1485/tillsynsmail/A 23322-2025 tillsynsbegäran mail.docx", "A 23322-2025")</f>
        <v/>
      </c>
      <c r="AE36">
        <f>HYPERLINK("https://klasma.github.io/Logging_1485/fåglar/A 23322-2025 prioriterade fågelarter.docx", "A 23322-2025")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46269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46269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495-2023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46269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Kommuner</t>
        </is>
      </c>
      <c r="I39" t="n">
        <v>3.7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HYPERLINK("https://klasma.github.io/Logging_1485/artfynd/A 495-2023 artfynd.xlsx", "A 495-2023")</f>
        <v/>
      </c>
      <c r="X39">
        <f>HYPERLINK("https://klasma.github.io/Logging_1485/kartor/A 495-2023 karta.png", "A 495-2023")</f>
        <v/>
      </c>
      <c r="Y39">
        <f>HYPERLINK("https://klasma.github.io/Logging_1485/kartor_geotiff/A 495-2023 georefererad karta.tif", "A 495-2023")</f>
        <v/>
      </c>
      <c r="AA39">
        <f>HYPERLINK("https://klasma.github.io/Logging_1485/klagomål/A 495-2023 FSC-klagomål.docx", "A 495-2023")</f>
        <v/>
      </c>
      <c r="AB39">
        <f>HYPERLINK("https://klasma.github.io/Logging_1485/klagomålsmail/A 495-2023 FSC-klagomål mail.docx", "A 495-2023")</f>
        <v/>
      </c>
      <c r="AC39">
        <f>HYPERLINK("https://klasma.github.io/Logging_1485/tillsyn/A 495-2023 tillsynsbegäran.docx", "A 495-2023")</f>
        <v/>
      </c>
      <c r="AD39">
        <f>HYPERLINK("https://klasma.github.io/Logging_1485/tillsynsmail/A 495-2023 tillsynsbegäran mail.docx", "A 495-2023")</f>
        <v/>
      </c>
      <c r="AE39">
        <f>HYPERLINK("https://klasma.github.io/Logging_1485/fåglar/A 495-2023 prioriterade fågelarter.docx", "A 495-2023")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46269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46269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1293-2024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46269</v>
      </c>
      <c r="F42" t="inlineStr">
        <is>
          <t>VÄSTRA GÖTALANDS LÄN</t>
        </is>
      </c>
      <c r="G42" t="inlineStr">
        <is>
          <t>UDDEVALLA</t>
        </is>
      </c>
      <c r="I42" t="n">
        <v>2.2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Tornseglare</t>
        </is>
      </c>
      <c r="W42">
        <f>HYPERLINK("https://klasma.github.io/Logging_1485/artfynd/A 1293-2024 artfynd.xlsx", "A 1293-2024")</f>
        <v/>
      </c>
      <c r="X42">
        <f>HYPERLINK("https://klasma.github.io/Logging_1485/kartor/A 1293-2024 karta.png", "A 1293-2024")</f>
        <v/>
      </c>
      <c r="Y42">
        <f>HYPERLINK("https://klasma.github.io/Logging_1485/kartor_geotiff/A 1293-2024 georefererad karta.tif", "A 1293-2024")</f>
        <v/>
      </c>
      <c r="AA42">
        <f>HYPERLINK("https://klasma.github.io/Logging_1485/klagomål/A 1293-2024 FSC-klagomål.docx", "A 1293-2024")</f>
        <v/>
      </c>
      <c r="AB42">
        <f>HYPERLINK("https://klasma.github.io/Logging_1485/klagomålsmail/A 1293-2024 FSC-klagomål mail.docx", "A 1293-2024")</f>
        <v/>
      </c>
      <c r="AC42">
        <f>HYPERLINK("https://klasma.github.io/Logging_1485/tillsyn/A 1293-2024 tillsynsbegäran.docx", "A 1293-2024")</f>
        <v/>
      </c>
      <c r="AD42">
        <f>HYPERLINK("https://klasma.github.io/Logging_1485/tillsynsmail/A 1293-2024 tillsynsbegäran mail.docx", "A 1293-2024")</f>
        <v/>
      </c>
      <c r="AE42">
        <f>HYPERLINK("https://klasma.github.io/Logging_1485/fåglar/A 1293-2024 prioriterade fågelarter.docx", "A 1293-2024")</f>
        <v/>
      </c>
    </row>
    <row r="43" ht="15" customHeight="1">
      <c r="A43" t="inlineStr">
        <is>
          <t>A 55288-2023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45237</v>
      </c>
      <c r="E43" s="1" t="n">
        <v>46269</v>
      </c>
      <c r="F43" t="inlineStr">
        <is>
          <t>VÄSTRA GÖTALANDS LÄN</t>
        </is>
      </c>
      <c r="G43" t="inlineStr">
        <is>
          <t>UDDEVALLA</t>
        </is>
      </c>
      <c r="I43" t="n">
        <v>5.2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HYPERLINK("https://klasma.github.io/Logging_1485/artfynd/A 55288-2023 artfynd.xlsx", "A 55288-2023")</f>
        <v/>
      </c>
      <c r="X43">
        <f>HYPERLINK("https://klasma.github.io/Logging_1485/kartor/A 55288-2023 karta.png", "A 55288-2023")</f>
        <v/>
      </c>
      <c r="Y43">
        <f>HYPERLINK("https://klasma.github.io/Logging_1485/kartor_geotiff/A 55288-2023 georefererad karta.tif", "A 55288-2023")</f>
        <v/>
      </c>
      <c r="AA43">
        <f>HYPERLINK("https://klasma.github.io/Logging_1485/klagomål/A 55288-2023 FSC-klagomål.docx", "A 55288-2023")</f>
        <v/>
      </c>
      <c r="AB43">
        <f>HYPERLINK("https://klasma.github.io/Logging_1485/klagomålsmail/A 55288-2023 FSC-klagomål mail.docx", "A 55288-2023")</f>
        <v/>
      </c>
      <c r="AC43">
        <f>HYPERLINK("https://klasma.github.io/Logging_1485/tillsyn/A 55288-2023 tillsynsbegäran.docx", "A 55288-2023")</f>
        <v/>
      </c>
      <c r="AD43">
        <f>HYPERLINK("https://klasma.github.io/Logging_1485/tillsynsmail/A 55288-2023 tillsynsbegäran mail.docx", "A 55288-2023")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46269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22603-2023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45071</v>
      </c>
      <c r="E45" s="1" t="n">
        <v>46269</v>
      </c>
      <c r="F45" t="inlineStr">
        <is>
          <t>VÄSTRA GÖTALANDS LÄN</t>
        </is>
      </c>
      <c r="G45" t="inlineStr">
        <is>
          <t>UDDEVALLA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HYPERLINK("https://klasma.github.io/Logging_1485/artfynd/A 22603-2023 artfynd.xlsx", "A 22603-2023")</f>
        <v/>
      </c>
      <c r="X45">
        <f>HYPERLINK("https://klasma.github.io/Logging_1485/kartor/A 22603-2023 karta.png", "A 22603-2023")</f>
        <v/>
      </c>
      <c r="Y45">
        <f>HYPERLINK("https://klasma.github.io/Logging_1485/kartor_geotiff/A 22603-2023 georefererad karta.tif", "A 22603-2023")</f>
        <v/>
      </c>
      <c r="AA45">
        <f>HYPERLINK("https://klasma.github.io/Logging_1485/klagomål/A 22603-2023 FSC-klagomål.docx", "A 22603-2023")</f>
        <v/>
      </c>
      <c r="AB45">
        <f>HYPERLINK("https://klasma.github.io/Logging_1485/klagomålsmail/A 22603-2023 FSC-klagomål mail.docx", "A 22603-2023")</f>
        <v/>
      </c>
      <c r="AC45">
        <f>HYPERLINK("https://klasma.github.io/Logging_1485/tillsyn/A 22603-2023 tillsynsbegäran.docx", "A 22603-2023")</f>
        <v/>
      </c>
      <c r="AD45">
        <f>HYPERLINK("https://klasma.github.io/Logging_1485/tillsynsmail/A 22603-2023 tillsynsbegäran mail.docx", "A 22603-2023")</f>
        <v/>
      </c>
    </row>
    <row r="46" ht="15" customHeight="1">
      <c r="A46" t="inlineStr">
        <is>
          <t>A 2429-2026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46269</v>
      </c>
      <c r="F46" t="inlineStr">
        <is>
          <t>VÄSTRA GÖTALANDS LÄN</t>
        </is>
      </c>
      <c r="G46" t="inlineStr">
        <is>
          <t>UDDEVALLA</t>
        </is>
      </c>
      <c r="I46" t="n">
        <v>7.6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HYPERLINK("https://klasma.github.io/Logging_1485/artfynd/A 2429-2026 artfynd.xlsx", "A 2429-2026")</f>
        <v/>
      </c>
      <c r="X46">
        <f>HYPERLINK("https://klasma.github.io/Logging_1485/kartor/A 2429-2026 karta.png", "A 2429-2026")</f>
        <v/>
      </c>
      <c r="Y46">
        <f>HYPERLINK("https://klasma.github.io/Logging_1485/kartor_geotiff/A 2429-2026 georefererad karta.tif", "A 2429-2026")</f>
        <v/>
      </c>
      <c r="AA46">
        <f>HYPERLINK("https://klasma.github.io/Logging_1485/klagomål/A 2429-2026 FSC-klagomål.docx", "A 2429-2026")</f>
        <v/>
      </c>
      <c r="AB46">
        <f>HYPERLINK("https://klasma.github.io/Logging_1485/klagomålsmail/A 2429-2026 FSC-klagomål mail.docx", "A 2429-2026")</f>
        <v/>
      </c>
      <c r="AC46">
        <f>HYPERLINK("https://klasma.github.io/Logging_1485/tillsyn/A 2429-2026 tillsynsbegäran.docx", "A 2429-2026")</f>
        <v/>
      </c>
      <c r="AD46">
        <f>HYPERLINK("https://klasma.github.io/Logging_1485/tillsynsmail/A 2429-2026 tillsynsbegäran mail.docx", "A 2429-2026")</f>
        <v/>
      </c>
    </row>
    <row r="47" ht="15" customHeight="1">
      <c r="A47" t="inlineStr">
        <is>
          <t>A 33812-2026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46269</v>
      </c>
      <c r="F47" t="inlineStr">
        <is>
          <t>VÄSTRA GÖTALANDS LÄN</t>
        </is>
      </c>
      <c r="G47" t="inlineStr">
        <is>
          <t>UDDEVALLA</t>
        </is>
      </c>
      <c r="H47" t="inlineStr">
        <is>
          <t>Kyrkan</t>
        </is>
      </c>
      <c r="I47" t="n">
        <v>2.8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HYPERLINK("https://klasma.github.io/Logging_1485/artfynd/A 33812-2026 artfynd.xlsx", "A 33812-2026")</f>
        <v/>
      </c>
      <c r="X47">
        <f>HYPERLINK("https://klasma.github.io/Logging_1485/kartor/A 33812-2026 karta.png", "A 33812-2026")</f>
        <v/>
      </c>
      <c r="Y47">
        <f>HYPERLINK("https://klasma.github.io/Logging_1485/kartor_geotiff/A 33812-2026 georefererad karta.tif", "A 33812-2026")</f>
        <v/>
      </c>
      <c r="AA47">
        <f>HYPERLINK("https://klasma.github.io/Logging_1485/klagomål/A 33812-2026 FSC-klagomål.docx", "A 33812-2026")</f>
        <v/>
      </c>
      <c r="AB47">
        <f>HYPERLINK("https://klasma.github.io/Logging_1485/klagomålsmail/A 33812-2026 FSC-klagomål mail.docx", "A 33812-2026")</f>
        <v/>
      </c>
      <c r="AC47">
        <f>HYPERLINK("https://klasma.github.io/Logging_1485/tillsyn/A 33812-2026 tillsynsbegäran.docx", "A 33812-2026")</f>
        <v/>
      </c>
      <c r="AD47">
        <f>HYPERLINK("https://klasma.github.io/Logging_1485/tillsynsmail/A 33812-2026 tillsynsbegäran mail.docx", "A 33812-2026")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46269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7770-2024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46269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6.2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HYPERLINK("https://klasma.github.io/Logging_1485/artfynd/A 7770-2024 artfynd.xlsx", "A 7770-2024")</f>
        <v/>
      </c>
      <c r="X49">
        <f>HYPERLINK("https://klasma.github.io/Logging_1485/kartor/A 7770-2024 karta.png", "A 7770-2024")</f>
        <v/>
      </c>
      <c r="Y49">
        <f>HYPERLINK("https://klasma.github.io/Logging_1485/kartor_geotiff/A 7770-2024 georefererad karta.tif", "A 7770-2024")</f>
        <v/>
      </c>
      <c r="AA49">
        <f>HYPERLINK("https://klasma.github.io/Logging_1485/klagomål/A 7770-2024 FSC-klagomål.docx", "A 7770-2024")</f>
        <v/>
      </c>
      <c r="AB49">
        <f>HYPERLINK("https://klasma.github.io/Logging_1485/klagomålsmail/A 7770-2024 FSC-klagomål mail.docx", "A 7770-2024")</f>
        <v/>
      </c>
      <c r="AC49">
        <f>HYPERLINK("https://klasma.github.io/Logging_1485/tillsyn/A 7770-2024 tillsynsbegäran.docx", "A 7770-2024")</f>
        <v/>
      </c>
      <c r="AD49">
        <f>HYPERLINK("https://klasma.github.io/Logging_1485/tillsynsmail/A 7770-2024 tillsynsbegäran mail.docx", "A 7770-2024")</f>
        <v/>
      </c>
    </row>
    <row r="50" ht="15" customHeight="1">
      <c r="A50" t="inlineStr">
        <is>
          <t>A 236-2023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44928</v>
      </c>
      <c r="E50" s="1" t="n">
        <v>46269</v>
      </c>
      <c r="F50" t="inlineStr">
        <is>
          <t>VÄSTRA GÖTALANDS LÄN</t>
        </is>
      </c>
      <c r="G50" t="inlineStr">
        <is>
          <t>UDDEVALLA</t>
        </is>
      </c>
      <c r="I50" t="n">
        <v>16.7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Rödgul trumpetsvamp</t>
        </is>
      </c>
      <c r="W50">
        <f>HYPERLINK("https://klasma.github.io/Logging_1485/artfynd/A 236-2023 artfynd.xlsx", "A 236-2023")</f>
        <v/>
      </c>
      <c r="X50">
        <f>HYPERLINK("https://klasma.github.io/Logging_1485/kartor/A 236-2023 karta.png", "A 236-2023")</f>
        <v/>
      </c>
      <c r="Y50">
        <f>HYPERLINK("https://klasma.github.io/Logging_1485/kartor_geotiff/A 236-2023 georefererad karta.tif", "A 236-2023")</f>
        <v/>
      </c>
      <c r="AA50">
        <f>HYPERLINK("https://klasma.github.io/Logging_1485/klagomål/A 236-2023 FSC-klagomål.docx", "A 236-2023")</f>
        <v/>
      </c>
      <c r="AB50">
        <f>HYPERLINK("https://klasma.github.io/Logging_1485/klagomålsmail/A 236-2023 FSC-klagomål mail.docx", "A 236-2023")</f>
        <v/>
      </c>
      <c r="AC50">
        <f>HYPERLINK("https://klasma.github.io/Logging_1485/tillsyn/A 236-2023 tillsynsbegäran.docx", "A 236-2023")</f>
        <v/>
      </c>
      <c r="AD50">
        <f>HYPERLINK("https://klasma.github.io/Logging_1485/tillsynsmail/A 236-2023 tillsynsbegäran mail.docx", "A 236-2023")</f>
        <v/>
      </c>
    </row>
    <row r="51" ht="15" customHeight="1">
      <c r="A51" t="inlineStr">
        <is>
          <t>A 23401-2023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46269</v>
      </c>
      <c r="F51" t="inlineStr">
        <is>
          <t>VÄSTRA GÖTALANDS LÄN</t>
        </is>
      </c>
      <c r="G51" t="inlineStr">
        <is>
          <t>UDDEVALLA</t>
        </is>
      </c>
      <c r="I51" t="n">
        <v>3.3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Vedticka</t>
        </is>
      </c>
      <c r="W51">
        <f>HYPERLINK("https://klasma.github.io/Logging_1485/artfynd/A 23401-2023 artfynd.xlsx", "A 23401-2023")</f>
        <v/>
      </c>
      <c r="X51">
        <f>HYPERLINK("https://klasma.github.io/Logging_1485/kartor/A 23401-2023 karta.png", "A 23401-2023")</f>
        <v/>
      </c>
      <c r="Y51">
        <f>HYPERLINK("https://klasma.github.io/Logging_1485/kartor_geotiff/A 23401-2023 georefererad karta.tif", "A 23401-2023")</f>
        <v/>
      </c>
      <c r="AA51">
        <f>HYPERLINK("https://klasma.github.io/Logging_1485/klagomål/A 23401-2023 FSC-klagomål.docx", "A 23401-2023")</f>
        <v/>
      </c>
      <c r="AB51">
        <f>HYPERLINK("https://klasma.github.io/Logging_1485/klagomålsmail/A 23401-2023 FSC-klagomål mail.docx", "A 23401-2023")</f>
        <v/>
      </c>
      <c r="AC51">
        <f>HYPERLINK("https://klasma.github.io/Logging_1485/tillsyn/A 23401-2023 tillsynsbegäran.docx", "A 23401-2023")</f>
        <v/>
      </c>
      <c r="AD51">
        <f>HYPERLINK("https://klasma.github.io/Logging_1485/tillsynsmail/A 23401-2023 tillsynsbegäran mail.docx", "A 23401-2023")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46269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46269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46269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44449</v>
      </c>
      <c r="E55" s="1" t="n">
        <v>46269</v>
      </c>
      <c r="F55" t="inlineStr">
        <is>
          <t>VÄSTRA GÖTALANDS LÄN</t>
        </is>
      </c>
      <c r="G55" t="inlineStr">
        <is>
          <t>UDDEVALLA</t>
        </is>
      </c>
      <c r="H55" t="inlineStr">
        <is>
          <t>Kyrkan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46269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46269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46548-2021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46269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46269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46269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46269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46269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46269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46269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46269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46269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46269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68702-2021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46269</v>
      </c>
      <c r="F68" t="inlineStr">
        <is>
          <t>VÄSTRA GÖTALANDS LÄN</t>
        </is>
      </c>
      <c r="G68" t="inlineStr">
        <is>
          <t>UDDEVALLA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46269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56650-2021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44480</v>
      </c>
      <c r="E70" s="1" t="n">
        <v>46269</v>
      </c>
      <c r="F70" t="inlineStr">
        <is>
          <t>VÄSTRA GÖTALANDS LÄN</t>
        </is>
      </c>
      <c r="G70" t="inlineStr">
        <is>
          <t>UDDEVALLA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46269</v>
      </c>
      <c r="F71" t="inlineStr">
        <is>
          <t>VÄSTRA GÖTALANDS LÄN</t>
        </is>
      </c>
      <c r="G71" t="inlineStr">
        <is>
          <t>UDDEVALLA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46269</v>
      </c>
      <c r="F72" t="inlineStr">
        <is>
          <t>VÄSTRA GÖTALANDS LÄN</t>
        </is>
      </c>
      <c r="G72" t="inlineStr">
        <is>
          <t>UDDEVALLA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45633</v>
      </c>
      <c r="E73" s="1" t="n">
        <v>46269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46269</v>
      </c>
      <c r="F74" t="inlineStr">
        <is>
          <t>VÄSTRA GÖTALANDS LÄN</t>
        </is>
      </c>
      <c r="G74" t="inlineStr">
        <is>
          <t>UDDEVALLA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46269</v>
      </c>
      <c r="F75" t="inlineStr">
        <is>
          <t>VÄSTRA GÖTALANDS LÄN</t>
        </is>
      </c>
      <c r="G75" t="inlineStr">
        <is>
          <t>UDDEVALLA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45226</v>
      </c>
      <c r="E76" s="1" t="n">
        <v>46269</v>
      </c>
      <c r="F76" t="inlineStr">
        <is>
          <t>VÄSTRA GÖTALANDS LÄN</t>
        </is>
      </c>
      <c r="G76" t="inlineStr">
        <is>
          <t>UDDEVALLA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44834</v>
      </c>
      <c r="E77" s="1" t="n">
        <v>46269</v>
      </c>
      <c r="F77" t="inlineStr">
        <is>
          <t>VÄSTRA GÖTALANDS LÄN</t>
        </is>
      </c>
      <c r="G77" t="inlineStr">
        <is>
          <t>UDDEVALLA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34555-2022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44794</v>
      </c>
      <c r="E78" s="1" t="n">
        <v>46269</v>
      </c>
      <c r="F78" t="inlineStr">
        <is>
          <t>VÄSTRA GÖTALANDS LÄN</t>
        </is>
      </c>
      <c r="G78" t="inlineStr">
        <is>
          <t>UDDEVALLA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46269</v>
      </c>
      <c r="F79" t="inlineStr">
        <is>
          <t>VÄSTRA GÖTALANDS LÄN</t>
        </is>
      </c>
      <c r="G79" t="inlineStr">
        <is>
          <t>UDDEVALLA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14066-2025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46269</v>
      </c>
      <c r="F80" t="inlineStr">
        <is>
          <t>VÄSTRA GÖTALANDS LÄN</t>
        </is>
      </c>
      <c r="G80" t="inlineStr">
        <is>
          <t>UDDEVALLA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46269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24081-2024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45456</v>
      </c>
      <c r="E82" s="1" t="n">
        <v>46269</v>
      </c>
      <c r="F82" t="inlineStr">
        <is>
          <t>VÄSTRA GÖTALANDS LÄN</t>
        </is>
      </c>
      <c r="G82" t="inlineStr">
        <is>
          <t>UDDEVALLA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45740</v>
      </c>
      <c r="E83" s="1" t="n">
        <v>46269</v>
      </c>
      <c r="F83" t="inlineStr">
        <is>
          <t>VÄSTRA GÖTALANDS LÄN</t>
        </is>
      </c>
      <c r="G83" t="inlineStr">
        <is>
          <t>UDDEVALLA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15716-2025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45748</v>
      </c>
      <c r="E84" s="1" t="n">
        <v>46269</v>
      </c>
      <c r="F84" t="inlineStr">
        <is>
          <t>VÄSTRA GÖTALANDS LÄN</t>
        </is>
      </c>
      <c r="G84" t="inlineStr">
        <is>
          <t>UDDEVALLA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36562-2024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46269</v>
      </c>
      <c r="F85" t="inlineStr">
        <is>
          <t>VÄSTRA GÖTALANDS LÄN</t>
        </is>
      </c>
      <c r="G85" t="inlineStr">
        <is>
          <t>UDDEVALLA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44634</v>
      </c>
      <c r="E86" s="1" t="n">
        <v>46269</v>
      </c>
      <c r="F86" t="inlineStr">
        <is>
          <t>VÄSTRA GÖTALANDS LÄN</t>
        </is>
      </c>
      <c r="G86" t="inlineStr">
        <is>
          <t>UDDEVALLA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59674-2023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45255</v>
      </c>
      <c r="E87" s="1" t="n">
        <v>46269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46269</v>
      </c>
      <c r="F88" t="inlineStr">
        <is>
          <t>VÄSTRA GÖTALANDS LÄN</t>
        </is>
      </c>
      <c r="G88" t="inlineStr">
        <is>
          <t>UDDEVALLA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46269</v>
      </c>
      <c r="F89" t="inlineStr">
        <is>
          <t>VÄSTRA GÖTALANDS LÄN</t>
        </is>
      </c>
      <c r="G89" t="inlineStr">
        <is>
          <t>UDDEVALLA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45374</v>
      </c>
      <c r="E90" s="1" t="n">
        <v>46269</v>
      </c>
      <c r="F90" t="inlineStr">
        <is>
          <t>VÄSTRA GÖTALANDS LÄN</t>
        </is>
      </c>
      <c r="G90" t="inlineStr">
        <is>
          <t>UDDEVALLA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46269</v>
      </c>
      <c r="F91" t="inlineStr">
        <is>
          <t>VÄSTRA GÖTALANDS LÄN</t>
        </is>
      </c>
      <c r="G91" t="inlineStr">
        <is>
          <t>UDDEVALLA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46269</v>
      </c>
      <c r="F92" t="inlineStr">
        <is>
          <t>VÄSTRA GÖTALANDS LÄN</t>
        </is>
      </c>
      <c r="G92" t="inlineStr">
        <is>
          <t>UDDEVALLA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46269</v>
      </c>
      <c r="F93" t="inlineStr">
        <is>
          <t>VÄSTRA GÖTALANDS LÄN</t>
        </is>
      </c>
      <c r="G93" t="inlineStr">
        <is>
          <t>UDDEVALLA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20137-2025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45772</v>
      </c>
      <c r="E94" s="1" t="n">
        <v>46269</v>
      </c>
      <c r="F94" t="inlineStr">
        <is>
          <t>VÄSTRA GÖTALANDS LÄN</t>
        </is>
      </c>
      <c r="G94" t="inlineStr">
        <is>
          <t>UDDEVALLA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46269</v>
      </c>
      <c r="F95" t="inlineStr">
        <is>
          <t>VÄSTRA GÖTALANDS LÄN</t>
        </is>
      </c>
      <c r="G95" t="inlineStr">
        <is>
          <t>UDDEVALLA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46269</v>
      </c>
      <c r="F96" t="inlineStr">
        <is>
          <t>VÄSTRA GÖTALANDS LÄN</t>
        </is>
      </c>
      <c r="G96" t="inlineStr">
        <is>
          <t>UDDEVALLA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45366</v>
      </c>
      <c r="E97" s="1" t="n">
        <v>46269</v>
      </c>
      <c r="F97" t="inlineStr">
        <is>
          <t>VÄSTRA GÖTALANDS LÄN</t>
        </is>
      </c>
      <c r="G97" t="inlineStr">
        <is>
          <t>UDDEVALLA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46269</v>
      </c>
      <c r="F98" t="inlineStr">
        <is>
          <t>VÄSTRA GÖTALANDS LÄN</t>
        </is>
      </c>
      <c r="G98" t="inlineStr">
        <is>
          <t>UDDEVALLA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46269</v>
      </c>
      <c r="F99" t="inlineStr">
        <is>
          <t>VÄSTRA GÖTALANDS LÄN</t>
        </is>
      </c>
      <c r="G99" t="inlineStr">
        <is>
          <t>UDDEVALLA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45551</v>
      </c>
      <c r="E100" s="1" t="n">
        <v>46269</v>
      </c>
      <c r="F100" t="inlineStr">
        <is>
          <t>VÄSTRA GÖTALANDS LÄN</t>
        </is>
      </c>
      <c r="G100" t="inlineStr">
        <is>
          <t>UDDEVALLA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46269</v>
      </c>
      <c r="F101" t="inlineStr">
        <is>
          <t>VÄSTRA GÖTALANDS LÄN</t>
        </is>
      </c>
      <c r="G101" t="inlineStr">
        <is>
          <t>UDDEVALLA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46269</v>
      </c>
      <c r="F102" t="inlineStr">
        <is>
          <t>VÄSTRA GÖTALANDS LÄN</t>
        </is>
      </c>
      <c r="G102" t="inlineStr">
        <is>
          <t>UDDEVALLA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46269</v>
      </c>
      <c r="F103" t="inlineStr">
        <is>
          <t>VÄSTRA GÖTALANDS LÄN</t>
        </is>
      </c>
      <c r="G103" t="inlineStr">
        <is>
          <t>UDDEVALLA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44998</v>
      </c>
      <c r="E104" s="1" t="n">
        <v>46269</v>
      </c>
      <c r="F104" t="inlineStr">
        <is>
          <t>VÄSTRA GÖTALANDS LÄN</t>
        </is>
      </c>
      <c r="G104" t="inlineStr">
        <is>
          <t>UDDEVALLA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45723</v>
      </c>
      <c r="E105" s="1" t="n">
        <v>46269</v>
      </c>
      <c r="F105" t="inlineStr">
        <is>
          <t>VÄSTRA GÖTALANDS LÄN</t>
        </is>
      </c>
      <c r="G105" t="inlineStr">
        <is>
          <t>UDDEVALLA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44817</v>
      </c>
      <c r="E106" s="1" t="n">
        <v>46269</v>
      </c>
      <c r="F106" t="inlineStr">
        <is>
          <t>VÄSTRA GÖTALANDS LÄN</t>
        </is>
      </c>
      <c r="G106" t="inlineStr">
        <is>
          <t>UDDEVALLA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32531-2023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45121</v>
      </c>
      <c r="E107" s="1" t="n">
        <v>46269</v>
      </c>
      <c r="F107" t="inlineStr">
        <is>
          <t>VÄSTRA GÖTALANDS LÄN</t>
        </is>
      </c>
      <c r="G107" t="inlineStr">
        <is>
          <t>UDDEVALLA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45484</v>
      </c>
      <c r="E108" s="1" t="n">
        <v>46269</v>
      </c>
      <c r="F108" t="inlineStr">
        <is>
          <t>VÄSTRA GÖTALANDS LÄN</t>
        </is>
      </c>
      <c r="G108" t="inlineStr">
        <is>
          <t>UDDEVALLA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46269</v>
      </c>
      <c r="F109" t="inlineStr">
        <is>
          <t>VÄSTRA GÖTALANDS LÄN</t>
        </is>
      </c>
      <c r="G109" t="inlineStr">
        <is>
          <t>UDDEVALLA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46269</v>
      </c>
      <c r="F110" t="inlineStr">
        <is>
          <t>VÄSTRA GÖTALANDS LÄN</t>
        </is>
      </c>
      <c r="G110" t="inlineStr">
        <is>
          <t>UDDEVALLA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46269</v>
      </c>
      <c r="F111" t="inlineStr">
        <is>
          <t>VÄSTRA GÖTALANDS LÄN</t>
        </is>
      </c>
      <c r="G111" t="inlineStr">
        <is>
          <t>UDDEVALLA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46269</v>
      </c>
      <c r="F112" t="inlineStr">
        <is>
          <t>VÄSTRA GÖTALANDS LÄN</t>
        </is>
      </c>
      <c r="G112" t="inlineStr">
        <is>
          <t>UDDEVALLA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45484</v>
      </c>
      <c r="E113" s="1" t="n">
        <v>46269</v>
      </c>
      <c r="F113" t="inlineStr">
        <is>
          <t>VÄSTRA GÖTALANDS LÄN</t>
        </is>
      </c>
      <c r="G113" t="inlineStr">
        <is>
          <t>UDDEVALLA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44823</v>
      </c>
      <c r="E114" s="1" t="n">
        <v>46269</v>
      </c>
      <c r="F114" t="inlineStr">
        <is>
          <t>VÄSTRA GÖTALANDS LÄN</t>
        </is>
      </c>
      <c r="G114" t="inlineStr">
        <is>
          <t>UDDEVALLA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45771</v>
      </c>
      <c r="E115" s="1" t="n">
        <v>46269</v>
      </c>
      <c r="F115" t="inlineStr">
        <is>
          <t>VÄSTRA GÖTALANDS LÄN</t>
        </is>
      </c>
      <c r="G115" t="inlineStr">
        <is>
          <t>UDDEVALLA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63878-2021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46269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45168</v>
      </c>
      <c r="E117" s="1" t="n">
        <v>46269</v>
      </c>
      <c r="F117" t="inlineStr">
        <is>
          <t>VÄSTRA GÖTALANDS LÄN</t>
        </is>
      </c>
      <c r="G117" t="inlineStr">
        <is>
          <t>UDDEVALLA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45034</v>
      </c>
      <c r="E118" s="1" t="n">
        <v>46269</v>
      </c>
      <c r="F118" t="inlineStr">
        <is>
          <t>VÄSTRA GÖTALANDS LÄN</t>
        </is>
      </c>
      <c r="G118" t="inlineStr">
        <is>
          <t>UDDEVALLA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46269</v>
      </c>
      <c r="F119" t="inlineStr">
        <is>
          <t>VÄSTRA GÖTALANDS LÄN</t>
        </is>
      </c>
      <c r="G119" t="inlineStr">
        <is>
          <t>UDDEVALLA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45035</v>
      </c>
      <c r="E120" s="1" t="n">
        <v>46269</v>
      </c>
      <c r="F120" t="inlineStr">
        <is>
          <t>VÄSTRA GÖTALANDS LÄN</t>
        </is>
      </c>
      <c r="G120" t="inlineStr">
        <is>
          <t>UDDEVALLA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46269</v>
      </c>
      <c r="F121" t="inlineStr">
        <is>
          <t>VÄSTRA GÖTALANDS LÄN</t>
        </is>
      </c>
      <c r="G121" t="inlineStr">
        <is>
          <t>UDDEVALLA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18916-2025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45764</v>
      </c>
      <c r="E122" s="1" t="n">
        <v>46269</v>
      </c>
      <c r="F122" t="inlineStr">
        <is>
          <t>VÄSTRA GÖTALANDS LÄN</t>
        </is>
      </c>
      <c r="G122" t="inlineStr">
        <is>
          <t>UDDEVALLA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45843</v>
      </c>
      <c r="E123" s="1" t="n">
        <v>46269</v>
      </c>
      <c r="F123" t="inlineStr">
        <is>
          <t>VÄSTRA GÖTALANDS LÄN</t>
        </is>
      </c>
      <c r="G123" t="inlineStr">
        <is>
          <t>UDDEVALLA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45071</v>
      </c>
      <c r="E124" s="1" t="n">
        <v>46269</v>
      </c>
      <c r="F124" t="inlineStr">
        <is>
          <t>VÄSTRA GÖTALANDS LÄN</t>
        </is>
      </c>
      <c r="G124" t="inlineStr">
        <is>
          <t>UDDEVALLA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46269</v>
      </c>
      <c r="F125" t="inlineStr">
        <is>
          <t>VÄSTRA GÖTALANDS LÄN</t>
        </is>
      </c>
      <c r="G125" t="inlineStr">
        <is>
          <t>UDDEVALLA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45847</v>
      </c>
      <c r="E126" s="1" t="n">
        <v>46269</v>
      </c>
      <c r="F126" t="inlineStr">
        <is>
          <t>VÄSTRA GÖTALANDS LÄN</t>
        </is>
      </c>
      <c r="G126" t="inlineStr">
        <is>
          <t>UDDEVALLA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45638</v>
      </c>
      <c r="E127" s="1" t="n">
        <v>46269</v>
      </c>
      <c r="F127" t="inlineStr">
        <is>
          <t>VÄSTRA GÖTALANDS LÄN</t>
        </is>
      </c>
      <c r="G127" t="inlineStr">
        <is>
          <t>UDDEVALLA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45594</v>
      </c>
      <c r="E128" s="1" t="n">
        <v>46269</v>
      </c>
      <c r="F128" t="inlineStr">
        <is>
          <t>VÄSTRA GÖTALANDS LÄN</t>
        </is>
      </c>
      <c r="G128" t="inlineStr">
        <is>
          <t>UDDEVALLA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33092-2024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45517</v>
      </c>
      <c r="E129" s="1" t="n">
        <v>46269</v>
      </c>
      <c r="F129" t="inlineStr">
        <is>
          <t>VÄSTRA GÖTALANDS LÄN</t>
        </is>
      </c>
      <c r="G129" t="inlineStr">
        <is>
          <t>UDDEVALLA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45238</v>
      </c>
      <c r="E130" s="1" t="n">
        <v>46269</v>
      </c>
      <c r="F130" t="inlineStr">
        <is>
          <t>VÄSTRA GÖTALANDS LÄN</t>
        </is>
      </c>
      <c r="G130" t="inlineStr">
        <is>
          <t>UDDEVALLA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46269</v>
      </c>
      <c r="F131" t="inlineStr">
        <is>
          <t>VÄSTRA GÖTALANDS LÄN</t>
        </is>
      </c>
      <c r="G131" t="inlineStr">
        <is>
          <t>UDDEVALLA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46269</v>
      </c>
      <c r="F132" t="inlineStr">
        <is>
          <t>VÄSTRA GÖTALANDS LÄN</t>
        </is>
      </c>
      <c r="G132" t="inlineStr">
        <is>
          <t>UDDEVALLA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23806-2024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45455</v>
      </c>
      <c r="E133" s="1" t="n">
        <v>46269</v>
      </c>
      <c r="F133" t="inlineStr">
        <is>
          <t>VÄSTRA GÖTALANDS LÄN</t>
        </is>
      </c>
      <c r="G133" t="inlineStr">
        <is>
          <t>UDDEVALLA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45754</v>
      </c>
      <c r="E134" s="1" t="n">
        <v>46269</v>
      </c>
      <c r="F134" t="inlineStr">
        <is>
          <t>VÄSTRA GÖTALANDS LÄN</t>
        </is>
      </c>
      <c r="G134" t="inlineStr">
        <is>
          <t>UDDEVALLA</t>
        </is>
      </c>
      <c r="I134" t="n">
        <v>12.2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17058-2025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45754</v>
      </c>
      <c r="E135" s="1" t="n">
        <v>46269</v>
      </c>
      <c r="F135" t="inlineStr">
        <is>
          <t>VÄSTRA GÖTALANDS LÄN</t>
        </is>
      </c>
      <c r="G135" t="inlineStr">
        <is>
          <t>UDDEVALLA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33205-2023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45127</v>
      </c>
      <c r="E136" s="1" t="n">
        <v>46269</v>
      </c>
      <c r="F136" t="inlineStr">
        <is>
          <t>VÄSTRA GÖTALANDS LÄN</t>
        </is>
      </c>
      <c r="G136" t="inlineStr">
        <is>
          <t>UDDEVALLA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45183</v>
      </c>
      <c r="E137" s="1" t="n">
        <v>46269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45572</v>
      </c>
      <c r="E138" s="1" t="n">
        <v>46269</v>
      </c>
      <c r="F138" t="inlineStr">
        <is>
          <t>VÄSTRA GÖTALANDS LÄN</t>
        </is>
      </c>
      <c r="G138" t="inlineStr">
        <is>
          <t>UDDEVALLA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45758</v>
      </c>
      <c r="E139" s="1" t="n">
        <v>46269</v>
      </c>
      <c r="F139" t="inlineStr">
        <is>
          <t>VÄSTRA GÖTALANDS LÄN</t>
        </is>
      </c>
      <c r="G139" t="inlineStr">
        <is>
          <t>UDDEVALLA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39431-2024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45551</v>
      </c>
      <c r="E140" s="1" t="n">
        <v>46269</v>
      </c>
      <c r="F140" t="inlineStr">
        <is>
          <t>VÄSTRA GÖTALANDS LÄN</t>
        </is>
      </c>
      <c r="G140" t="inlineStr">
        <is>
          <t>UDDEVALLA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73437-2021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46269</v>
      </c>
      <c r="F141" t="inlineStr">
        <is>
          <t>VÄSTRA GÖTALANDS LÄN</t>
        </is>
      </c>
      <c r="G141" t="inlineStr">
        <is>
          <t>UDDEVALLA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45602</v>
      </c>
      <c r="E142" s="1" t="n">
        <v>46269</v>
      </c>
      <c r="F142" t="inlineStr">
        <is>
          <t>VÄSTRA GÖTALANDS LÄN</t>
        </is>
      </c>
      <c r="G142" t="inlineStr">
        <is>
          <t>UDDEVALLA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46269</v>
      </c>
      <c r="F143" t="inlineStr">
        <is>
          <t>VÄSTRA GÖTALANDS LÄN</t>
        </is>
      </c>
      <c r="G143" t="inlineStr">
        <is>
          <t>UDDEVALLA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41511-2024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46269</v>
      </c>
      <c r="F144" t="inlineStr">
        <is>
          <t>VÄSTRA GÖTALANDS LÄN</t>
        </is>
      </c>
      <c r="G144" t="inlineStr">
        <is>
          <t>UDDEVALLA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23887-2024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46269</v>
      </c>
      <c r="F145" t="inlineStr">
        <is>
          <t>VÄSTRA GÖTALANDS LÄN</t>
        </is>
      </c>
      <c r="G145" t="inlineStr">
        <is>
          <t>UDDEVALLA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21581-2023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45063</v>
      </c>
      <c r="E146" s="1" t="n">
        <v>46269</v>
      </c>
      <c r="F146" t="inlineStr">
        <is>
          <t>VÄSTRA GÖTALANDS LÄN</t>
        </is>
      </c>
      <c r="G146" t="inlineStr">
        <is>
          <t>UDDEVALLA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45882</v>
      </c>
      <c r="E147" s="1" t="n">
        <v>46269</v>
      </c>
      <c r="F147" t="inlineStr">
        <is>
          <t>VÄSTRA GÖTALANDS LÄN</t>
        </is>
      </c>
      <c r="G147" t="inlineStr">
        <is>
          <t>UDDEVALLA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45882</v>
      </c>
      <c r="E148" s="1" t="n">
        <v>46269</v>
      </c>
      <c r="F148" t="inlineStr">
        <is>
          <t>VÄSTRA GÖTALANDS LÄN</t>
        </is>
      </c>
      <c r="G148" t="inlineStr">
        <is>
          <t>UDDEVALLA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46269</v>
      </c>
      <c r="F149" t="inlineStr">
        <is>
          <t>VÄSTRA GÖTALANDS LÄN</t>
        </is>
      </c>
      <c r="G149" t="inlineStr">
        <is>
          <t>UDDEVALLA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4639-2022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44592</v>
      </c>
      <c r="E150" s="1" t="n">
        <v>46269</v>
      </c>
      <c r="F150" t="inlineStr">
        <is>
          <t>VÄSTRA GÖTALANDS LÄN</t>
        </is>
      </c>
      <c r="G150" t="inlineStr">
        <is>
          <t>UDDEVALLA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45631</v>
      </c>
      <c r="E151" s="1" t="n">
        <v>46269</v>
      </c>
      <c r="F151" t="inlineStr">
        <is>
          <t>VÄSTRA GÖTALANDS LÄN</t>
        </is>
      </c>
      <c r="G151" t="inlineStr">
        <is>
          <t>UDDEVALLA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45021</v>
      </c>
      <c r="E152" s="1" t="n">
        <v>46269</v>
      </c>
      <c r="F152" t="inlineStr">
        <is>
          <t>VÄSTRA GÖTALANDS LÄN</t>
        </is>
      </c>
      <c r="G152" t="inlineStr">
        <is>
          <t>UDDEVALLA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46269</v>
      </c>
      <c r="F153" t="inlineStr">
        <is>
          <t>VÄSTRA GÖTALANDS LÄN</t>
        </is>
      </c>
      <c r="G153" t="inlineStr">
        <is>
          <t>UDDEVALLA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2115-2025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45672</v>
      </c>
      <c r="E154" s="1" t="n">
        <v>46269</v>
      </c>
      <c r="F154" t="inlineStr">
        <is>
          <t>VÄSTRA GÖTALANDS LÄN</t>
        </is>
      </c>
      <c r="G154" t="inlineStr">
        <is>
          <t>UDDEVALLA</t>
        </is>
      </c>
      <c r="I154" t="n">
        <v>14.1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46269</v>
      </c>
      <c r="F155" t="inlineStr">
        <is>
          <t>VÄSTRA GÖTALANDS LÄN</t>
        </is>
      </c>
      <c r="G155" t="inlineStr">
        <is>
          <t>UDDEVALLA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44900</v>
      </c>
      <c r="E156" s="1" t="n">
        <v>46269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Kyrkan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45239</v>
      </c>
      <c r="E157" s="1" t="n">
        <v>46269</v>
      </c>
      <c r="F157" t="inlineStr">
        <is>
          <t>VÄSTRA GÖTALANDS LÄN</t>
        </is>
      </c>
      <c r="G157" t="inlineStr">
        <is>
          <t>UDDEVALLA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46269</v>
      </c>
      <c r="F158" t="inlineStr">
        <is>
          <t>VÄSTRA GÖTALANDS LÄN</t>
        </is>
      </c>
      <c r="G158" t="inlineStr">
        <is>
          <t>UDDEVALLA</t>
        </is>
      </c>
      <c r="I158" t="n">
        <v>7.7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46269</v>
      </c>
      <c r="F159" t="inlineStr">
        <is>
          <t>VÄSTRA GÖTALANDS LÄN</t>
        </is>
      </c>
      <c r="G159" t="inlineStr">
        <is>
          <t>UDDEVALLA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73437-2021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46269</v>
      </c>
      <c r="F160" t="inlineStr">
        <is>
          <t>VÄSTRA GÖTALANDS LÄN</t>
        </is>
      </c>
      <c r="G160" t="inlineStr">
        <is>
          <t>UDDEVALLA</t>
        </is>
      </c>
      <c r="I160" t="n">
        <v>8.1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45314</v>
      </c>
      <c r="E161" s="1" t="n">
        <v>46269</v>
      </c>
      <c r="F161" t="inlineStr">
        <is>
          <t>VÄSTRA GÖTALANDS LÄN</t>
        </is>
      </c>
      <c r="G161" t="inlineStr">
        <is>
          <t>UDDEVALLA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63397-2021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46269</v>
      </c>
      <c r="F162" t="inlineStr">
        <is>
          <t>VÄSTRA GÖTALANDS LÄN</t>
        </is>
      </c>
      <c r="G162" t="inlineStr">
        <is>
          <t>UDDEVALLA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46269</v>
      </c>
      <c r="F163" t="inlineStr">
        <is>
          <t>VÄSTRA GÖTALANDS LÄN</t>
        </is>
      </c>
      <c r="G163" t="inlineStr">
        <is>
          <t>UDDEVALLA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46269</v>
      </c>
      <c r="F164" t="inlineStr">
        <is>
          <t>VÄSTRA GÖTALANDS LÄN</t>
        </is>
      </c>
      <c r="G164" t="inlineStr">
        <is>
          <t>UDDEVALLA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59829-2023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45257</v>
      </c>
      <c r="E165" s="1" t="n">
        <v>46269</v>
      </c>
      <c r="F165" t="inlineStr">
        <is>
          <t>VÄSTRA GÖTALANDS LÄN</t>
        </is>
      </c>
      <c r="G165" t="inlineStr">
        <is>
          <t>UDDEVALLA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46269</v>
      </c>
      <c r="F166" t="inlineStr">
        <is>
          <t>VÄSTRA GÖTALANDS LÄN</t>
        </is>
      </c>
      <c r="G166" t="inlineStr">
        <is>
          <t>UDDEVALLA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69198-2021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46269</v>
      </c>
      <c r="F167" t="inlineStr">
        <is>
          <t>VÄSTRA GÖTALANDS LÄN</t>
        </is>
      </c>
      <c r="G167" t="inlineStr">
        <is>
          <t>UDDEVALLA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46269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45302</v>
      </c>
      <c r="E169" s="1" t="n">
        <v>46269</v>
      </c>
      <c r="F169" t="inlineStr">
        <is>
          <t>VÄSTRA GÖTALANDS LÄN</t>
        </is>
      </c>
      <c r="G169" t="inlineStr">
        <is>
          <t>UDDEVALLA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46269</v>
      </c>
      <c r="F170" t="inlineStr">
        <is>
          <t>VÄSTRA GÖTALANDS LÄN</t>
        </is>
      </c>
      <c r="G170" t="inlineStr">
        <is>
          <t>UDDEVALLA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44967</v>
      </c>
      <c r="E171" s="1" t="n">
        <v>46269</v>
      </c>
      <c r="F171" t="inlineStr">
        <is>
          <t>VÄSTRA GÖTALANDS LÄN</t>
        </is>
      </c>
      <c r="G171" t="inlineStr">
        <is>
          <t>UDDEVALLA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45150</v>
      </c>
      <c r="E172" s="1" t="n">
        <v>46269</v>
      </c>
      <c r="F172" t="inlineStr">
        <is>
          <t>VÄSTRA GÖTALANDS LÄN</t>
        </is>
      </c>
      <c r="G172" t="inlineStr">
        <is>
          <t>UDDEVALLA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33761-2023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45133</v>
      </c>
      <c r="E173" s="1" t="n">
        <v>46269</v>
      </c>
      <c r="F173" t="inlineStr">
        <is>
          <t>VÄSTRA GÖTALANDS LÄN</t>
        </is>
      </c>
      <c r="G173" t="inlineStr">
        <is>
          <t>UDDEVALLA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45097</v>
      </c>
      <c r="E174" s="1" t="n">
        <v>46269</v>
      </c>
      <c r="F174" t="inlineStr">
        <is>
          <t>VÄSTRA GÖTALANDS LÄN</t>
        </is>
      </c>
      <c r="G174" t="inlineStr">
        <is>
          <t>UDDEVALLA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46269</v>
      </c>
      <c r="F175" t="inlineStr">
        <is>
          <t>VÄSTRA GÖTALANDS LÄN</t>
        </is>
      </c>
      <c r="G175" t="inlineStr">
        <is>
          <t>UDDEVALLA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27869-2024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46269</v>
      </c>
      <c r="F176" t="inlineStr">
        <is>
          <t>VÄSTRA GÖTALANDS LÄN</t>
        </is>
      </c>
      <c r="G176" t="inlineStr">
        <is>
          <t>UDDEVALLA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45387</v>
      </c>
      <c r="E177" s="1" t="n">
        <v>46269</v>
      </c>
      <c r="F177" t="inlineStr">
        <is>
          <t>VÄSTRA GÖTALANDS LÄN</t>
        </is>
      </c>
      <c r="G177" t="inlineStr">
        <is>
          <t>UDDEVALLA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44572</v>
      </c>
      <c r="E178" s="1" t="n">
        <v>46269</v>
      </c>
      <c r="F178" t="inlineStr">
        <is>
          <t>VÄSTRA GÖTALANDS LÄN</t>
        </is>
      </c>
      <c r="G178" t="inlineStr">
        <is>
          <t>UDDEVALLA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45112</v>
      </c>
      <c r="E179" s="1" t="n">
        <v>46269</v>
      </c>
      <c r="F179" t="inlineStr">
        <is>
          <t>VÄSTRA GÖTALANDS LÄN</t>
        </is>
      </c>
      <c r="G179" t="inlineStr">
        <is>
          <t>UDDEVALLA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39395-2025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46269</v>
      </c>
      <c r="F180" t="inlineStr">
        <is>
          <t>VÄSTRA GÖTALANDS LÄN</t>
        </is>
      </c>
      <c r="G180" t="inlineStr">
        <is>
          <t>UDDEVALLA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62041-2024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45656</v>
      </c>
      <c r="E181" s="1" t="n">
        <v>46269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Kommuner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58958-2021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44489</v>
      </c>
      <c r="E182" s="1" t="n">
        <v>46269</v>
      </c>
      <c r="F182" t="inlineStr">
        <is>
          <t>VÄSTRA GÖTALANDS LÄN</t>
        </is>
      </c>
      <c r="G182" t="inlineStr">
        <is>
          <t>UDDEVALLA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45907</v>
      </c>
      <c r="E183" s="1" t="n">
        <v>46269</v>
      </c>
      <c r="F183" t="inlineStr">
        <is>
          <t>VÄSTRA GÖTALANDS LÄN</t>
        </is>
      </c>
      <c r="G183" t="inlineStr">
        <is>
          <t>UDDEVALLA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45365</v>
      </c>
      <c r="E184" s="1" t="n">
        <v>46269</v>
      </c>
      <c r="F184" t="inlineStr">
        <is>
          <t>VÄSTRA GÖTALANDS LÄN</t>
        </is>
      </c>
      <c r="G184" t="inlineStr">
        <is>
          <t>UDDEVALLA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46269</v>
      </c>
      <c r="F185" t="inlineStr">
        <is>
          <t>VÄSTRA GÖTALANDS LÄN</t>
        </is>
      </c>
      <c r="G185" t="inlineStr">
        <is>
          <t>UDDEVALLA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45901</v>
      </c>
      <c r="E186" s="1" t="n">
        <v>46269</v>
      </c>
      <c r="F186" t="inlineStr">
        <is>
          <t>VÄSTRA GÖTALANDS LÄN</t>
        </is>
      </c>
      <c r="G186" t="inlineStr">
        <is>
          <t>UDDEVALLA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46269</v>
      </c>
      <c r="F187" t="inlineStr">
        <is>
          <t>VÄSTRA GÖTALANDS LÄN</t>
        </is>
      </c>
      <c r="G187" t="inlineStr">
        <is>
          <t>UDDEVALLA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46269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46269</v>
      </c>
      <c r="F189" t="inlineStr">
        <is>
          <t>VÄSTRA GÖTALANDS LÄN</t>
        </is>
      </c>
      <c r="G189" t="inlineStr">
        <is>
          <t>UDDEVALLA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20401-2026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46139</v>
      </c>
      <c r="E190" s="1" t="n">
        <v>46269</v>
      </c>
      <c r="F190" t="inlineStr">
        <is>
          <t>VÄSTRA GÖTALANDS LÄN</t>
        </is>
      </c>
      <c r="G190" t="inlineStr">
        <is>
          <t>UDDEVALLA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46269</v>
      </c>
      <c r="F191" t="inlineStr">
        <is>
          <t>VÄSTRA GÖTALANDS LÄN</t>
        </is>
      </c>
      <c r="G191" t="inlineStr">
        <is>
          <t>UDDEVALLA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44981</v>
      </c>
      <c r="E192" s="1" t="n">
        <v>46269</v>
      </c>
      <c r="F192" t="inlineStr">
        <is>
          <t>VÄSTRA GÖTALANDS LÄN</t>
        </is>
      </c>
      <c r="G192" t="inlineStr">
        <is>
          <t>UDDEVALLA</t>
        </is>
      </c>
      <c r="H192" t="inlineStr">
        <is>
          <t>Kyrkan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46269</v>
      </c>
      <c r="F193" t="inlineStr">
        <is>
          <t>VÄSTRA GÖTALANDS LÄN</t>
        </is>
      </c>
      <c r="G193" t="inlineStr">
        <is>
          <t>UDDEVALLA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45279</v>
      </c>
      <c r="E194" s="1" t="n">
        <v>46269</v>
      </c>
      <c r="F194" t="inlineStr">
        <is>
          <t>VÄSTRA GÖTALANDS LÄN</t>
        </is>
      </c>
      <c r="G194" t="inlineStr">
        <is>
          <t>UDDEVALLA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46899-2024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46269</v>
      </c>
      <c r="F195" t="inlineStr">
        <is>
          <t>VÄSTRA GÖTALANDS LÄN</t>
        </is>
      </c>
      <c r="G195" t="inlineStr">
        <is>
          <t>UDDEVALLA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46269</v>
      </c>
      <c r="F196" t="inlineStr">
        <is>
          <t>VÄSTRA GÖTALANDS LÄN</t>
        </is>
      </c>
      <c r="G196" t="inlineStr">
        <is>
          <t>UDDEVALLA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46269</v>
      </c>
      <c r="F197" t="inlineStr">
        <is>
          <t>VÄSTRA GÖTALANDS LÄN</t>
        </is>
      </c>
      <c r="G197" t="inlineStr">
        <is>
          <t>UDDEVALLA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45914</v>
      </c>
      <c r="E198" s="1" t="n">
        <v>46269</v>
      </c>
      <c r="F198" t="inlineStr">
        <is>
          <t>VÄSTRA GÖTALANDS LÄN</t>
        </is>
      </c>
      <c r="G198" t="inlineStr">
        <is>
          <t>UDDEVALLA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45914</v>
      </c>
      <c r="E199" s="1" t="n">
        <v>46269</v>
      </c>
      <c r="F199" t="inlineStr">
        <is>
          <t>VÄSTRA GÖTALANDS LÄN</t>
        </is>
      </c>
      <c r="G199" t="inlineStr">
        <is>
          <t>UDDEVALLA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44582</v>
      </c>
      <c r="E200" s="1" t="n">
        <v>46269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45149-2024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46269</v>
      </c>
      <c r="F201" t="inlineStr">
        <is>
          <t>VÄSTRA GÖTALANDS LÄN</t>
        </is>
      </c>
      <c r="G201" t="inlineStr">
        <is>
          <t>UDDEVALLA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44578</v>
      </c>
      <c r="E202" s="1" t="n">
        <v>46269</v>
      </c>
      <c r="F202" t="inlineStr">
        <is>
          <t>VÄSTRA GÖTALANDS LÄN</t>
        </is>
      </c>
      <c r="G202" t="inlineStr">
        <is>
          <t>UDDEVALLA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45919</v>
      </c>
      <c r="E203" s="1" t="n">
        <v>46269</v>
      </c>
      <c r="F203" t="inlineStr">
        <is>
          <t>VÄSTRA GÖTALANDS LÄN</t>
        </is>
      </c>
      <c r="G203" t="inlineStr">
        <is>
          <t>UDDEVALLA</t>
        </is>
      </c>
      <c r="I203" t="n">
        <v>19.4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40027-2024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46269</v>
      </c>
      <c r="F204" t="inlineStr">
        <is>
          <t>VÄSTRA GÖTALANDS LÄN</t>
        </is>
      </c>
      <c r="G204" t="inlineStr">
        <is>
          <t>UDDEVALLA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46269</v>
      </c>
      <c r="F205" t="inlineStr">
        <is>
          <t>VÄSTRA GÖTALANDS LÄN</t>
        </is>
      </c>
      <c r="G205" t="inlineStr">
        <is>
          <t>UDDEVALLA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45226</v>
      </c>
      <c r="E206" s="1" t="n">
        <v>46269</v>
      </c>
      <c r="F206" t="inlineStr">
        <is>
          <t>VÄSTRA GÖTALANDS LÄN</t>
        </is>
      </c>
      <c r="G206" t="inlineStr">
        <is>
          <t>UDDEVALLA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46269</v>
      </c>
      <c r="F207" t="inlineStr">
        <is>
          <t>VÄSTRA GÖTALANDS LÄN</t>
        </is>
      </c>
      <c r="G207" t="inlineStr">
        <is>
          <t>UDDEVALLA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46269</v>
      </c>
      <c r="F208" t="inlineStr">
        <is>
          <t>VÄSTRA GÖTALANDS LÄN</t>
        </is>
      </c>
      <c r="G208" t="inlineStr">
        <is>
          <t>UDDEVALLA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46269</v>
      </c>
      <c r="F209" t="inlineStr">
        <is>
          <t>VÄSTRA GÖTALANDS LÄN</t>
        </is>
      </c>
      <c r="G209" t="inlineStr">
        <is>
          <t>UDDEVALLA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46269</v>
      </c>
      <c r="F210" t="inlineStr">
        <is>
          <t>VÄSTRA GÖTALANDS LÄN</t>
        </is>
      </c>
      <c r="G210" t="inlineStr">
        <is>
          <t>UDDEVALLA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6875-2022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44602</v>
      </c>
      <c r="E211" s="1" t="n">
        <v>46269</v>
      </c>
      <c r="F211" t="inlineStr">
        <is>
          <t>VÄSTRA GÖTALANDS LÄN</t>
        </is>
      </c>
      <c r="G211" t="inlineStr">
        <is>
          <t>UDDEVALLA</t>
        </is>
      </c>
      <c r="I211" t="n">
        <v>9.6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46269</v>
      </c>
      <c r="F212" t="inlineStr">
        <is>
          <t>VÄSTRA GÖTALANDS LÄN</t>
        </is>
      </c>
      <c r="G212" t="inlineStr">
        <is>
          <t>UDDEVALLA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46269</v>
      </c>
      <c r="F213" t="inlineStr">
        <is>
          <t>VÄSTRA GÖTALANDS LÄN</t>
        </is>
      </c>
      <c r="G213" t="inlineStr">
        <is>
          <t>UDDEVALLA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73007-2021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44550</v>
      </c>
      <c r="E214" s="1" t="n">
        <v>46269</v>
      </c>
      <c r="F214" t="inlineStr">
        <is>
          <t>VÄSTRA GÖTALANDS LÄN</t>
        </is>
      </c>
      <c r="G214" t="inlineStr">
        <is>
          <t>UDDEVALLA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60241-2024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45642</v>
      </c>
      <c r="E215" s="1" t="n">
        <v>46269</v>
      </c>
      <c r="F215" t="inlineStr">
        <is>
          <t>VÄSTRA GÖTALANDS LÄN</t>
        </is>
      </c>
      <c r="G215" t="inlineStr">
        <is>
          <t>UDDEVALLA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45656</v>
      </c>
      <c r="E216" s="1" t="n">
        <v>46269</v>
      </c>
      <c r="F216" t="inlineStr">
        <is>
          <t>VÄSTRA GÖTALANDS LÄN</t>
        </is>
      </c>
      <c r="G216" t="inlineStr">
        <is>
          <t>UDDEVALLA</t>
        </is>
      </c>
      <c r="H216" t="inlineStr">
        <is>
          <t>Kommuner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45470</v>
      </c>
      <c r="E217" s="1" t="n">
        <v>46269</v>
      </c>
      <c r="F217" t="inlineStr">
        <is>
          <t>VÄSTRA GÖTALANDS LÄN</t>
        </is>
      </c>
      <c r="G217" t="inlineStr">
        <is>
          <t>UDDEVALLA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45656</v>
      </c>
      <c r="E218" s="1" t="n">
        <v>46269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Kommuner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45656</v>
      </c>
      <c r="E219" s="1" t="n">
        <v>46269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Kommuner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45440</v>
      </c>
      <c r="E220" s="1" t="n">
        <v>46269</v>
      </c>
      <c r="F220" t="inlineStr">
        <is>
          <t>VÄSTRA GÖTALANDS LÄN</t>
        </is>
      </c>
      <c r="G220" t="inlineStr">
        <is>
          <t>UDDEVALLA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45656</v>
      </c>
      <c r="E221" s="1" t="n">
        <v>46269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Kommuner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46269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62077-2024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45656</v>
      </c>
      <c r="E223" s="1" t="n">
        <v>46269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Kommuner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46147</v>
      </c>
      <c r="E224" s="1" t="n">
        <v>46269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46148</v>
      </c>
      <c r="E225" s="1" t="n">
        <v>46269</v>
      </c>
      <c r="F225" t="inlineStr">
        <is>
          <t>VÄSTRA GÖTALANDS LÄN</t>
        </is>
      </c>
      <c r="G225" t="inlineStr">
        <is>
          <t>UDDEVALLA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45939</v>
      </c>
      <c r="E226" s="1" t="n">
        <v>46269</v>
      </c>
      <c r="F226" t="inlineStr">
        <is>
          <t>VÄSTRA GÖTALANDS LÄN</t>
        </is>
      </c>
      <c r="G226" t="inlineStr">
        <is>
          <t>UDDEVALLA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46269</v>
      </c>
      <c r="F227" t="inlineStr">
        <is>
          <t>VÄSTRA GÖTALANDS LÄN</t>
        </is>
      </c>
      <c r="G227" t="inlineStr">
        <is>
          <t>UDDEVALLA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46269</v>
      </c>
      <c r="F228" t="inlineStr">
        <is>
          <t>VÄSTRA GÖTALANDS LÄN</t>
        </is>
      </c>
      <c r="G228" t="inlineStr">
        <is>
          <t>UDDEVALLA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46269</v>
      </c>
      <c r="F229" t="inlineStr">
        <is>
          <t>VÄSTRA GÖTALANDS LÄN</t>
        </is>
      </c>
      <c r="G229" t="inlineStr">
        <is>
          <t>UDDEVALLA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46269</v>
      </c>
      <c r="F230" t="inlineStr">
        <is>
          <t>VÄSTRA GÖTALANDS LÄN</t>
        </is>
      </c>
      <c r="G230" t="inlineStr">
        <is>
          <t>UDDEVALLA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45945</v>
      </c>
      <c r="E231" s="1" t="n">
        <v>46269</v>
      </c>
      <c r="F231" t="inlineStr">
        <is>
          <t>VÄSTRA GÖTALANDS LÄN</t>
        </is>
      </c>
      <c r="G231" t="inlineStr">
        <is>
          <t>UDDEVALLA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51747-2025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45950</v>
      </c>
      <c r="E232" s="1" t="n">
        <v>46269</v>
      </c>
      <c r="F232" t="inlineStr">
        <is>
          <t>VÄSTRA GÖTALANDS LÄN</t>
        </is>
      </c>
      <c r="G232" t="inlineStr">
        <is>
          <t>UDDEVALLA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49737-2025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45940</v>
      </c>
      <c r="E233" s="1" t="n">
        <v>46269</v>
      </c>
      <c r="F233" t="inlineStr">
        <is>
          <t>VÄSTRA GÖTALANDS LÄN</t>
        </is>
      </c>
      <c r="G233" t="inlineStr">
        <is>
          <t>UDDEVALLA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9797-2023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44984</v>
      </c>
      <c r="E234" s="1" t="n">
        <v>46269</v>
      </c>
      <c r="F234" t="inlineStr">
        <is>
          <t>VÄSTRA GÖTALANDS LÄN</t>
        </is>
      </c>
      <c r="G234" t="inlineStr">
        <is>
          <t>UDDEVALLA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46269</v>
      </c>
      <c r="F235" t="inlineStr">
        <is>
          <t>VÄSTRA GÖTALANDS LÄN</t>
        </is>
      </c>
      <c r="G235" t="inlineStr">
        <is>
          <t>UDDEVALLA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46269</v>
      </c>
      <c r="F236" t="inlineStr">
        <is>
          <t>VÄSTRA GÖTALANDS LÄN</t>
        </is>
      </c>
      <c r="G236" t="inlineStr">
        <is>
          <t>UDDEVALLA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46269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Övriga statliga verk och myndigheter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46269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46269</v>
      </c>
      <c r="F239" t="inlineStr">
        <is>
          <t>VÄSTRA GÖTALANDS LÄN</t>
        </is>
      </c>
      <c r="G239" t="inlineStr">
        <is>
          <t>UDDEVALLA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45975</v>
      </c>
      <c r="E240" s="1" t="n">
        <v>46269</v>
      </c>
      <c r="F240" t="inlineStr">
        <is>
          <t>VÄSTRA GÖTALANDS LÄN</t>
        </is>
      </c>
      <c r="G240" t="inlineStr">
        <is>
          <t>UDDEVALLA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17964-2022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44683</v>
      </c>
      <c r="E241" s="1" t="n">
        <v>46269</v>
      </c>
      <c r="F241" t="inlineStr">
        <is>
          <t>VÄSTRA GÖTALANDS LÄN</t>
        </is>
      </c>
      <c r="G241" t="inlineStr">
        <is>
          <t>UDDEVALLA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46269</v>
      </c>
      <c r="F242" t="inlineStr">
        <is>
          <t>VÄSTRA GÖTALANDS LÄN</t>
        </is>
      </c>
      <c r="G242" t="inlineStr">
        <is>
          <t>UDDEVALLA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30639-2024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45495</v>
      </c>
      <c r="E243" s="1" t="n">
        <v>46269</v>
      </c>
      <c r="F243" t="inlineStr">
        <is>
          <t>VÄSTRA GÖTALANDS LÄN</t>
        </is>
      </c>
      <c r="G243" t="inlineStr">
        <is>
          <t>UDDEVALLA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46269</v>
      </c>
      <c r="F244" t="inlineStr">
        <is>
          <t>VÄSTRA GÖTALANDS LÄN</t>
        </is>
      </c>
      <c r="G244" t="inlineStr">
        <is>
          <t>UDDEVALLA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46269</v>
      </c>
      <c r="F245" t="inlineStr">
        <is>
          <t>VÄSTRA GÖTALANDS LÄN</t>
        </is>
      </c>
      <c r="G245" t="inlineStr">
        <is>
          <t>UDDEVALLA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46269</v>
      </c>
      <c r="F246" t="inlineStr">
        <is>
          <t>VÄSTRA GÖTALANDS LÄN</t>
        </is>
      </c>
      <c r="G246" t="inlineStr">
        <is>
          <t>UDDEVALLA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46269</v>
      </c>
      <c r="F247" t="inlineStr">
        <is>
          <t>VÄSTRA GÖTALANDS LÄN</t>
        </is>
      </c>
      <c r="G247" t="inlineStr">
        <is>
          <t>UDDEVALLA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46269</v>
      </c>
      <c r="F248" t="inlineStr">
        <is>
          <t>VÄSTRA GÖTALANDS LÄN</t>
        </is>
      </c>
      <c r="G248" t="inlineStr">
        <is>
          <t>UDDEVALLA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46269</v>
      </c>
      <c r="F249" t="inlineStr">
        <is>
          <t>VÄSTRA GÖTALANDS LÄN</t>
        </is>
      </c>
      <c r="G249" t="inlineStr">
        <is>
          <t>UDDEVALLA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46269</v>
      </c>
      <c r="F250" t="inlineStr">
        <is>
          <t>VÄSTRA GÖTALANDS LÄN</t>
        </is>
      </c>
      <c r="G250" t="inlineStr">
        <is>
          <t>UDDEVALLA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59801-2025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46269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46269</v>
      </c>
      <c r="F252" t="inlineStr">
        <is>
          <t>VÄSTRA GÖTALANDS LÄN</t>
        </is>
      </c>
      <c r="G252" t="inlineStr">
        <is>
          <t>UDDEVALLA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46269</v>
      </c>
      <c r="F253" t="inlineStr">
        <is>
          <t>VÄSTRA GÖTALANDS LÄN</t>
        </is>
      </c>
      <c r="G253" t="inlineStr">
        <is>
          <t>UDDEVALLA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25993-2026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46181</v>
      </c>
      <c r="E254" s="1" t="n">
        <v>46269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Kommuner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46269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46269</v>
      </c>
      <c r="F256" t="inlineStr">
        <is>
          <t>VÄSTRA GÖTALANDS LÄN</t>
        </is>
      </c>
      <c r="G256" t="inlineStr">
        <is>
          <t>UDDEVALLA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70491-2021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46269</v>
      </c>
      <c r="F257" t="inlineStr">
        <is>
          <t>VÄSTRA GÖTALANDS LÄN</t>
        </is>
      </c>
      <c r="G257" t="inlineStr">
        <is>
          <t>UDDEVALLA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46269</v>
      </c>
      <c r="F258" t="inlineStr">
        <is>
          <t>VÄSTRA GÖTALANDS LÄN</t>
        </is>
      </c>
      <c r="G258" t="inlineStr">
        <is>
          <t>UDDEVALLA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45141</v>
      </c>
      <c r="E259" s="1" t="n">
        <v>46269</v>
      </c>
      <c r="F259" t="inlineStr">
        <is>
          <t>VÄSTRA GÖTALANDS LÄN</t>
        </is>
      </c>
      <c r="G259" t="inlineStr">
        <is>
          <t>UDDEVALLA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46269</v>
      </c>
      <c r="F260" t="inlineStr">
        <is>
          <t>VÄSTRA GÖTALANDS LÄN</t>
        </is>
      </c>
      <c r="G260" t="inlineStr">
        <is>
          <t>UDDEVALLA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46269</v>
      </c>
      <c r="F261" t="inlineStr">
        <is>
          <t>VÄSTRA GÖTALANDS LÄN</t>
        </is>
      </c>
      <c r="G261" t="inlineStr">
        <is>
          <t>UDDEVALLA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46027</v>
      </c>
      <c r="E262" s="1" t="n">
        <v>46269</v>
      </c>
      <c r="F262" t="inlineStr">
        <is>
          <t>VÄSTRA GÖTALANDS LÄN</t>
        </is>
      </c>
      <c r="G262" t="inlineStr">
        <is>
          <t>UDDEVALLA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46269</v>
      </c>
      <c r="F263" t="inlineStr">
        <is>
          <t>VÄSTRA GÖTALANDS LÄN</t>
        </is>
      </c>
      <c r="G263" t="inlineStr">
        <is>
          <t>UDDEVALLA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46269</v>
      </c>
      <c r="F264" t="inlineStr">
        <is>
          <t>VÄSTRA GÖTALANDS LÄN</t>
        </is>
      </c>
      <c r="G264" t="inlineStr">
        <is>
          <t>UDDEVALLA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46269</v>
      </c>
      <c r="F265" t="inlineStr">
        <is>
          <t>VÄSTRA GÖTALANDS LÄN</t>
        </is>
      </c>
      <c r="G265" t="inlineStr">
        <is>
          <t>UDDEVALLA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46269</v>
      </c>
      <c r="F266" t="inlineStr">
        <is>
          <t>VÄSTRA GÖTALANDS LÄN</t>
        </is>
      </c>
      <c r="G266" t="inlineStr">
        <is>
          <t>UDDEVALLA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44959</v>
      </c>
      <c r="E267" s="1" t="n">
        <v>46269</v>
      </c>
      <c r="F267" t="inlineStr">
        <is>
          <t>VÄSTRA GÖTALANDS LÄN</t>
        </is>
      </c>
      <c r="G267" t="inlineStr">
        <is>
          <t>UDDEVALLA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46269</v>
      </c>
      <c r="F268" t="inlineStr">
        <is>
          <t>VÄSTRA GÖTALANDS LÄN</t>
        </is>
      </c>
      <c r="G268" t="inlineStr">
        <is>
          <t>UDDEVALLA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46269</v>
      </c>
      <c r="F269" t="inlineStr">
        <is>
          <t>VÄSTRA GÖTALANDS LÄN</t>
        </is>
      </c>
      <c r="G269" t="inlineStr">
        <is>
          <t>UDDEVALLA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46269</v>
      </c>
      <c r="F270" t="inlineStr">
        <is>
          <t>VÄSTRA GÖTALANDS LÄN</t>
        </is>
      </c>
      <c r="G270" t="inlineStr">
        <is>
          <t>UDDEVALLA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46269</v>
      </c>
      <c r="F271" t="inlineStr">
        <is>
          <t>VÄSTRA GÖTALANDS LÄN</t>
        </is>
      </c>
      <c r="G271" t="inlineStr">
        <is>
          <t>UDDEVALLA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46044</v>
      </c>
      <c r="E272" s="1" t="n">
        <v>46269</v>
      </c>
      <c r="F272" t="inlineStr">
        <is>
          <t>VÄSTRA GÖTALANDS LÄN</t>
        </is>
      </c>
      <c r="G272" t="inlineStr">
        <is>
          <t>UDDEVALLA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45028</v>
      </c>
      <c r="E273" s="1" t="n">
        <v>46269</v>
      </c>
      <c r="F273" t="inlineStr">
        <is>
          <t>VÄSTRA GÖTALANDS LÄN</t>
        </is>
      </c>
      <c r="G273" t="inlineStr">
        <is>
          <t>UDDEVALLA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46269</v>
      </c>
      <c r="F274" t="inlineStr">
        <is>
          <t>VÄSTRA GÖTALANDS LÄN</t>
        </is>
      </c>
      <c r="G274" t="inlineStr">
        <is>
          <t>UDDEVALLA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46269</v>
      </c>
      <c r="F275" t="inlineStr">
        <is>
          <t>VÄSTRA GÖTALANDS LÄN</t>
        </is>
      </c>
      <c r="G275" t="inlineStr">
        <is>
          <t>UDDEVALLA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46269</v>
      </c>
      <c r="F276" t="inlineStr">
        <is>
          <t>VÄSTRA GÖTALANDS LÄN</t>
        </is>
      </c>
      <c r="G276" t="inlineStr">
        <is>
          <t>UDDEVALLA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45089</v>
      </c>
      <c r="E277" s="1" t="n">
        <v>46269</v>
      </c>
      <c r="F277" t="inlineStr">
        <is>
          <t>VÄSTRA GÖTALANDS LÄN</t>
        </is>
      </c>
      <c r="G277" t="inlineStr">
        <is>
          <t>UDDEVALLA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40297-2024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45554</v>
      </c>
      <c r="E278" s="1" t="n">
        <v>46269</v>
      </c>
      <c r="F278" t="inlineStr">
        <is>
          <t>VÄSTRA GÖTALANDS LÄN</t>
        </is>
      </c>
      <c r="G278" t="inlineStr">
        <is>
          <t>UDDEVALLA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46206</v>
      </c>
      <c r="E279" s="1" t="n">
        <v>46269</v>
      </c>
      <c r="F279" t="inlineStr">
        <is>
          <t>VÄSTRA GÖTALANDS LÄN</t>
        </is>
      </c>
      <c r="G279" t="inlineStr">
        <is>
          <t>UDDEVALLA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46269</v>
      </c>
      <c r="F280" t="inlineStr">
        <is>
          <t>VÄSTRA GÖTALANDS LÄN</t>
        </is>
      </c>
      <c r="G280" t="inlineStr">
        <is>
          <t>UDDEVALLA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46269</v>
      </c>
      <c r="F281" t="inlineStr">
        <is>
          <t>VÄSTRA GÖTALANDS LÄN</t>
        </is>
      </c>
      <c r="G281" t="inlineStr">
        <is>
          <t>UDDEVALLA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10436-2026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46076</v>
      </c>
      <c r="E282" s="1" t="n">
        <v>46269</v>
      </c>
      <c r="F282" t="inlineStr">
        <is>
          <t>VÄSTRA GÖTALANDS LÄN</t>
        </is>
      </c>
      <c r="G282" t="inlineStr">
        <is>
          <t>UDDEVALLA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33865-2026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46251</v>
      </c>
      <c r="E283" s="1" t="n">
        <v>46269</v>
      </c>
      <c r="F283" t="inlineStr">
        <is>
          <t>VÄSTRA GÖTALANDS LÄN</t>
        </is>
      </c>
      <c r="G283" t="inlineStr">
        <is>
          <t>UDDEVALLA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46210</v>
      </c>
      <c r="E284" s="1" t="n">
        <v>46269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Kommuner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46269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30517-2026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46269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30744-2026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46211</v>
      </c>
      <c r="E287" s="1" t="n">
        <v>46269</v>
      </c>
      <c r="F287" t="inlineStr">
        <is>
          <t>VÄSTRA GÖTALANDS LÄN</t>
        </is>
      </c>
      <c r="G287" t="inlineStr">
        <is>
          <t>UDDEVALLA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46269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59606-2025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46269</v>
      </c>
      <c r="F289" t="inlineStr">
        <is>
          <t>VÄSTRA GÖTALANDS LÄN</t>
        </is>
      </c>
      <c r="G289" t="inlineStr">
        <is>
          <t>UDDEVALLA</t>
        </is>
      </c>
      <c r="H289" t="inlineStr">
        <is>
          <t>Kyrkan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46269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16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57762-2025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45981</v>
      </c>
      <c r="E291" s="1" t="n">
        <v>46269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15334-2024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45400</v>
      </c>
      <c r="E292" s="1" t="n">
        <v>46269</v>
      </c>
      <c r="F292" t="inlineStr">
        <is>
          <t>VÄSTRA GÖTALANDS LÄN</t>
        </is>
      </c>
      <c r="G292" t="inlineStr">
        <is>
          <t>UDDEVALLA</t>
        </is>
      </c>
      <c r="H292" t="inlineStr">
        <is>
          <t>Kyrkan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46269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37427-2024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45540</v>
      </c>
      <c r="E294" s="1" t="n">
        <v>46269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Kyrkan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46258</v>
      </c>
      <c r="E295" s="1" t="n">
        <v>46269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46269</v>
      </c>
      <c r="F296" t="inlineStr">
        <is>
          <t>VÄSTRA GÖTALANDS LÄN</t>
        </is>
      </c>
      <c r="G296" t="inlineStr">
        <is>
          <t>UDDEVALLA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46269</v>
      </c>
      <c r="F297" t="inlineStr">
        <is>
          <t>VÄSTRA GÖTALANDS LÄN</t>
        </is>
      </c>
      <c r="G297" t="inlineStr">
        <is>
          <t>UDDEVALLA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30815-2026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46212</v>
      </c>
      <c r="E298" s="1" t="n">
        <v>46269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Kyrkan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8893-2024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45355</v>
      </c>
      <c r="E299" s="1" t="n">
        <v>46269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46269</v>
      </c>
      <c r="F300" t="inlineStr">
        <is>
          <t>VÄSTRA GÖTALANDS LÄN</t>
        </is>
      </c>
      <c r="G300" t="inlineStr">
        <is>
          <t>UDDEVALLA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46269</v>
      </c>
      <c r="F301" t="inlineStr">
        <is>
          <t>VÄSTRA GÖTALANDS LÄN</t>
        </is>
      </c>
      <c r="G301" t="inlineStr">
        <is>
          <t>UDDEVALLA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16819-2026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46113</v>
      </c>
      <c r="E302" s="1" t="n">
        <v>46269</v>
      </c>
      <c r="F302" t="inlineStr">
        <is>
          <t>VÄSTRA GÖTALANDS LÄN</t>
        </is>
      </c>
      <c r="G302" t="inlineStr">
        <is>
          <t>UDDEVALLA</t>
        </is>
      </c>
      <c r="I302" t="n">
        <v>6.9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16929-2026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46269</v>
      </c>
      <c r="F303" t="inlineStr">
        <is>
          <t>VÄSTRA GÖTALANDS LÄN</t>
        </is>
      </c>
      <c r="G303" t="inlineStr">
        <is>
          <t>UDDEVALLA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45167</v>
      </c>
      <c r="E304" s="1" t="n">
        <v>46269</v>
      </c>
      <c r="F304" t="inlineStr">
        <is>
          <t>VÄSTRA GÖTALANDS LÄN</t>
        </is>
      </c>
      <c r="G304" t="inlineStr">
        <is>
          <t>UDDEVALLA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46269</v>
      </c>
      <c r="F305" t="inlineStr">
        <is>
          <t>VÄSTRA GÖTALANDS LÄN</t>
        </is>
      </c>
      <c r="G305" t="inlineStr">
        <is>
          <t>UDDEVALLA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31481-2026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46222</v>
      </c>
      <c r="E306" s="1" t="n">
        <v>46269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Kommuner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46269</v>
      </c>
      <c r="F307" t="inlineStr">
        <is>
          <t>VÄSTRA GÖTALANDS LÄN</t>
        </is>
      </c>
      <c r="G307" t="inlineStr">
        <is>
          <t>UDDEVALLA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46266</v>
      </c>
      <c r="E308" s="1" t="n">
        <v>46269</v>
      </c>
      <c r="F308" t="inlineStr">
        <is>
          <t>VÄSTRA GÖTALANDS LÄN</t>
        </is>
      </c>
      <c r="G308" t="inlineStr">
        <is>
          <t>UDDEVALLA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46269</v>
      </c>
      <c r="F309" t="inlineStr">
        <is>
          <t>VÄSTRA GÖTALANDS LÄN</t>
        </is>
      </c>
      <c r="G309" t="inlineStr">
        <is>
          <t>UDDEVALLA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17729-2026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46121</v>
      </c>
      <c r="E310" s="1" t="n">
        <v>46269</v>
      </c>
      <c r="F310" t="inlineStr">
        <is>
          <t>VÄSTRA GÖTALANDS LÄN</t>
        </is>
      </c>
      <c r="G310" t="inlineStr">
        <is>
          <t>UDDEVALLA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46269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18207-2026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46125</v>
      </c>
      <c r="E312" s="1" t="n">
        <v>46269</v>
      </c>
      <c r="F312" t="inlineStr">
        <is>
          <t>VÄSTRA GÖTALANDS LÄN</t>
        </is>
      </c>
      <c r="G312" t="inlineStr">
        <is>
          <t>UDDEVALLA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36136-2026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46267</v>
      </c>
      <c r="E313" s="1" t="n">
        <v>46269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Kyrkan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46269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Kyrkan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45205</v>
      </c>
      <c r="E315" s="1" t="n">
        <v>46269</v>
      </c>
      <c r="F315" t="inlineStr">
        <is>
          <t>VÄSTRA GÖTALANDS LÄN</t>
        </is>
      </c>
      <c r="G315" t="inlineStr">
        <is>
          <t>UDDEVALLA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46269</v>
      </c>
      <c r="F316" t="inlineStr">
        <is>
          <t>VÄSTRA GÖTALANDS LÄN</t>
        </is>
      </c>
      <c r="G316" t="inlineStr">
        <is>
          <t>UDDEVALLA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45580</v>
      </c>
      <c r="E317" s="1" t="n">
        <v>46269</v>
      </c>
      <c r="F317" t="inlineStr">
        <is>
          <t>VÄSTRA GÖTALANDS LÄN</t>
        </is>
      </c>
      <c r="G317" t="inlineStr">
        <is>
          <t>UDDEVALLA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46269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46269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46128</v>
      </c>
      <c r="E320" s="1" t="n">
        <v>46269</v>
      </c>
      <c r="F320" t="inlineStr">
        <is>
          <t>VÄSTRA GÖTALANDS LÄN</t>
        </is>
      </c>
      <c r="G320" t="inlineStr">
        <is>
          <t>UDDEVALLA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44960</v>
      </c>
      <c r="E321" s="1" t="n">
        <v>46269</v>
      </c>
      <c r="F321" t="inlineStr">
        <is>
          <t>VÄSTRA GÖTALANDS LÄN</t>
        </is>
      </c>
      <c r="G321" t="inlineStr">
        <is>
          <t>UDDEVALLA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23395-2023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45076</v>
      </c>
      <c r="E322" s="1" t="n">
        <v>46269</v>
      </c>
      <c r="F322" t="inlineStr">
        <is>
          <t>VÄSTRA GÖTALANDS LÄN</t>
        </is>
      </c>
      <c r="G322" t="inlineStr">
        <is>
          <t>UDDEVALLA</t>
        </is>
      </c>
      <c r="I322" t="n">
        <v>12.2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18767-2026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46128</v>
      </c>
      <c r="E323" s="1" t="n">
        <v>46269</v>
      </c>
      <c r="F323" t="inlineStr">
        <is>
          <t>VÄSTRA GÖTALANDS LÄN</t>
        </is>
      </c>
      <c r="G323" t="inlineStr">
        <is>
          <t>UDDEVALLA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43426-2024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45568</v>
      </c>
      <c r="E324" s="1" t="n">
        <v>46269</v>
      </c>
      <c r="F324" t="inlineStr">
        <is>
          <t>VÄSTRA GÖTALANDS LÄN</t>
        </is>
      </c>
      <c r="G324" t="inlineStr">
        <is>
          <t>UDDEVALLA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58625-2024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45635</v>
      </c>
      <c r="E325" s="1" t="n">
        <v>46269</v>
      </c>
      <c r="F325" t="inlineStr">
        <is>
          <t>VÄSTRA GÖTALANDS LÄN</t>
        </is>
      </c>
      <c r="G325" t="inlineStr">
        <is>
          <t>UDDEVALLA</t>
        </is>
      </c>
      <c r="I325" t="n">
        <v>14.9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44924</v>
      </c>
      <c r="E326" s="1" t="n">
        <v>46269</v>
      </c>
      <c r="F326" t="inlineStr">
        <is>
          <t>VÄSTRA GÖTALANDS LÄN</t>
        </is>
      </c>
      <c r="G326" t="inlineStr">
        <is>
          <t>UDDEVALLA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45684</v>
      </c>
      <c r="E327" s="1" t="n">
        <v>46269</v>
      </c>
      <c r="F327" t="inlineStr">
        <is>
          <t>VÄSTRA GÖTALANDS LÄN</t>
        </is>
      </c>
      <c r="G327" t="inlineStr">
        <is>
          <t>UDDEVALLA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44325-2023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45188</v>
      </c>
      <c r="E328" s="1" t="n">
        <v>46269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45251</v>
      </c>
      <c r="E329" s="1" t="n">
        <v>46269</v>
      </c>
      <c r="F329" t="inlineStr">
        <is>
          <t>VÄSTRA GÖTALANDS LÄN</t>
        </is>
      </c>
      <c r="G329" t="inlineStr">
        <is>
          <t>UDDEVALLA</t>
        </is>
      </c>
      <c r="H329" t="inlineStr">
        <is>
          <t>Kyrkan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45596</v>
      </c>
      <c r="E330" s="1" t="n">
        <v>46269</v>
      </c>
      <c r="F330" t="inlineStr">
        <is>
          <t>VÄSTRA GÖTALANDS LÄN</t>
        </is>
      </c>
      <c r="G330" t="inlineStr">
        <is>
          <t>UDDEVALLA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45426</v>
      </c>
      <c r="E331" s="1" t="n">
        <v>46269</v>
      </c>
      <c r="F331" t="inlineStr">
        <is>
          <t>VÄSTRA GÖTALANDS LÄN</t>
        </is>
      </c>
      <c r="G331" t="inlineStr">
        <is>
          <t>UDDEVALLA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19981-2025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45771</v>
      </c>
      <c r="E332" s="1" t="n">
        <v>46269</v>
      </c>
      <c r="F332" t="inlineStr">
        <is>
          <t>VÄSTRA GÖTALANDS LÄN</t>
        </is>
      </c>
      <c r="G332" t="inlineStr">
        <is>
          <t>UDDEVALLA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45215</v>
      </c>
      <c r="E333" s="1" t="n">
        <v>46269</v>
      </c>
      <c r="F333" t="inlineStr">
        <is>
          <t>VÄSTRA GÖTALANDS LÄN</t>
        </is>
      </c>
      <c r="G333" t="inlineStr">
        <is>
          <t>UDDEVALLA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60819-2024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45644</v>
      </c>
      <c r="E334" s="1" t="n">
        <v>46269</v>
      </c>
      <c r="F334" t="inlineStr">
        <is>
          <t>VÄSTRA GÖTALANDS LÄN</t>
        </is>
      </c>
      <c r="G334" t="inlineStr">
        <is>
          <t>UDDEVALLA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21102-2025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45777</v>
      </c>
      <c r="E335" s="1" t="n">
        <v>46269</v>
      </c>
      <c r="F335" t="inlineStr">
        <is>
          <t>VÄSTRA GÖTALANDS LÄN</t>
        </is>
      </c>
      <c r="G335" t="inlineStr">
        <is>
          <t>UDDEVALLA</t>
        </is>
      </c>
      <c r="I335" t="n">
        <v>12.9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46269</v>
      </c>
      <c r="F336" t="inlineStr">
        <is>
          <t>VÄSTRA GÖTALANDS LÄN</t>
        </is>
      </c>
      <c r="G336" t="inlineStr">
        <is>
          <t>UDDEVALLA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46269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46269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7618-2021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44473</v>
      </c>
      <c r="E339" s="1" t="n">
        <v>46269</v>
      </c>
      <c r="F339" t="inlineStr">
        <is>
          <t>VÄSTRA GÖTALANDS LÄN</t>
        </is>
      </c>
      <c r="G339" t="inlineStr">
        <is>
          <t>UDDEVALLA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46269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2026-09-04T02:05:47Z</dcterms:created>
  <dcterms:modified xmlns:dcterms="http://purl.org/dc/terms/" xmlns:xsi="http://www.w3.org/2001/XMLSchema-instance" xsi:type="dcterms:W3CDTF">2026-09-04T02:05:47Z</dcterms:modified>
</cp:coreProperties>
</file>