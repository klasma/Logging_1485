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46315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46315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46315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46315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46315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46315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46315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46315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46315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46315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46315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46315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46315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46315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46315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46315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46315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46315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46315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46315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46315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46315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46315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46315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46315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46315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46315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46315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46315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46315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45653</v>
      </c>
      <c r="E34" s="1" t="n">
        <v>46315</v>
      </c>
      <c r="F34" t="inlineStr">
        <is>
          <t>VÄSTRA GÖTALANDS LÄN</t>
        </is>
      </c>
      <c r="G34" t="inlineStr">
        <is>
          <t>UDDEVALLA</t>
        </is>
      </c>
      <c r="I34" t="n">
        <v>3.4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Brunpudrad nållav
Blåmossa</t>
        </is>
      </c>
      <c r="W34">
        <f>HYPERLINK("https://klasma.github.io/Logging_1485/artfynd/A 266-2025 artfynd.xlsx", "A 266-2025")</f>
        <v/>
      </c>
      <c r="X34">
        <f>HYPERLINK("https://klasma.github.io/Logging_1485/kartor/A 266-2025 karta.png", "A 266-2025")</f>
        <v/>
      </c>
      <c r="Y34">
        <f>HYPERLINK("https://klasma.github.io/Logging_1485/kartor_geotiff/A 266-2025 georefererad karta.tif", "A 266-2025")</f>
        <v/>
      </c>
      <c r="AA34">
        <f>HYPERLINK("https://klasma.github.io/Logging_1485/klagomål/A 266-2025 FSC-klagomål.docx", "A 266-2025")</f>
        <v/>
      </c>
      <c r="AB34">
        <f>HYPERLINK("https://klasma.github.io/Logging_1485/klagomålsmail/A 266-2025 FSC-klagomål mail.docx", "A 266-2025")</f>
        <v/>
      </c>
      <c r="AC34">
        <f>HYPERLINK("https://klasma.github.io/Logging_1485/tillsyn/A 266-2025 tillsynsbegäran.docx", "A 266-2025")</f>
        <v/>
      </c>
      <c r="AD34">
        <f>HYPERLINK("https://klasma.github.io/Logging_1485/tillsynsmail/A 266-2025 tillsynsbegäran mail.docx", "A 266-2025")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46315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46315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46315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46315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46315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46315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2429-2026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46315</v>
      </c>
      <c r="F41" t="inlineStr">
        <is>
          <t>VÄSTRA GÖTALANDS LÄN</t>
        </is>
      </c>
      <c r="G41" t="inlineStr">
        <is>
          <t>UDDEVALLA</t>
        </is>
      </c>
      <c r="I41" t="n">
        <v>7.6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HYPERLINK("https://klasma.github.io/Logging_1485/artfynd/A 2429-2026 artfynd.xlsx", "A 2429-2026")</f>
        <v/>
      </c>
      <c r="X41">
        <f>HYPERLINK("https://klasma.github.io/Logging_1485/kartor/A 2429-2026 karta.png", "A 2429-2026")</f>
        <v/>
      </c>
      <c r="Y41">
        <f>HYPERLINK("https://klasma.github.io/Logging_1485/kartor_geotiff/A 2429-2026 georefererad karta.tif", "A 2429-2026")</f>
        <v/>
      </c>
      <c r="AA41">
        <f>HYPERLINK("https://klasma.github.io/Logging_1485/klagomål/A 2429-2026 FSC-klagomål.docx", "A 2429-2026")</f>
        <v/>
      </c>
      <c r="AB41">
        <f>HYPERLINK("https://klasma.github.io/Logging_1485/klagomålsmail/A 2429-2026 FSC-klagomål mail.docx", "A 2429-2026")</f>
        <v/>
      </c>
      <c r="AC41">
        <f>HYPERLINK("https://klasma.github.io/Logging_1485/tillsyn/A 2429-2026 tillsynsbegäran.docx", "A 2429-2026")</f>
        <v/>
      </c>
      <c r="AD41">
        <f>HYPERLINK("https://klasma.github.io/Logging_1485/tillsynsmail/A 2429-2026 tillsynsbegäran mail.docx", "A 2429-2026")</f>
        <v/>
      </c>
    </row>
    <row r="42" ht="15" customHeight="1">
      <c r="A42" t="inlineStr">
        <is>
          <t>A 22603-2023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46315</v>
      </c>
      <c r="F42" t="inlineStr">
        <is>
          <t>VÄSTRA GÖTALANDS LÄN</t>
        </is>
      </c>
      <c r="G42" t="inlineStr">
        <is>
          <t>UDDEVALLA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HYPERLINK("https://klasma.github.io/Logging_1485/artfynd/A 22603-2023 artfynd.xlsx", "A 22603-2023")</f>
        <v/>
      </c>
      <c r="X42">
        <f>HYPERLINK("https://klasma.github.io/Logging_1485/kartor/A 22603-2023 karta.png", "A 22603-2023")</f>
        <v/>
      </c>
      <c r="Y42">
        <f>HYPERLINK("https://klasma.github.io/Logging_1485/kartor_geotiff/A 22603-2023 georefererad karta.tif", "A 22603-2023")</f>
        <v/>
      </c>
      <c r="AA42">
        <f>HYPERLINK("https://klasma.github.io/Logging_1485/klagomål/A 22603-2023 FSC-klagomål.docx", "A 22603-2023")</f>
        <v/>
      </c>
      <c r="AB42">
        <f>HYPERLINK("https://klasma.github.io/Logging_1485/klagomålsmail/A 22603-2023 FSC-klagomål mail.docx", "A 22603-2023")</f>
        <v/>
      </c>
      <c r="AC42">
        <f>HYPERLINK("https://klasma.github.io/Logging_1485/tillsyn/A 22603-2023 tillsynsbegäran.docx", "A 22603-2023")</f>
        <v/>
      </c>
      <c r="AD42">
        <f>HYPERLINK("https://klasma.github.io/Logging_1485/tillsynsmail/A 22603-2023 tillsynsbegäran mail.docx", "A 22603-2023")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46315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46315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55288-2023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46315</v>
      </c>
      <c r="F45" t="inlineStr">
        <is>
          <t>VÄSTRA GÖTALANDS LÄN</t>
        </is>
      </c>
      <c r="G45" t="inlineStr">
        <is>
          <t>UDDEVALLA</t>
        </is>
      </c>
      <c r="I45" t="n">
        <v>5.2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HYPERLINK("https://klasma.github.io/Logging_1485/artfynd/A 55288-2023 artfynd.xlsx", "A 55288-2023")</f>
        <v/>
      </c>
      <c r="X45">
        <f>HYPERLINK("https://klasma.github.io/Logging_1485/kartor/A 55288-2023 karta.png", "A 55288-2023")</f>
        <v/>
      </c>
      <c r="Y45">
        <f>HYPERLINK("https://klasma.github.io/Logging_1485/kartor_geotiff/A 55288-2023 georefererad karta.tif", "A 55288-2023")</f>
        <v/>
      </c>
      <c r="AA45">
        <f>HYPERLINK("https://klasma.github.io/Logging_1485/klagomål/A 55288-2023 FSC-klagomål.docx", "A 55288-2023")</f>
        <v/>
      </c>
      <c r="AB45">
        <f>HYPERLINK("https://klasma.github.io/Logging_1485/klagomålsmail/A 55288-2023 FSC-klagomål mail.docx", "A 55288-2023")</f>
        <v/>
      </c>
      <c r="AC45">
        <f>HYPERLINK("https://klasma.github.io/Logging_1485/tillsyn/A 55288-2023 tillsynsbegäran.docx", "A 55288-2023")</f>
        <v/>
      </c>
      <c r="AD45">
        <f>HYPERLINK("https://klasma.github.io/Logging_1485/tillsynsmail/A 55288-2023 tillsynsbegäran mail.docx", "A 55288-2023")</f>
        <v/>
      </c>
    </row>
    <row r="46" ht="15" customHeight="1">
      <c r="A46" t="inlineStr">
        <is>
          <t>A 9424-2026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46315</v>
      </c>
      <c r="F46" t="inlineStr">
        <is>
          <t>VÄSTRA GÖTALANDS LÄN</t>
        </is>
      </c>
      <c r="G46" t="inlineStr">
        <is>
          <t>UDDEVALLA</t>
        </is>
      </c>
      <c r="I46" t="n">
        <v>4.3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Flotagräs</t>
        </is>
      </c>
      <c r="W46">
        <f>HYPERLINK("https://klasma.github.io/Logging_1485/artfynd/A 9424-2026 artfynd.xlsx", "A 9424-2026")</f>
        <v/>
      </c>
      <c r="X46">
        <f>HYPERLINK("https://klasma.github.io/Logging_1485/kartor/A 9424-2026 karta.png", "A 9424-2026")</f>
        <v/>
      </c>
      <c r="Y46">
        <f>HYPERLINK("https://klasma.github.io/Logging_1485/kartor_geotiff/A 9424-2026 georefererad karta.tif", "A 9424-2026")</f>
        <v/>
      </c>
      <c r="AA46">
        <f>HYPERLINK("https://klasma.github.io/Logging_1485/klagomål/A 9424-2026 FSC-klagomål.docx", "A 9424-2026")</f>
        <v/>
      </c>
      <c r="AB46">
        <f>HYPERLINK("https://klasma.github.io/Logging_1485/klagomålsmail/A 9424-2026 FSC-klagomål mail.docx", "A 9424-2026")</f>
        <v/>
      </c>
      <c r="AC46">
        <f>HYPERLINK("https://klasma.github.io/Logging_1485/tillsyn/A 9424-2026 tillsynsbegäran.docx", "A 9424-2026")</f>
        <v/>
      </c>
      <c r="AD46">
        <f>HYPERLINK("https://klasma.github.io/Logging_1485/tillsynsmail/A 9424-2026 tillsynsbegäran mail.docx", "A 9424-2026")</f>
        <v/>
      </c>
    </row>
    <row r="47" ht="15" customHeight="1">
      <c r="A47" t="inlineStr">
        <is>
          <t>A 236-2023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46315</v>
      </c>
      <c r="F47" t="inlineStr">
        <is>
          <t>VÄSTRA GÖTALANDS LÄN</t>
        </is>
      </c>
      <c r="G47" t="inlineStr">
        <is>
          <t>UDDEVALLA</t>
        </is>
      </c>
      <c r="I47" t="n">
        <v>16.7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Rödgul trumpetsvamp</t>
        </is>
      </c>
      <c r="W47">
        <f>HYPERLINK("https://klasma.github.io/Logging_1485/artfynd/A 236-2023 artfynd.xlsx", "A 236-2023")</f>
        <v/>
      </c>
      <c r="X47">
        <f>HYPERLINK("https://klasma.github.io/Logging_1485/kartor/A 236-2023 karta.png", "A 236-2023")</f>
        <v/>
      </c>
      <c r="Y47">
        <f>HYPERLINK("https://klasma.github.io/Logging_1485/kartor_geotiff/A 236-2023 georefererad karta.tif", "A 236-2023")</f>
        <v/>
      </c>
      <c r="AA47">
        <f>HYPERLINK("https://klasma.github.io/Logging_1485/klagomål/A 236-2023 FSC-klagomål.docx", "A 236-2023")</f>
        <v/>
      </c>
      <c r="AB47">
        <f>HYPERLINK("https://klasma.github.io/Logging_1485/klagomålsmail/A 236-2023 FSC-klagomål mail.docx", "A 236-2023")</f>
        <v/>
      </c>
      <c r="AC47">
        <f>HYPERLINK("https://klasma.github.io/Logging_1485/tillsyn/A 236-2023 tillsynsbegäran.docx", "A 236-2023")</f>
        <v/>
      </c>
      <c r="AD47">
        <f>HYPERLINK("https://klasma.github.io/Logging_1485/tillsynsmail/A 236-2023 tillsynsbegäran mail.docx", "A 236-2023")</f>
        <v/>
      </c>
    </row>
    <row r="48" ht="15" customHeight="1">
      <c r="A48" t="inlineStr">
        <is>
          <t>A 23401-2023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45076</v>
      </c>
      <c r="E48" s="1" t="n">
        <v>46315</v>
      </c>
      <c r="F48" t="inlineStr">
        <is>
          <t>VÄSTRA GÖTALANDS LÄN</t>
        </is>
      </c>
      <c r="G48" t="inlineStr">
        <is>
          <t>UDDEVALLA</t>
        </is>
      </c>
      <c r="I48" t="n">
        <v>3.3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HYPERLINK("https://klasma.github.io/Logging_1485/artfynd/A 23401-2023 artfynd.xlsx", "A 23401-2023")</f>
        <v/>
      </c>
      <c r="X48">
        <f>HYPERLINK("https://klasma.github.io/Logging_1485/kartor/A 23401-2023 karta.png", "A 23401-2023")</f>
        <v/>
      </c>
      <c r="Y48">
        <f>HYPERLINK("https://klasma.github.io/Logging_1485/kartor_geotiff/A 23401-2023 georefererad karta.tif", "A 23401-2023")</f>
        <v/>
      </c>
      <c r="AA48">
        <f>HYPERLINK("https://klasma.github.io/Logging_1485/klagomål/A 23401-2023 FSC-klagomål.docx", "A 23401-2023")</f>
        <v/>
      </c>
      <c r="AB48">
        <f>HYPERLINK("https://klasma.github.io/Logging_1485/klagomålsmail/A 23401-2023 FSC-klagomål mail.docx", "A 23401-2023")</f>
        <v/>
      </c>
      <c r="AC48">
        <f>HYPERLINK("https://klasma.github.io/Logging_1485/tillsyn/A 23401-2023 tillsynsbegäran.docx", "A 23401-2023")</f>
        <v/>
      </c>
      <c r="AD48">
        <f>HYPERLINK("https://klasma.github.io/Logging_1485/tillsynsmail/A 23401-2023 tillsynsbegäran mail.docx", "A 23401-2023")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46315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46315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46315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46315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42008-2026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46315</v>
      </c>
      <c r="F53" t="inlineStr">
        <is>
          <t>VÄSTRA GÖTALANDS LÄN</t>
        </is>
      </c>
      <c r="G53" t="inlineStr">
        <is>
          <t>UDDEVALLA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42008-2026 artfynd.xlsx", "A 42008-2026")</f>
        <v/>
      </c>
      <c r="X53">
        <f>HYPERLINK("https://klasma.github.io/Logging_1485/kartor/A 42008-2026 karta.png", "A 42008-2026")</f>
        <v/>
      </c>
      <c r="Y53">
        <f>HYPERLINK("https://klasma.github.io/Logging_1485/kartor_geotiff/A 42008-2026 georefererad karta.tif", "A 42008-2026")</f>
        <v/>
      </c>
      <c r="AA53">
        <f>HYPERLINK("https://klasma.github.io/Logging_1485/klagomål/A 42008-2026 FSC-klagomål.docx", "A 42008-2026")</f>
        <v/>
      </c>
      <c r="AB53">
        <f>HYPERLINK("https://klasma.github.io/Logging_1485/klagomålsmail/A 42008-2026 FSC-klagomål mail.docx", "A 42008-2026")</f>
        <v/>
      </c>
      <c r="AC53">
        <f>HYPERLINK("https://klasma.github.io/Logging_1485/tillsyn/A 42008-2026 tillsynsbegäran.docx", "A 42008-2026")</f>
        <v/>
      </c>
      <c r="AD53">
        <f>HYPERLINK("https://klasma.github.io/Logging_1485/tillsynsmail/A 42008-2026 tillsynsbegäran mail.docx", "A 42008-2026")</f>
        <v/>
      </c>
    </row>
    <row r="54" ht="15" customHeight="1">
      <c r="A54" t="inlineStr">
        <is>
          <t>A 30954-2025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46315</v>
      </c>
      <c r="F54" t="inlineStr">
        <is>
          <t>VÄSTRA GÖTALANDS LÄN</t>
        </is>
      </c>
      <c r="G54" t="inlineStr">
        <is>
          <t>UDDEVALLA</t>
        </is>
      </c>
      <c r="I54" t="n">
        <v>11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HYPERLINK("https://klasma.github.io/Logging_1485/artfynd/A 30954-2025 artfynd.xlsx", "A 30954-2025")</f>
        <v/>
      </c>
      <c r="X54">
        <f>HYPERLINK("https://klasma.github.io/Logging_1485/kartor/A 30954-2025 karta.png", "A 30954-2025")</f>
        <v/>
      </c>
      <c r="Y54">
        <f>HYPERLINK("https://klasma.github.io/Logging_1485/kartor_geotiff/A 30954-2025 georefererad karta.tif", "A 30954-2025")</f>
        <v/>
      </c>
      <c r="AA54">
        <f>HYPERLINK("https://klasma.github.io/Logging_1485/klagomål/A 30954-2025 FSC-klagomål.docx", "A 30954-2025")</f>
        <v/>
      </c>
      <c r="AB54">
        <f>HYPERLINK("https://klasma.github.io/Logging_1485/klagomålsmail/A 30954-2025 FSC-klagomål mail.docx", "A 30954-2025")</f>
        <v/>
      </c>
      <c r="AC54">
        <f>HYPERLINK("https://klasma.github.io/Logging_1485/tillsyn/A 30954-2025 tillsynsbegäran.docx", "A 30954-2025")</f>
        <v/>
      </c>
      <c r="AD54">
        <f>HYPERLINK("https://klasma.github.io/Logging_1485/tillsynsmail/A 30954-2025 tillsynsbegäran mail.docx", "A 30954-2025")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46315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46315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46315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46315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46315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46315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46315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46315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46315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46315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46315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46315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46315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46315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46315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46315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46315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46315</v>
      </c>
      <c r="F72" t="inlineStr">
        <is>
          <t>VÄSTRA GÖTALANDS LÄN</t>
        </is>
      </c>
      <c r="G72" t="inlineStr">
        <is>
          <t>UDDEVALLA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46315</v>
      </c>
      <c r="F73" t="inlineStr">
        <is>
          <t>VÄSTRA GÖTALANDS LÄN</t>
        </is>
      </c>
      <c r="G73" t="inlineStr">
        <is>
          <t>UDDEVALLA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46315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46315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45426</v>
      </c>
      <c r="E76" s="1" t="n">
        <v>46315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46315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45374</v>
      </c>
      <c r="E78" s="1" t="n">
        <v>46315</v>
      </c>
      <c r="F78" t="inlineStr">
        <is>
          <t>VÄSTRA GÖTALANDS LÄN</t>
        </is>
      </c>
      <c r="G78" t="inlineStr">
        <is>
          <t>UDDEVALLA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46315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46315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45463</v>
      </c>
      <c r="E81" s="1" t="n">
        <v>46315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46315</v>
      </c>
      <c r="F82" t="inlineStr">
        <is>
          <t>VÄSTRA GÖTALANDS LÄN</t>
        </is>
      </c>
      <c r="G82" t="inlineStr">
        <is>
          <t>UDDEVALLA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45484</v>
      </c>
      <c r="E83" s="1" t="n">
        <v>46315</v>
      </c>
      <c r="F83" t="inlineStr">
        <is>
          <t>VÄSTRA GÖTALANDS LÄN</t>
        </is>
      </c>
      <c r="G83" t="inlineStr">
        <is>
          <t>UDDEVALLA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45034</v>
      </c>
      <c r="E84" s="1" t="n">
        <v>46315</v>
      </c>
      <c r="F84" t="inlineStr">
        <is>
          <t>VÄSTRA GÖTALANDS LÄN</t>
        </is>
      </c>
      <c r="G84" t="inlineStr">
        <is>
          <t>UDDEVALLA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46315</v>
      </c>
      <c r="F85" t="inlineStr">
        <is>
          <t>VÄSTRA GÖTALANDS LÄN</t>
        </is>
      </c>
      <c r="G85" t="inlineStr">
        <is>
          <t>UDDEVALLA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46315</v>
      </c>
      <c r="F86" t="inlineStr">
        <is>
          <t>VÄSTRA GÖTALANDS LÄN</t>
        </is>
      </c>
      <c r="G86" t="inlineStr">
        <is>
          <t>UDDEVALLA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45366</v>
      </c>
      <c r="E87" s="1" t="n">
        <v>46315</v>
      </c>
      <c r="F87" t="inlineStr">
        <is>
          <t>VÄSTRA GÖTALANDS LÄN</t>
        </is>
      </c>
      <c r="G87" t="inlineStr">
        <is>
          <t>UDDEVALLA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46315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33092-2024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46315</v>
      </c>
      <c r="F89" t="inlineStr">
        <is>
          <t>VÄSTRA GÖTALANDS LÄN</t>
        </is>
      </c>
      <c r="G89" t="inlineStr">
        <is>
          <t>UDDEVALLA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46315</v>
      </c>
      <c r="F90" t="inlineStr">
        <is>
          <t>VÄSTRA GÖTALANDS LÄN</t>
        </is>
      </c>
      <c r="G90" t="inlineStr">
        <is>
          <t>UDDEVALLA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46315</v>
      </c>
      <c r="F91" t="inlineStr">
        <is>
          <t>VÄSTRA GÖTALANDS LÄN</t>
        </is>
      </c>
      <c r="G91" t="inlineStr">
        <is>
          <t>UDDEVALLA</t>
        </is>
      </c>
      <c r="I91" t="n">
        <v>9.699999999999999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46315</v>
      </c>
      <c r="F92" t="inlineStr">
        <is>
          <t>VÄSTRA GÖTALANDS LÄN</t>
        </is>
      </c>
      <c r="G92" t="inlineStr">
        <is>
          <t>UDDEVALLA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46315</v>
      </c>
      <c r="F93" t="inlineStr">
        <is>
          <t>VÄSTRA GÖTALANDS LÄN</t>
        </is>
      </c>
      <c r="G93" t="inlineStr">
        <is>
          <t>UDDEVALLA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46315</v>
      </c>
      <c r="F94" t="inlineStr">
        <is>
          <t>VÄSTRA GÖTALANDS LÄN</t>
        </is>
      </c>
      <c r="G94" t="inlineStr">
        <is>
          <t>UDDEVALLA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45197</v>
      </c>
      <c r="E95" s="1" t="n">
        <v>46315</v>
      </c>
      <c r="F95" t="inlineStr">
        <is>
          <t>VÄSTRA GÖTALANDS LÄN</t>
        </is>
      </c>
      <c r="G95" t="inlineStr">
        <is>
          <t>UDDEVALLA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44592</v>
      </c>
      <c r="E96" s="1" t="n">
        <v>46315</v>
      </c>
      <c r="F96" t="inlineStr">
        <is>
          <t>VÄSTRA GÖTALANDS LÄN</t>
        </is>
      </c>
      <c r="G96" t="inlineStr">
        <is>
          <t>UDDEVALLA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45633</v>
      </c>
      <c r="E97" s="1" t="n">
        <v>46315</v>
      </c>
      <c r="F97" t="inlineStr">
        <is>
          <t>VÄSTRA GÖTALANDS LÄN</t>
        </is>
      </c>
      <c r="G97" t="inlineStr">
        <is>
          <t>UDDEVALLA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46315</v>
      </c>
      <c r="F98" t="inlineStr">
        <is>
          <t>VÄSTRA GÖTALANDS LÄN</t>
        </is>
      </c>
      <c r="G98" t="inlineStr">
        <is>
          <t>UDDEVALLA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46315</v>
      </c>
      <c r="F99" t="inlineStr">
        <is>
          <t>VÄSTRA GÖTALANDS LÄN</t>
        </is>
      </c>
      <c r="G99" t="inlineStr">
        <is>
          <t>UDDEVALLA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46315</v>
      </c>
      <c r="F100" t="inlineStr">
        <is>
          <t>VÄSTRA GÖTALANDS LÄN</t>
        </is>
      </c>
      <c r="G100" t="inlineStr">
        <is>
          <t>UDDEVALLA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59674-2023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45255</v>
      </c>
      <c r="E101" s="1" t="n">
        <v>46315</v>
      </c>
      <c r="F101" t="inlineStr">
        <is>
          <t>VÄSTRA GÖTALANDS LÄN</t>
        </is>
      </c>
      <c r="G101" t="inlineStr">
        <is>
          <t>UDDEVALLA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46315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46315</v>
      </c>
      <c r="F103" t="inlineStr">
        <is>
          <t>VÄSTRA GÖTALANDS LÄN</t>
        </is>
      </c>
      <c r="G103" t="inlineStr">
        <is>
          <t>UDDEVALLA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46315</v>
      </c>
      <c r="F104" t="inlineStr">
        <is>
          <t>VÄSTRA GÖTALANDS LÄN</t>
        </is>
      </c>
      <c r="G104" t="inlineStr">
        <is>
          <t>UDDEVALLA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46315</v>
      </c>
      <c r="F105" t="inlineStr">
        <is>
          <t>VÄSTRA GÖTALANDS LÄN</t>
        </is>
      </c>
      <c r="G105" t="inlineStr">
        <is>
          <t>UDDEVALLA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17378-2026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46315</v>
      </c>
      <c r="F106" t="inlineStr">
        <is>
          <t>VÄSTRA GÖTALANDS LÄN</t>
        </is>
      </c>
      <c r="G106" t="inlineStr">
        <is>
          <t>UDDEVALLA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20401-2026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46139</v>
      </c>
      <c r="E107" s="1" t="n">
        <v>46315</v>
      </c>
      <c r="F107" t="inlineStr">
        <is>
          <t>VÄSTRA GÖTALANDS LÄN</t>
        </is>
      </c>
      <c r="G107" t="inlineStr">
        <is>
          <t>UDDEVALLA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46315</v>
      </c>
      <c r="F108" t="inlineStr">
        <is>
          <t>VÄSTRA GÖTALANDS LÄN</t>
        </is>
      </c>
      <c r="G108" t="inlineStr">
        <is>
          <t>UDDEVALLA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46315</v>
      </c>
      <c r="F109" t="inlineStr">
        <is>
          <t>VÄSTRA GÖTALANDS LÄN</t>
        </is>
      </c>
      <c r="G109" t="inlineStr">
        <is>
          <t>UDDEVALLA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46315</v>
      </c>
      <c r="F110" t="inlineStr">
        <is>
          <t>VÄSTRA GÖTALANDS LÄN</t>
        </is>
      </c>
      <c r="G110" t="inlineStr">
        <is>
          <t>UDDEVALLA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46315</v>
      </c>
      <c r="F111" t="inlineStr">
        <is>
          <t>VÄSTRA GÖTALANDS LÄN</t>
        </is>
      </c>
      <c r="G111" t="inlineStr">
        <is>
          <t>UDDEVALLA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33293-2025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45840</v>
      </c>
      <c r="E112" s="1" t="n">
        <v>46315</v>
      </c>
      <c r="F112" t="inlineStr">
        <is>
          <t>VÄSTRA GÖTALANDS LÄN</t>
        </is>
      </c>
      <c r="G112" t="inlineStr">
        <is>
          <t>UDDEVALLA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46315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45672</v>
      </c>
      <c r="E114" s="1" t="n">
        <v>46315</v>
      </c>
      <c r="F114" t="inlineStr">
        <is>
          <t>VÄSTRA GÖTALANDS LÄN</t>
        </is>
      </c>
      <c r="G114" t="inlineStr">
        <is>
          <t>UDDEVALLA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46315</v>
      </c>
      <c r="F115" t="inlineStr">
        <is>
          <t>VÄSTRA GÖTALANDS LÄN</t>
        </is>
      </c>
      <c r="G115" t="inlineStr">
        <is>
          <t>UDDEVALLA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45484</v>
      </c>
      <c r="E116" s="1" t="n">
        <v>46315</v>
      </c>
      <c r="F116" t="inlineStr">
        <is>
          <t>VÄSTRA GÖTALANDS LÄN</t>
        </is>
      </c>
      <c r="G116" t="inlineStr">
        <is>
          <t>UDDEVALLA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46315</v>
      </c>
      <c r="F117" t="inlineStr">
        <is>
          <t>VÄSTRA GÖTALANDS LÄN</t>
        </is>
      </c>
      <c r="G117" t="inlineStr">
        <is>
          <t>UDDEVALLA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73437-2021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44551</v>
      </c>
      <c r="E118" s="1" t="n">
        <v>46315</v>
      </c>
      <c r="F118" t="inlineStr">
        <is>
          <t>VÄSTRA GÖTALANDS LÄN</t>
        </is>
      </c>
      <c r="G118" t="inlineStr">
        <is>
          <t>UDDEVALLA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46315</v>
      </c>
      <c r="F119" t="inlineStr">
        <is>
          <t>VÄSTRA GÖTALANDS LÄN</t>
        </is>
      </c>
      <c r="G119" t="inlineStr">
        <is>
          <t>UDDEVALLA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46315</v>
      </c>
      <c r="F120" t="inlineStr">
        <is>
          <t>VÄSTRA GÖTALANDS LÄN</t>
        </is>
      </c>
      <c r="G120" t="inlineStr">
        <is>
          <t>UDDEVALLA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46315</v>
      </c>
      <c r="F121" t="inlineStr">
        <is>
          <t>VÄSTRA GÖTALANDS LÄN</t>
        </is>
      </c>
      <c r="G121" t="inlineStr">
        <is>
          <t>UDDEVALLA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46315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46315</v>
      </c>
      <c r="F123" t="inlineStr">
        <is>
          <t>VÄSTRA GÖTALANDS LÄN</t>
        </is>
      </c>
      <c r="G123" t="inlineStr">
        <is>
          <t>UDDEVALLA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46315</v>
      </c>
      <c r="F124" t="inlineStr">
        <is>
          <t>VÄSTRA GÖTALANDS LÄN</t>
        </is>
      </c>
      <c r="G124" t="inlineStr">
        <is>
          <t>UDDEVALLA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46315</v>
      </c>
      <c r="F125" t="inlineStr">
        <is>
          <t>VÄSTRA GÖTALANDS LÄN</t>
        </is>
      </c>
      <c r="G125" t="inlineStr">
        <is>
          <t>UDDEVALLA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46315</v>
      </c>
      <c r="F126" t="inlineStr">
        <is>
          <t>VÄSTRA GÖTALANDS LÄN</t>
        </is>
      </c>
      <c r="G126" t="inlineStr">
        <is>
          <t>UDDEVALLA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46315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46315</v>
      </c>
      <c r="F128" t="inlineStr">
        <is>
          <t>VÄSTRA GÖTALANDS LÄN</t>
        </is>
      </c>
      <c r="G128" t="inlineStr">
        <is>
          <t>UDDEVALLA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46315</v>
      </c>
      <c r="F129" t="inlineStr">
        <is>
          <t>VÄSTRA GÖTALANDS LÄN</t>
        </is>
      </c>
      <c r="G129" t="inlineStr">
        <is>
          <t>UDDEVALLA</t>
        </is>
      </c>
      <c r="I129" t="n">
        <v>19.4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46315</v>
      </c>
      <c r="F130" t="inlineStr">
        <is>
          <t>VÄSTRA GÖTALANDS LÄN</t>
        </is>
      </c>
      <c r="G130" t="inlineStr">
        <is>
          <t>UDDEVALLA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46315</v>
      </c>
      <c r="F131" t="inlineStr">
        <is>
          <t>VÄSTRA GÖTALANDS LÄN</t>
        </is>
      </c>
      <c r="G131" t="inlineStr">
        <is>
          <t>UDDEVALLA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46315</v>
      </c>
      <c r="F132" t="inlineStr">
        <is>
          <t>VÄSTRA GÖTALANDS LÄN</t>
        </is>
      </c>
      <c r="G132" t="inlineStr">
        <is>
          <t>UDDEVALLA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45672</v>
      </c>
      <c r="E133" s="1" t="n">
        <v>46315</v>
      </c>
      <c r="F133" t="inlineStr">
        <is>
          <t>VÄSTRA GÖTALANDS LÄN</t>
        </is>
      </c>
      <c r="G133" t="inlineStr">
        <is>
          <t>UDDEVALLA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46315</v>
      </c>
      <c r="F134" t="inlineStr">
        <is>
          <t>VÄSTRA GÖTALANDS LÄN</t>
        </is>
      </c>
      <c r="G134" t="inlineStr">
        <is>
          <t>UDDEVALLA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46315</v>
      </c>
      <c r="F135" t="inlineStr">
        <is>
          <t>VÄSTRA GÖTALANDS LÄN</t>
        </is>
      </c>
      <c r="G135" t="inlineStr">
        <is>
          <t>UDDEVALLA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46315</v>
      </c>
      <c r="F136" t="inlineStr">
        <is>
          <t>VÄSTRA GÖTALANDS LÄN</t>
        </is>
      </c>
      <c r="G136" t="inlineStr">
        <is>
          <t>UDDEVALLA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46315</v>
      </c>
      <c r="F137" t="inlineStr">
        <is>
          <t>VÄSTRA GÖTALANDS LÄN</t>
        </is>
      </c>
      <c r="G137" t="inlineStr">
        <is>
          <t>UDDEVALLA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46315</v>
      </c>
      <c r="F138" t="inlineStr">
        <is>
          <t>VÄSTRA GÖTALANDS LÄN</t>
        </is>
      </c>
      <c r="G138" t="inlineStr">
        <is>
          <t>UDDEVALLA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46315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46315</v>
      </c>
      <c r="F140" t="inlineStr">
        <is>
          <t>VÄSTRA GÖTALANDS LÄN</t>
        </is>
      </c>
      <c r="G140" t="inlineStr">
        <is>
          <t>UDDEVALLA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46315</v>
      </c>
      <c r="F141" t="inlineStr">
        <is>
          <t>VÄSTRA GÖTALANDS LÄN</t>
        </is>
      </c>
      <c r="G141" t="inlineStr">
        <is>
          <t>UDDEVALLA</t>
        </is>
      </c>
      <c r="I141" t="n">
        <v>12.2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60241-2024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45642</v>
      </c>
      <c r="E142" s="1" t="n">
        <v>46315</v>
      </c>
      <c r="F142" t="inlineStr">
        <is>
          <t>VÄSTRA GÖTALANDS LÄN</t>
        </is>
      </c>
      <c r="G142" t="inlineStr">
        <is>
          <t>UDDEVALLA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17058-2025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45754</v>
      </c>
      <c r="E143" s="1" t="n">
        <v>46315</v>
      </c>
      <c r="F143" t="inlineStr">
        <is>
          <t>VÄSTRA GÖTALANDS LÄN</t>
        </is>
      </c>
      <c r="G143" t="inlineStr">
        <is>
          <t>UDDEVALLA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46315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46315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46315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46315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46315</v>
      </c>
      <c r="F148" t="inlineStr">
        <is>
          <t>VÄSTRA GÖTALANDS LÄN</t>
        </is>
      </c>
      <c r="G148" t="inlineStr">
        <is>
          <t>UDDEVALLA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46315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46315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46315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46315</v>
      </c>
      <c r="F152" t="inlineStr">
        <is>
          <t>VÄSTRA GÖTALANDS LÄN</t>
        </is>
      </c>
      <c r="G152" t="inlineStr">
        <is>
          <t>UDDEVALLA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73437-2021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46315</v>
      </c>
      <c r="F153" t="inlineStr">
        <is>
          <t>VÄSTRA GÖTALANDS LÄN</t>
        </is>
      </c>
      <c r="G153" t="inlineStr">
        <is>
          <t>UDDEVALLA</t>
        </is>
      </c>
      <c r="I153" t="n">
        <v>8.1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46315</v>
      </c>
      <c r="F154" t="inlineStr">
        <is>
          <t>VÄSTRA GÖTALANDS LÄN</t>
        </is>
      </c>
      <c r="G154" t="inlineStr">
        <is>
          <t>UDDEVALLA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46315</v>
      </c>
      <c r="F155" t="inlineStr">
        <is>
          <t>VÄSTRA GÖTALANDS LÄN</t>
        </is>
      </c>
      <c r="G155" t="inlineStr">
        <is>
          <t>UDDEVALLA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46147</v>
      </c>
      <c r="E156" s="1" t="n">
        <v>46315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46315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46315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46315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46315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46315</v>
      </c>
      <c r="F161" t="inlineStr">
        <is>
          <t>VÄSTRA GÖTALANDS LÄN</t>
        </is>
      </c>
      <c r="G161" t="inlineStr">
        <is>
          <t>UDDEVALLA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46315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46315</v>
      </c>
      <c r="F163" t="inlineStr">
        <is>
          <t>VÄSTRA GÖTALANDS LÄN</t>
        </is>
      </c>
      <c r="G163" t="inlineStr">
        <is>
          <t>UDDEVALLA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45021</v>
      </c>
      <c r="E164" s="1" t="n">
        <v>46315</v>
      </c>
      <c r="F164" t="inlineStr">
        <is>
          <t>VÄSTRA GÖTALANDS LÄN</t>
        </is>
      </c>
      <c r="G164" t="inlineStr">
        <is>
          <t>UDDEVALLA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46315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46315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46315</v>
      </c>
      <c r="F167" t="inlineStr">
        <is>
          <t>VÄSTRA GÖTALANDS LÄN</t>
        </is>
      </c>
      <c r="G167" t="inlineStr">
        <is>
          <t>UDDEVALLA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46315</v>
      </c>
      <c r="F168" t="inlineStr">
        <is>
          <t>VÄSTRA GÖTALANDS LÄN</t>
        </is>
      </c>
      <c r="G168" t="inlineStr">
        <is>
          <t>UDDEVALLA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46315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69198-2021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44531</v>
      </c>
      <c r="E170" s="1" t="n">
        <v>46315</v>
      </c>
      <c r="F170" t="inlineStr">
        <is>
          <t>VÄSTRA GÖTALANDS LÄN</t>
        </is>
      </c>
      <c r="G170" t="inlineStr">
        <is>
          <t>UDDEVALLA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46315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46315</v>
      </c>
      <c r="F172" t="inlineStr">
        <is>
          <t>VÄSTRA GÖTALANDS LÄN</t>
        </is>
      </c>
      <c r="G172" t="inlineStr">
        <is>
          <t>UDDEVALLA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46315</v>
      </c>
      <c r="F173" t="inlineStr">
        <is>
          <t>VÄSTRA GÖTALANDS LÄN</t>
        </is>
      </c>
      <c r="G173" t="inlineStr">
        <is>
          <t>UDDEVALLA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45150</v>
      </c>
      <c r="E174" s="1" t="n">
        <v>46315</v>
      </c>
      <c r="F174" t="inlineStr">
        <is>
          <t>VÄSTRA GÖTALANDS LÄN</t>
        </is>
      </c>
      <c r="G174" t="inlineStr">
        <is>
          <t>UDDEVALLA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45133</v>
      </c>
      <c r="E175" s="1" t="n">
        <v>46315</v>
      </c>
      <c r="F175" t="inlineStr">
        <is>
          <t>VÄSTRA GÖTALANDS LÄN</t>
        </is>
      </c>
      <c r="G175" t="inlineStr">
        <is>
          <t>UDDEVALLA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46315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46315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45097</v>
      </c>
      <c r="E178" s="1" t="n">
        <v>46315</v>
      </c>
      <c r="F178" t="inlineStr">
        <is>
          <t>VÄSTRA GÖTALANDS LÄN</t>
        </is>
      </c>
      <c r="G178" t="inlineStr">
        <is>
          <t>UDDEVALLA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46315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Övriga statliga verk och myndigheter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45475</v>
      </c>
      <c r="E180" s="1" t="n">
        <v>46315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46315</v>
      </c>
      <c r="F181" t="inlineStr">
        <is>
          <t>VÄSTRA GÖTALANDS LÄN</t>
        </is>
      </c>
      <c r="G181" t="inlineStr">
        <is>
          <t>UDDEVALLA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44572</v>
      </c>
      <c r="E182" s="1" t="n">
        <v>46315</v>
      </c>
      <c r="F182" t="inlineStr">
        <is>
          <t>VÄSTRA GÖTALANDS LÄN</t>
        </is>
      </c>
      <c r="G182" t="inlineStr">
        <is>
          <t>UDDEVALLA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46315</v>
      </c>
      <c r="F183" t="inlineStr">
        <is>
          <t>VÄSTRA GÖTALANDS LÄN</t>
        </is>
      </c>
      <c r="G183" t="inlineStr">
        <is>
          <t>UDDEVALLA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58958-2021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44489</v>
      </c>
      <c r="E184" s="1" t="n">
        <v>46315</v>
      </c>
      <c r="F184" t="inlineStr">
        <is>
          <t>VÄSTRA GÖTALANDS LÄN</t>
        </is>
      </c>
      <c r="G184" t="inlineStr">
        <is>
          <t>UDDEVALLA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46315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46315</v>
      </c>
      <c r="F186" t="inlineStr">
        <is>
          <t>VÄSTRA GÖTALANDS LÄN</t>
        </is>
      </c>
      <c r="G186" t="inlineStr">
        <is>
          <t>UDDEVALLA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46315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46315</v>
      </c>
      <c r="F188" t="inlineStr">
        <is>
          <t>VÄSTRA GÖTALANDS LÄN</t>
        </is>
      </c>
      <c r="G188" t="inlineStr">
        <is>
          <t>UDDEVALLA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46315</v>
      </c>
      <c r="F189" t="inlineStr">
        <is>
          <t>VÄSTRA GÖTALANDS LÄN</t>
        </is>
      </c>
      <c r="G189" t="inlineStr">
        <is>
          <t>UDDEVALLA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46315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44981</v>
      </c>
      <c r="E191" s="1" t="n">
        <v>46315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46315</v>
      </c>
      <c r="F192" t="inlineStr">
        <is>
          <t>VÄSTRA GÖTALANDS LÄN</t>
        </is>
      </c>
      <c r="G192" t="inlineStr">
        <is>
          <t>UDDEVALLA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62365-2025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46315</v>
      </c>
      <c r="F193" t="inlineStr">
        <is>
          <t>VÄSTRA GÖTALANDS LÄN</t>
        </is>
      </c>
      <c r="G193" t="inlineStr">
        <is>
          <t>UDDEVALLA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46315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30639-2024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45495</v>
      </c>
      <c r="E195" s="1" t="n">
        <v>46315</v>
      </c>
      <c r="F195" t="inlineStr">
        <is>
          <t>VÄSTRA GÖTALANDS LÄN</t>
        </is>
      </c>
      <c r="G195" t="inlineStr">
        <is>
          <t>UDDEVALLA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45349</v>
      </c>
      <c r="E196" s="1" t="n">
        <v>46315</v>
      </c>
      <c r="F196" t="inlineStr">
        <is>
          <t>VÄSTRA GÖTALANDS LÄN</t>
        </is>
      </c>
      <c r="G196" t="inlineStr">
        <is>
          <t>UDDEVALLA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44582</v>
      </c>
      <c r="E197" s="1" t="n">
        <v>46315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Kyrkan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46315</v>
      </c>
      <c r="F198" t="inlineStr">
        <is>
          <t>VÄSTRA GÖTALANDS LÄN</t>
        </is>
      </c>
      <c r="G198" t="inlineStr">
        <is>
          <t>UDDEVALLA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44578</v>
      </c>
      <c r="E199" s="1" t="n">
        <v>46315</v>
      </c>
      <c r="F199" t="inlineStr">
        <is>
          <t>VÄSTRA GÖTALANDS LÄN</t>
        </is>
      </c>
      <c r="G199" t="inlineStr">
        <is>
          <t>UDDEVALLA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46315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46315</v>
      </c>
      <c r="F201" t="inlineStr">
        <is>
          <t>VÄSTRA GÖTALANDS LÄN</t>
        </is>
      </c>
      <c r="G201" t="inlineStr">
        <is>
          <t>UDDEVALLA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46315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46315</v>
      </c>
      <c r="F203" t="inlineStr">
        <is>
          <t>VÄSTRA GÖTALANDS LÄN</t>
        </is>
      </c>
      <c r="G203" t="inlineStr">
        <is>
          <t>UDDEVALLA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46315</v>
      </c>
      <c r="F204" t="inlineStr">
        <is>
          <t>VÄSTRA GÖTALANDS LÄN</t>
        </is>
      </c>
      <c r="G204" t="inlineStr">
        <is>
          <t>UDDEVALLA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46315</v>
      </c>
      <c r="F205" t="inlineStr">
        <is>
          <t>VÄSTRA GÖTALANDS LÄN</t>
        </is>
      </c>
      <c r="G205" t="inlineStr">
        <is>
          <t>UDDEVALLA</t>
        </is>
      </c>
      <c r="I205" t="n">
        <v>9.6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46315</v>
      </c>
      <c r="F206" t="inlineStr">
        <is>
          <t>VÄSTRA GÖTALANDS LÄN</t>
        </is>
      </c>
      <c r="G206" t="inlineStr">
        <is>
          <t>UDDEVALLA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46315</v>
      </c>
      <c r="F207" t="inlineStr">
        <is>
          <t>VÄSTRA GÖTALANDS LÄN</t>
        </is>
      </c>
      <c r="G207" t="inlineStr">
        <is>
          <t>UDDEVALLA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46315</v>
      </c>
      <c r="F208" t="inlineStr">
        <is>
          <t>VÄSTRA GÖTALANDS LÄN</t>
        </is>
      </c>
      <c r="G208" t="inlineStr">
        <is>
          <t>UDDEVALLA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46315</v>
      </c>
      <c r="F209" t="inlineStr">
        <is>
          <t>VÄSTRA GÖTALANDS LÄN</t>
        </is>
      </c>
      <c r="G209" t="inlineStr">
        <is>
          <t>UDDEVALLA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46177</v>
      </c>
      <c r="E210" s="1" t="n">
        <v>46315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46315</v>
      </c>
      <c r="F211" t="inlineStr">
        <is>
          <t>VÄSTRA GÖTALANDS LÄN</t>
        </is>
      </c>
      <c r="G211" t="inlineStr">
        <is>
          <t>UDDEVALLA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46315</v>
      </c>
      <c r="F212" t="inlineStr">
        <is>
          <t>VÄSTRA GÖTALANDS LÄN</t>
        </is>
      </c>
      <c r="G212" t="inlineStr">
        <is>
          <t>UDDEVALLA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46315</v>
      </c>
      <c r="F213" t="inlineStr">
        <is>
          <t>VÄSTRA GÖTALANDS LÄN</t>
        </is>
      </c>
      <c r="G213" t="inlineStr">
        <is>
          <t>UDDEVALLA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44655</v>
      </c>
      <c r="E214" s="1" t="n">
        <v>46315</v>
      </c>
      <c r="F214" t="inlineStr">
        <is>
          <t>VÄSTRA GÖTALANDS LÄN</t>
        </is>
      </c>
      <c r="G214" t="inlineStr">
        <is>
          <t>UDDEVALLA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45456</v>
      </c>
      <c r="E215" s="1" t="n">
        <v>46315</v>
      </c>
      <c r="F215" t="inlineStr">
        <is>
          <t>VÄSTRA GÖTALANDS LÄN</t>
        </is>
      </c>
      <c r="G215" t="inlineStr">
        <is>
          <t>UDDEVALLA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46315</v>
      </c>
      <c r="F216" t="inlineStr">
        <is>
          <t>VÄSTRA GÖTALANDS LÄN</t>
        </is>
      </c>
      <c r="G216" t="inlineStr">
        <is>
          <t>UDDEVALLA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46315</v>
      </c>
      <c r="F217" t="inlineStr">
        <is>
          <t>VÄSTRA GÖTALANDS LÄN</t>
        </is>
      </c>
      <c r="G217" t="inlineStr">
        <is>
          <t>UDDEVALLA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46315</v>
      </c>
      <c r="F218" t="inlineStr">
        <is>
          <t>VÄSTRA GÖTALANDS LÄN</t>
        </is>
      </c>
      <c r="G218" t="inlineStr">
        <is>
          <t>UDDEVALLA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46315</v>
      </c>
      <c r="F219" t="inlineStr">
        <is>
          <t>VÄSTRA GÖTALANDS LÄN</t>
        </is>
      </c>
      <c r="G219" t="inlineStr">
        <is>
          <t>UDDEVALLA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45572</v>
      </c>
      <c r="E220" s="1" t="n">
        <v>46315</v>
      </c>
      <c r="F220" t="inlineStr">
        <is>
          <t>VÄSTRA GÖTALANDS LÄN</t>
        </is>
      </c>
      <c r="G220" t="inlineStr">
        <is>
          <t>UDDEVALLA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46315</v>
      </c>
      <c r="F221" t="inlineStr">
        <is>
          <t>VÄSTRA GÖTALANDS LÄN</t>
        </is>
      </c>
      <c r="G221" t="inlineStr">
        <is>
          <t>UDDEVALLA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46315</v>
      </c>
      <c r="F222" t="inlineStr">
        <is>
          <t>VÄSTRA GÖTALANDS LÄN</t>
        </is>
      </c>
      <c r="G222" t="inlineStr">
        <is>
          <t>UDDEVALLA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46315</v>
      </c>
      <c r="F223" t="inlineStr">
        <is>
          <t>VÄSTRA GÖTALANDS LÄN</t>
        </is>
      </c>
      <c r="G223" t="inlineStr">
        <is>
          <t>UDDEVALLA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46315</v>
      </c>
      <c r="F224" t="inlineStr">
        <is>
          <t>VÄSTRA GÖTALANDS LÄN</t>
        </is>
      </c>
      <c r="G224" t="inlineStr">
        <is>
          <t>UDDEVALLA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10436-2026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46076</v>
      </c>
      <c r="E225" s="1" t="n">
        <v>46315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25813-2022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44733</v>
      </c>
      <c r="E226" s="1" t="n">
        <v>46315</v>
      </c>
      <c r="F226" t="inlineStr">
        <is>
          <t>VÄSTRA GÖTALANDS LÄN</t>
        </is>
      </c>
      <c r="G226" t="inlineStr">
        <is>
          <t>UDDEVALLA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46315</v>
      </c>
      <c r="F227" t="inlineStr">
        <is>
          <t>VÄSTRA GÖTALANDS LÄN</t>
        </is>
      </c>
      <c r="G227" t="inlineStr">
        <is>
          <t>UDDEVALLA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46315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39991-2022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46315</v>
      </c>
      <c r="F229" t="inlineStr">
        <is>
          <t>VÄSTRA GÖTALANDS LÄN</t>
        </is>
      </c>
      <c r="G229" t="inlineStr">
        <is>
          <t>UDDEVALLA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46315</v>
      </c>
      <c r="F230" t="inlineStr">
        <is>
          <t>VÄSTRA GÖTALANDS LÄN</t>
        </is>
      </c>
      <c r="G230" t="inlineStr">
        <is>
          <t>UDDEVALLA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46315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46315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Kyrkan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46315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46315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16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46315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46315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45540</v>
      </c>
      <c r="E237" s="1" t="n">
        <v>46315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46315</v>
      </c>
      <c r="F238" t="inlineStr">
        <is>
          <t>VÄSTRA GÖTALANDS LÄN</t>
        </is>
      </c>
      <c r="G238" t="inlineStr">
        <is>
          <t>UDDEVALLA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46315</v>
      </c>
      <c r="F239" t="inlineStr">
        <is>
          <t>VÄSTRA GÖTALANDS LÄN</t>
        </is>
      </c>
      <c r="G239" t="inlineStr">
        <is>
          <t>UDDEVALLA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46315</v>
      </c>
      <c r="F240" t="inlineStr">
        <is>
          <t>VÄSTRA GÖTALANDS LÄN</t>
        </is>
      </c>
      <c r="G240" t="inlineStr">
        <is>
          <t>UDDEVALLA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46315</v>
      </c>
      <c r="F241" t="inlineStr">
        <is>
          <t>VÄSTRA GÖTALANDS LÄN</t>
        </is>
      </c>
      <c r="G241" t="inlineStr">
        <is>
          <t>UDDEVALLA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46315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46315</v>
      </c>
      <c r="F243" t="inlineStr">
        <is>
          <t>VÄSTRA GÖTALANDS LÄN</t>
        </is>
      </c>
      <c r="G243" t="inlineStr">
        <is>
          <t>UDDEVALLA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46315</v>
      </c>
      <c r="F244" t="inlineStr">
        <is>
          <t>VÄSTRA GÖTALANDS LÄN</t>
        </is>
      </c>
      <c r="G244" t="inlineStr">
        <is>
          <t>UDDEVALLA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16819-2026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46113</v>
      </c>
      <c r="E245" s="1" t="n">
        <v>46315</v>
      </c>
      <c r="F245" t="inlineStr">
        <is>
          <t>VÄSTRA GÖTALANDS LÄN</t>
        </is>
      </c>
      <c r="G245" t="inlineStr">
        <is>
          <t>UDDEVALLA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17244-2026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46315</v>
      </c>
      <c r="F246" t="inlineStr">
        <is>
          <t>VÄSTRA GÖTALANDS LÄN</t>
        </is>
      </c>
      <c r="G246" t="inlineStr">
        <is>
          <t>UDDEVALLA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46120</v>
      </c>
      <c r="E247" s="1" t="n">
        <v>46315</v>
      </c>
      <c r="F247" t="inlineStr">
        <is>
          <t>VÄSTRA GÖTALANDS LÄN</t>
        </is>
      </c>
      <c r="G247" t="inlineStr">
        <is>
          <t>UDDEVALLA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46315</v>
      </c>
      <c r="F248" t="inlineStr">
        <is>
          <t>VÄSTRA GÖTALANDS LÄN</t>
        </is>
      </c>
      <c r="G248" t="inlineStr">
        <is>
          <t>UDDEVALLA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46315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Kommuner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46315</v>
      </c>
      <c r="F250" t="inlineStr">
        <is>
          <t>VÄSTRA GÖTALANDS LÄN</t>
        </is>
      </c>
      <c r="G250" t="inlineStr">
        <is>
          <t>UDDEVALLA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46315</v>
      </c>
      <c r="F251" t="inlineStr">
        <is>
          <t>VÄSTRA GÖTALANDS LÄN</t>
        </is>
      </c>
      <c r="G251" t="inlineStr">
        <is>
          <t>UDDEVALLA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46315</v>
      </c>
      <c r="F252" t="inlineStr">
        <is>
          <t>VÄSTRA GÖTALANDS LÄN</t>
        </is>
      </c>
      <c r="G252" t="inlineStr">
        <is>
          <t>UDDEVALLA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1147-2024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45302</v>
      </c>
      <c r="E253" s="1" t="n">
        <v>46315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9797-2023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44984</v>
      </c>
      <c r="E254" s="1" t="n">
        <v>46315</v>
      </c>
      <c r="F254" t="inlineStr">
        <is>
          <t>VÄSTRA GÖTALANDS LÄN</t>
        </is>
      </c>
      <c r="G254" t="inlineStr">
        <is>
          <t>UDDEVALLA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46315</v>
      </c>
      <c r="F255" t="inlineStr">
        <is>
          <t>VÄSTRA GÖTALANDS LÄN</t>
        </is>
      </c>
      <c r="G255" t="inlineStr">
        <is>
          <t>UDDEVALLA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45656</v>
      </c>
      <c r="E256" s="1" t="n">
        <v>46315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45907</v>
      </c>
      <c r="E257" s="1" t="n">
        <v>46315</v>
      </c>
      <c r="F257" t="inlineStr">
        <is>
          <t>VÄSTRA GÖTALANDS LÄN</t>
        </is>
      </c>
      <c r="G257" t="inlineStr">
        <is>
          <t>UDDEVALLA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17964-2022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44683</v>
      </c>
      <c r="E258" s="1" t="n">
        <v>46315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46315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46315</v>
      </c>
      <c r="F260" t="inlineStr">
        <is>
          <t>VÄSTRA GÖTALANDS LÄN</t>
        </is>
      </c>
      <c r="G260" t="inlineStr">
        <is>
          <t>UDDEVALLA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46315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70491-2021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44536</v>
      </c>
      <c r="E262" s="1" t="n">
        <v>46315</v>
      </c>
      <c r="F262" t="inlineStr">
        <is>
          <t>VÄSTRA GÖTALANDS LÄN</t>
        </is>
      </c>
      <c r="G262" t="inlineStr">
        <is>
          <t>UDDEVALLA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46315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46315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46212</v>
      </c>
      <c r="E265" s="1" t="n">
        <v>46315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46315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46315</v>
      </c>
      <c r="F267" t="inlineStr">
        <is>
          <t>VÄSTRA GÖTALANDS LÄN</t>
        </is>
      </c>
      <c r="G267" t="inlineStr">
        <is>
          <t>UDDEVALLA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46315</v>
      </c>
      <c r="F268" t="inlineStr">
        <is>
          <t>VÄSTRA GÖTALANDS LÄN</t>
        </is>
      </c>
      <c r="G268" t="inlineStr">
        <is>
          <t>UDDEVALLA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46222</v>
      </c>
      <c r="E269" s="1" t="n">
        <v>46315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44959</v>
      </c>
      <c r="E270" s="1" t="n">
        <v>46315</v>
      </c>
      <c r="F270" t="inlineStr">
        <is>
          <t>VÄSTRA GÖTALANDS LÄN</t>
        </is>
      </c>
      <c r="G270" t="inlineStr">
        <is>
          <t>UDDEVALLA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45028</v>
      </c>
      <c r="E271" s="1" t="n">
        <v>46315</v>
      </c>
      <c r="F271" t="inlineStr">
        <is>
          <t>VÄSTRA GÖTALANDS LÄN</t>
        </is>
      </c>
      <c r="G271" t="inlineStr">
        <is>
          <t>UDDEVALLA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46315</v>
      </c>
      <c r="F272" t="inlineStr">
        <is>
          <t>VÄSTRA GÖTALANDS LÄN</t>
        </is>
      </c>
      <c r="G272" t="inlineStr">
        <is>
          <t>UDDEVALLA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46315</v>
      </c>
      <c r="F273" t="inlineStr">
        <is>
          <t>VÄSTRA GÖTALANDS LÄN</t>
        </is>
      </c>
      <c r="G273" t="inlineStr">
        <is>
          <t>UDDEVALLA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45089</v>
      </c>
      <c r="E274" s="1" t="n">
        <v>46315</v>
      </c>
      <c r="F274" t="inlineStr">
        <is>
          <t>VÄSTRA GÖTALANDS LÄN</t>
        </is>
      </c>
      <c r="G274" t="inlineStr">
        <is>
          <t>UDDEVALLA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46315</v>
      </c>
      <c r="F275" t="inlineStr">
        <is>
          <t>VÄSTRA GÖTALANDS LÄN</t>
        </is>
      </c>
      <c r="G275" t="inlineStr">
        <is>
          <t>UDDEVALLA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8893-2024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45355</v>
      </c>
      <c r="E276" s="1" t="n">
        <v>46315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45554</v>
      </c>
      <c r="E277" s="1" t="n">
        <v>46315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46315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46315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46315</v>
      </c>
      <c r="F280" t="inlineStr">
        <is>
          <t>VÄSTRA GÖTALANDS LÄN</t>
        </is>
      </c>
      <c r="G280" t="inlineStr">
        <is>
          <t>UDDEVALLA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46315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46315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20790-2026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46315</v>
      </c>
      <c r="F283" t="inlineStr">
        <is>
          <t>VÄSTRA GÖTALANDS LÄN</t>
        </is>
      </c>
      <c r="G283" t="inlineStr">
        <is>
          <t>UDDEVALLA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46315</v>
      </c>
      <c r="F284" t="inlineStr">
        <is>
          <t>VÄSTRA GÖTALANDS LÄN</t>
        </is>
      </c>
      <c r="G284" t="inlineStr">
        <is>
          <t>UDDEVALLA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45902-2024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45580</v>
      </c>
      <c r="E285" s="1" t="n">
        <v>46315</v>
      </c>
      <c r="F285" t="inlineStr">
        <is>
          <t>VÄSTRA GÖTALANDS LÄN</t>
        </is>
      </c>
      <c r="G285" t="inlineStr">
        <is>
          <t>UDDEVALLA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44960</v>
      </c>
      <c r="E286" s="1" t="n">
        <v>46315</v>
      </c>
      <c r="F286" t="inlineStr">
        <is>
          <t>VÄSTRA GÖTALANDS LÄN</t>
        </is>
      </c>
      <c r="G286" t="inlineStr">
        <is>
          <t>UDDEVALLA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46315</v>
      </c>
      <c r="F287" t="inlineStr">
        <is>
          <t>VÄSTRA GÖTALANDS LÄN</t>
        </is>
      </c>
      <c r="G287" t="inlineStr">
        <is>
          <t>UDDEVALLA</t>
        </is>
      </c>
      <c r="I287" t="n">
        <v>12.2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45568</v>
      </c>
      <c r="E288" s="1" t="n">
        <v>46315</v>
      </c>
      <c r="F288" t="inlineStr">
        <is>
          <t>VÄSTRA GÖTALANDS LÄN</t>
        </is>
      </c>
      <c r="G288" t="inlineStr">
        <is>
          <t>UDDEVALLA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58625-2024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45635</v>
      </c>
      <c r="E289" s="1" t="n">
        <v>46315</v>
      </c>
      <c r="F289" t="inlineStr">
        <is>
          <t>VÄSTRA GÖTALANDS LÄN</t>
        </is>
      </c>
      <c r="G289" t="inlineStr">
        <is>
          <t>UDDEVALLA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44924</v>
      </c>
      <c r="E290" s="1" t="n">
        <v>46315</v>
      </c>
      <c r="F290" t="inlineStr">
        <is>
          <t>VÄSTRA GÖTALANDS LÄN</t>
        </is>
      </c>
      <c r="G290" t="inlineStr">
        <is>
          <t>UDDEVALLA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45684</v>
      </c>
      <c r="E291" s="1" t="n">
        <v>46315</v>
      </c>
      <c r="F291" t="inlineStr">
        <is>
          <t>VÄSTRA GÖTALANDS LÄN</t>
        </is>
      </c>
      <c r="G291" t="inlineStr">
        <is>
          <t>UDDEVALLA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46293</v>
      </c>
      <c r="E292" s="1" t="n">
        <v>46315</v>
      </c>
      <c r="F292" t="inlineStr">
        <is>
          <t>VÄSTRA GÖTALANDS LÄN</t>
        </is>
      </c>
      <c r="G292" t="inlineStr">
        <is>
          <t>UDDEVALLA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33865-2026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46315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46315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46315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Kyrkan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46315</v>
      </c>
      <c r="F296" t="inlineStr">
        <is>
          <t>VÄSTRA GÖTALANDS LÄN</t>
        </is>
      </c>
      <c r="G296" t="inlineStr">
        <is>
          <t>UDDEVALLA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45426</v>
      </c>
      <c r="E297" s="1" t="n">
        <v>46315</v>
      </c>
      <c r="F297" t="inlineStr">
        <is>
          <t>VÄSTRA GÖTALANDS LÄN</t>
        </is>
      </c>
      <c r="G297" t="inlineStr">
        <is>
          <t>UDDEVALLA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19981-2025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46315</v>
      </c>
      <c r="F298" t="inlineStr">
        <is>
          <t>VÄSTRA GÖTALANDS LÄN</t>
        </is>
      </c>
      <c r="G298" t="inlineStr">
        <is>
          <t>UDDEVALLA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46315</v>
      </c>
      <c r="F299" t="inlineStr">
        <is>
          <t>VÄSTRA GÖTALANDS LÄN</t>
        </is>
      </c>
      <c r="G299" t="inlineStr">
        <is>
          <t>UDDEVALLA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46315</v>
      </c>
      <c r="F300" t="inlineStr">
        <is>
          <t>VÄSTRA GÖTALANDS LÄN</t>
        </is>
      </c>
      <c r="G300" t="inlineStr">
        <is>
          <t>UDDEVALLA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46315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46315</v>
      </c>
      <c r="F302" t="inlineStr">
        <is>
          <t>VÄSTRA GÖTALANDS LÄN</t>
        </is>
      </c>
      <c r="G302" t="inlineStr">
        <is>
          <t>UDDEVALLA</t>
        </is>
      </c>
      <c r="I302" t="n">
        <v>12.9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46315</v>
      </c>
      <c r="F303" t="inlineStr">
        <is>
          <t>VÄSTRA GÖTALANDS LÄN</t>
        </is>
      </c>
      <c r="G303" t="inlineStr">
        <is>
          <t>UDDEVALLA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45127</v>
      </c>
      <c r="E304" s="1" t="n">
        <v>46315</v>
      </c>
      <c r="F304" t="inlineStr">
        <is>
          <t>VÄSTRA GÖTALANDS LÄN</t>
        </is>
      </c>
      <c r="G304" t="inlineStr">
        <is>
          <t>UDDEVALLA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46315</v>
      </c>
      <c r="F305" t="inlineStr">
        <is>
          <t>VÄSTRA GÖTALANDS LÄN</t>
        </is>
      </c>
      <c r="G305" t="inlineStr">
        <is>
          <t>UDDEVALLA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46315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46315</v>
      </c>
      <c r="F307" t="inlineStr">
        <is>
          <t>VÄSTRA GÖTALANDS LÄN</t>
        </is>
      </c>
      <c r="G307" t="inlineStr">
        <is>
          <t>UDDEVALLA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46315</v>
      </c>
      <c r="F308" t="inlineStr">
        <is>
          <t>VÄSTRA GÖTALANDS LÄN</t>
        </is>
      </c>
      <c r="G308" t="inlineStr">
        <is>
          <t>UDDEVALLA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45537</v>
      </c>
      <c r="E309" s="1" t="n">
        <v>46315</v>
      </c>
      <c r="F309" t="inlineStr">
        <is>
          <t>VÄSTRA GÖTALANDS LÄN</t>
        </is>
      </c>
      <c r="G309" t="inlineStr">
        <is>
          <t>UDDEVALLA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46315</v>
      </c>
      <c r="F310" t="inlineStr">
        <is>
          <t>VÄSTRA GÖTALANDS LÄN</t>
        </is>
      </c>
      <c r="G310" t="inlineStr">
        <is>
          <t>UDDEVALLA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46315</v>
      </c>
      <c r="F311" t="inlineStr">
        <is>
          <t>VÄSTRA GÖTALANDS LÄN</t>
        </is>
      </c>
      <c r="G311" t="inlineStr">
        <is>
          <t>UDDEVALLA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45551</v>
      </c>
      <c r="E312" s="1" t="n">
        <v>46315</v>
      </c>
      <c r="F312" t="inlineStr">
        <is>
          <t>VÄSTRA GÖTALANDS LÄN</t>
        </is>
      </c>
      <c r="G312" t="inlineStr">
        <is>
          <t>UDDEVALLA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46315</v>
      </c>
      <c r="F313" t="inlineStr">
        <is>
          <t>VÄSTRA GÖTALANDS LÄN</t>
        </is>
      </c>
      <c r="G313" t="inlineStr">
        <is>
          <t>UDDEVALLA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10900-2025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46315</v>
      </c>
      <c r="F314" t="inlineStr">
        <is>
          <t>VÄSTRA GÖTALANDS LÄN</t>
        </is>
      </c>
      <c r="G314" t="inlineStr">
        <is>
          <t>UDDEVALLA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45455</v>
      </c>
      <c r="E315" s="1" t="n">
        <v>46315</v>
      </c>
      <c r="F315" t="inlineStr">
        <is>
          <t>VÄSTRA GÖTALANDS LÄN</t>
        </is>
      </c>
      <c r="G315" t="inlineStr">
        <is>
          <t>UDDEVALLA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11076-2025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45723</v>
      </c>
      <c r="E316" s="1" t="n">
        <v>46315</v>
      </c>
      <c r="F316" t="inlineStr">
        <is>
          <t>VÄSTRA GÖTALANDS LÄN</t>
        </is>
      </c>
      <c r="G316" t="inlineStr">
        <is>
          <t>UDDEVALLA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46315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46315</v>
      </c>
      <c r="F318" t="inlineStr">
        <is>
          <t>VÄSTRA GÖTALANDS LÄN</t>
        </is>
      </c>
      <c r="G318" t="inlineStr">
        <is>
          <t>UDDEVALLA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46315</v>
      </c>
      <c r="F319" t="inlineStr">
        <is>
          <t>VÄSTRA GÖTALANDS LÄN</t>
        </is>
      </c>
      <c r="G319" t="inlineStr">
        <is>
          <t>UDDEVALLA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45826</v>
      </c>
      <c r="E320" s="1" t="n">
        <v>46315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46315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46315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46315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46315</v>
      </c>
      <c r="F324" t="inlineStr">
        <is>
          <t>VÄSTRA GÖTALANDS LÄN</t>
        </is>
      </c>
      <c r="G324" t="inlineStr">
        <is>
          <t>UDDEVALLA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46211</v>
      </c>
      <c r="E325" s="1" t="n">
        <v>46315</v>
      </c>
      <c r="F325" t="inlineStr">
        <is>
          <t>VÄSTRA GÖTALANDS LÄN</t>
        </is>
      </c>
      <c r="G325" t="inlineStr">
        <is>
          <t>UDDEVALLA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46311</v>
      </c>
      <c r="E326" s="1" t="n">
        <v>46315</v>
      </c>
      <c r="F326" t="inlineStr">
        <is>
          <t>VÄSTRA GÖTALANDS LÄN</t>
        </is>
      </c>
      <c r="G326" t="inlineStr">
        <is>
          <t>UDDEVALLA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46315</v>
      </c>
      <c r="F327" t="inlineStr">
        <is>
          <t>VÄSTRA GÖTALANDS LÄN</t>
        </is>
      </c>
      <c r="G327" t="inlineStr">
        <is>
          <t>UDDEVALLA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46315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46303</v>
      </c>
      <c r="E329" s="1" t="n">
        <v>46315</v>
      </c>
      <c r="F329" t="inlineStr">
        <is>
          <t>VÄSTRA GÖTALANDS LÄN</t>
        </is>
      </c>
      <c r="G329" t="inlineStr">
        <is>
          <t>UDDEVALLA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46315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46315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46315</v>
      </c>
      <c r="F332" t="inlineStr">
        <is>
          <t>VÄSTRA GÖTALANDS LÄN</t>
        </is>
      </c>
      <c r="G332" t="inlineStr">
        <is>
          <t>UDDEVALLA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46315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46315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46315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46315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2026-10-20T01:50:11Z</dcterms:created>
  <dcterms:modified xmlns:dcterms="http://purl.org/dc/terms/" xmlns:xsi="http://www.w3.org/2001/XMLSchema-instance" xsi:type="dcterms:W3CDTF">2026-10-20T01:50:11Z</dcterms:modified>
</cp:coreProperties>
</file>