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46316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46316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46316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46316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46316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46316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46316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46316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46316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46316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46316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46316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46316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46316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25010-2025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25010-2025 artfynd.xlsx", "A 25010-2025")</f>
        <v/>
      </c>
      <c r="X17">
        <f>HYPERLINK("https://klasma.github.io/Logging_1485/kartor/A 25010-2025 karta.png", "A 25010-2025")</f>
        <v/>
      </c>
      <c r="Y17">
        <f>HYPERLINK("https://klasma.github.io/Logging_1485/kartor_geotiff/A 25010-2025 georefererad karta.tif", "A 25010-2025")</f>
        <v/>
      </c>
      <c r="AA17">
        <f>HYPERLINK("https://klasma.github.io/Logging_1485/klagomål/A 25010-2025 FSC-klagomål.docx", "A 25010-2025")</f>
        <v/>
      </c>
      <c r="AB17">
        <f>HYPERLINK("https://klasma.github.io/Logging_1485/klagomålsmail/A 25010-2025 FSC-klagomål mail.docx", "A 25010-2025")</f>
        <v/>
      </c>
      <c r="AC17">
        <f>HYPERLINK("https://klasma.github.io/Logging_1485/tillsyn/A 25010-2025 tillsynsbegäran.docx", "A 25010-2025")</f>
        <v/>
      </c>
      <c r="AD17">
        <f>HYPERLINK("https://klasma.github.io/Logging_1485/tillsynsmail/A 25010-2025 tillsynsbegäran mail.docx", "A 25010-2025")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46316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46316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3435-2024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45317</v>
      </c>
      <c r="E20" s="1" t="n">
        <v>46316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1.9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Blåmossa
Västlig hakmossa
Spillkråka</t>
        </is>
      </c>
      <c r="W20">
        <f>HYPERLINK("https://klasma.github.io/Logging_1485/artfynd/A 3435-2024 artfynd.xlsx", "A 3435-2024")</f>
        <v/>
      </c>
      <c r="X20">
        <f>HYPERLINK("https://klasma.github.io/Logging_1485/kartor/A 3435-2024 karta.png", "A 3435-2024")</f>
        <v/>
      </c>
      <c r="Y20">
        <f>HYPERLINK("https://klasma.github.io/Logging_1485/kartor_geotiff/A 3435-2024 georefererad karta.tif", "A 3435-2024")</f>
        <v/>
      </c>
      <c r="AA20">
        <f>HYPERLINK("https://klasma.github.io/Logging_1485/klagomål/A 3435-2024 FSC-klagomål.docx", "A 3435-2024")</f>
        <v/>
      </c>
      <c r="AB20">
        <f>HYPERLINK("https://klasma.github.io/Logging_1485/klagomålsmail/A 3435-2024 FSC-klagomål mail.docx", "A 3435-2024")</f>
        <v/>
      </c>
      <c r="AC20">
        <f>HYPERLINK("https://klasma.github.io/Logging_1485/tillsyn/A 3435-2024 tillsynsbegäran.docx", "A 3435-2024")</f>
        <v/>
      </c>
      <c r="AD20">
        <f>HYPERLINK("https://klasma.github.io/Logging_1485/tillsynsmail/A 3435-2024 tillsynsbegäran mail.docx", "A 3435-2024")</f>
        <v/>
      </c>
      <c r="AE20">
        <f>HYPERLINK("https://klasma.github.io/Logging_1485/fåglar/A 3435-2024 prioriterade fågelarter.docx", "A 3435-2024")</f>
        <v/>
      </c>
    </row>
    <row r="21" ht="15" customHeight="1">
      <c r="A21" t="inlineStr">
        <is>
          <t>A 51747-2025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45950</v>
      </c>
      <c r="E21" s="1" t="n">
        <v>46316</v>
      </c>
      <c r="F21" t="inlineStr">
        <is>
          <t>VÄSTRA GÖTALANDS LÄN</t>
        </is>
      </c>
      <c r="G21" t="inlineStr">
        <is>
          <t>UDDEVALLA</t>
        </is>
      </c>
      <c r="I21" t="n">
        <v>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Mattlummer
Äkta lopplummer</t>
        </is>
      </c>
      <c r="W21">
        <f>HYPERLINK("https://klasma.github.io/Logging_1485/artfynd/A 51747-2025 artfynd.xlsx", "A 51747-2025")</f>
        <v/>
      </c>
      <c r="X21">
        <f>HYPERLINK("https://klasma.github.io/Logging_1485/kartor/A 51747-2025 karta.png", "A 51747-2025")</f>
        <v/>
      </c>
      <c r="Y21">
        <f>HYPERLINK("https://klasma.github.io/Logging_1485/kartor_geotiff/A 51747-2025 georefererad karta.tif", "A 51747-2025")</f>
        <v/>
      </c>
      <c r="AA21">
        <f>HYPERLINK("https://klasma.github.io/Logging_1485/klagomål/A 51747-2025 FSC-klagomål.docx", "A 51747-2025")</f>
        <v/>
      </c>
      <c r="AB21">
        <f>HYPERLINK("https://klasma.github.io/Logging_1485/klagomålsmail/A 51747-2025 FSC-klagomål mail.docx", "A 51747-2025")</f>
        <v/>
      </c>
      <c r="AC21">
        <f>HYPERLINK("https://klasma.github.io/Logging_1485/tillsyn/A 51747-2025 tillsynsbegäran.docx", "A 51747-2025")</f>
        <v/>
      </c>
      <c r="AD21">
        <f>HYPERLINK("https://klasma.github.io/Logging_1485/tillsynsmail/A 51747-2025 tillsynsbegäran mail.docx", "A 51747-2025")</f>
        <v/>
      </c>
    </row>
    <row r="22" ht="15" customHeight="1">
      <c r="A22" t="inlineStr">
        <is>
          <t>A 17995-2026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46124</v>
      </c>
      <c r="E22" s="1" t="n">
        <v>46316</v>
      </c>
      <c r="F22" t="inlineStr">
        <is>
          <t>VÄSTRA GÖTALANDS LÄN</t>
        </is>
      </c>
      <c r="G22" t="inlineStr">
        <is>
          <t>UDDEVALLA</t>
        </is>
      </c>
      <c r="I22" t="n">
        <v>3.8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Spillkråka
Revlummer</t>
        </is>
      </c>
      <c r="W22">
        <f>HYPERLINK("https://klasma.github.io/Logging_1485/artfynd/A 17995-2026 artfynd.xlsx", "A 17995-2026")</f>
        <v/>
      </c>
      <c r="X22">
        <f>HYPERLINK("https://klasma.github.io/Logging_1485/kartor/A 17995-2026 karta.png", "A 17995-2026")</f>
        <v/>
      </c>
      <c r="Y22">
        <f>HYPERLINK("https://klasma.github.io/Logging_1485/kartor_geotiff/A 17995-2026 georefererad karta.tif", "A 17995-2026")</f>
        <v/>
      </c>
      <c r="AA22">
        <f>HYPERLINK("https://klasma.github.io/Logging_1485/klagomål/A 17995-2026 FSC-klagomål.docx", "A 17995-2026")</f>
        <v/>
      </c>
      <c r="AB22">
        <f>HYPERLINK("https://klasma.github.io/Logging_1485/klagomålsmail/A 17995-2026 FSC-klagomål mail.docx", "A 17995-2026")</f>
        <v/>
      </c>
      <c r="AC22">
        <f>HYPERLINK("https://klasma.github.io/Logging_1485/tillsyn/A 17995-2026 tillsynsbegäran.docx", "A 17995-2026")</f>
        <v/>
      </c>
      <c r="AD22">
        <f>HYPERLINK("https://klasma.github.io/Logging_1485/tillsynsmail/A 17995-2026 tillsynsbegäran mail.docx", "A 17995-2026")</f>
        <v/>
      </c>
      <c r="AE22">
        <f>HYPERLINK("https://klasma.github.io/Logging_1485/fåglar/A 17995-2026 prioriterade fågelarter.docx", "A 17995-2026")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46316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46316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65109-2023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45288</v>
      </c>
      <c r="E25" s="1" t="n">
        <v>46316</v>
      </c>
      <c r="F25" t="inlineStr">
        <is>
          <t>VÄSTRA GÖTALANDS LÄN</t>
        </is>
      </c>
      <c r="G25" t="inlineStr">
        <is>
          <t>UDDEVALLA</t>
        </is>
      </c>
      <c r="I25" t="n">
        <v>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Åttafläckig praktbagge</t>
        </is>
      </c>
      <c r="W25">
        <f>HYPERLINK("https://klasma.github.io/Logging_1485/artfynd/A 65109-2023 artfynd.xlsx", "A 65109-2023")</f>
        <v/>
      </c>
      <c r="X25">
        <f>HYPERLINK("https://klasma.github.io/Logging_1485/kartor/A 65109-2023 karta.png", "A 65109-2023")</f>
        <v/>
      </c>
      <c r="Y25">
        <f>HYPERLINK("https://klasma.github.io/Logging_1485/kartor_geotiff/A 65109-2023 georefererad karta.tif", "A 65109-2023")</f>
        <v/>
      </c>
      <c r="AA25">
        <f>HYPERLINK("https://klasma.github.io/Logging_1485/klagomål/A 65109-2023 FSC-klagomål.docx", "A 65109-2023")</f>
        <v/>
      </c>
      <c r="AB25">
        <f>HYPERLINK("https://klasma.github.io/Logging_1485/klagomålsmail/A 65109-2023 FSC-klagomål mail.docx", "A 65109-2023")</f>
        <v/>
      </c>
      <c r="AC25">
        <f>HYPERLINK("https://klasma.github.io/Logging_1485/tillsyn/A 65109-2023 tillsynsbegäran.docx", "A 65109-2023")</f>
        <v/>
      </c>
      <c r="AD25">
        <f>HYPERLINK("https://klasma.github.io/Logging_1485/tillsynsmail/A 65109-2023 tillsynsbegäran mail.docx", "A 65109-2023")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46316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16863-2025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45754</v>
      </c>
      <c r="E27" s="1" t="n">
        <v>46316</v>
      </c>
      <c r="F27" t="inlineStr">
        <is>
          <t>VÄSTRA GÖTALANDS LÄN</t>
        </is>
      </c>
      <c r="G27" t="inlineStr">
        <is>
          <t>UDDEVALLA</t>
        </is>
      </c>
      <c r="I27" t="n">
        <v>15.3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Kambräken
Kopparödla</t>
        </is>
      </c>
      <c r="W27">
        <f>HYPERLINK("https://klasma.github.io/Logging_1485/artfynd/A 16863-2025 artfynd.xlsx", "A 16863-2025")</f>
        <v/>
      </c>
      <c r="X27">
        <f>HYPERLINK("https://klasma.github.io/Logging_1485/kartor/A 16863-2025 karta.png", "A 16863-2025")</f>
        <v/>
      </c>
      <c r="Y27">
        <f>HYPERLINK("https://klasma.github.io/Logging_1485/kartor_geotiff/A 16863-2025 georefererad karta.tif", "A 16863-2025")</f>
        <v/>
      </c>
      <c r="AA27">
        <f>HYPERLINK("https://klasma.github.io/Logging_1485/klagomål/A 16863-2025 FSC-klagomål.docx", "A 16863-2025")</f>
        <v/>
      </c>
      <c r="AB27">
        <f>HYPERLINK("https://klasma.github.io/Logging_1485/klagomålsmail/A 16863-2025 FSC-klagomål mail.docx", "A 16863-2025")</f>
        <v/>
      </c>
      <c r="AC27">
        <f>HYPERLINK("https://klasma.github.io/Logging_1485/tillsyn/A 16863-2025 tillsynsbegäran.docx", "A 16863-2025")</f>
        <v/>
      </c>
      <c r="AD27">
        <f>HYPERLINK("https://klasma.github.io/Logging_1485/tillsynsmail/A 16863-2025 tillsynsbegäran mail.docx", "A 16863-2025")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46316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46316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46316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46316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46316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36880-2026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46316</v>
      </c>
      <c r="F33" t="inlineStr">
        <is>
          <t>VÄSTRA GÖTALANDS LÄN</t>
        </is>
      </c>
      <c r="G33" t="inlineStr">
        <is>
          <t>UDDEVALLA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Luddfingersvamp
Brandticka</t>
        </is>
      </c>
      <c r="W33">
        <f>HYPERLINK("https://klasma.github.io/Logging_1485/artfynd/A 36880-2026 artfynd.xlsx", "A 36880-2026")</f>
        <v/>
      </c>
      <c r="X33">
        <f>HYPERLINK("https://klasma.github.io/Logging_1485/kartor/A 36880-2026 karta.png", "A 36880-2026")</f>
        <v/>
      </c>
      <c r="Y33">
        <f>HYPERLINK("https://klasma.github.io/Logging_1485/kartor_geotiff/A 36880-2026 georefererad karta.tif", "A 36880-2026")</f>
        <v/>
      </c>
      <c r="AA33">
        <f>HYPERLINK("https://klasma.github.io/Logging_1485/klagomål/A 36880-2026 FSC-klagomål.docx", "A 36880-2026")</f>
        <v/>
      </c>
      <c r="AB33">
        <f>HYPERLINK("https://klasma.github.io/Logging_1485/klagomålsmail/A 36880-2026 FSC-klagomål mail.docx", "A 36880-2026")</f>
        <v/>
      </c>
      <c r="AC33">
        <f>HYPERLINK("https://klasma.github.io/Logging_1485/tillsyn/A 36880-2026 tillsynsbegäran.docx", "A 36880-2026")</f>
        <v/>
      </c>
      <c r="AD33">
        <f>HYPERLINK("https://klasma.github.io/Logging_1485/tillsynsmail/A 36880-2026 tillsynsbegäran mail.docx", "A 36880-2026")</f>
        <v/>
      </c>
    </row>
    <row r="34" ht="15" customHeight="1">
      <c r="A34" t="inlineStr">
        <is>
          <t>A 8666-2024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46316</v>
      </c>
      <c r="F34" t="inlineStr">
        <is>
          <t>VÄSTRA GÖTALANDS LÄN</t>
        </is>
      </c>
      <c r="G34" t="inlineStr">
        <is>
          <t>UDDEVALLA</t>
        </is>
      </c>
      <c r="I34" t="n">
        <v>4.6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6</v>
      </c>
      <c r="V34" s="2" t="inlineStr">
        <is>
          <t>Västlig hakmossa
Spillkråka</t>
        </is>
      </c>
      <c r="W34">
        <f>HYPERLINK("https://klasma.github.io/Logging_1485/artfynd/A 8666-2024 artfynd.xlsx", "A 8666-2024")</f>
        <v/>
      </c>
      <c r="X34">
        <f>HYPERLINK("https://klasma.github.io/Logging_1485/kartor/A 8666-2024 karta.png", "A 8666-2024")</f>
        <v/>
      </c>
      <c r="Y34">
        <f>HYPERLINK("https://klasma.github.io/Logging_1485/kartor_geotiff/A 8666-2024 georefererad karta.tif", "A 8666-2024")</f>
        <v/>
      </c>
      <c r="AA34">
        <f>HYPERLINK("https://klasma.github.io/Logging_1485/klagomål/A 8666-2024 FSC-klagomål.docx", "A 8666-2024")</f>
        <v/>
      </c>
      <c r="AB34">
        <f>HYPERLINK("https://klasma.github.io/Logging_1485/klagomålsmail/A 8666-2024 FSC-klagomål mail.docx", "A 8666-2024")</f>
        <v/>
      </c>
      <c r="AC34">
        <f>HYPERLINK("https://klasma.github.io/Logging_1485/tillsyn/A 8666-2024 tillsynsbegäran.docx", "A 8666-2024")</f>
        <v/>
      </c>
      <c r="AD34">
        <f>HYPERLINK("https://klasma.github.io/Logging_1485/tillsynsmail/A 8666-2024 tillsynsbegäran mail.docx", "A 8666-2024")</f>
        <v/>
      </c>
      <c r="AE34">
        <f>HYPERLINK("https://klasma.github.io/Logging_1485/fåglar/A 8666-2024 prioriterade fågelarter.docx", "A 8666-2024")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46316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46316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46316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46316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7770-2024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46316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Kyrkan</t>
        </is>
      </c>
      <c r="I39" t="n">
        <v>6.2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HYPERLINK("https://klasma.github.io/Logging_1485/artfynd/A 7770-2024 artfynd.xlsx", "A 7770-2024")</f>
        <v/>
      </c>
      <c r="X39">
        <f>HYPERLINK("https://klasma.github.io/Logging_1485/kartor/A 7770-2024 karta.png", "A 7770-2024")</f>
        <v/>
      </c>
      <c r="Y39">
        <f>HYPERLINK("https://klasma.github.io/Logging_1485/kartor_geotiff/A 7770-2024 georefererad karta.tif", "A 7770-2024")</f>
        <v/>
      </c>
      <c r="AA39">
        <f>HYPERLINK("https://klasma.github.io/Logging_1485/klagomål/A 7770-2024 FSC-klagomål.docx", "A 7770-2024")</f>
        <v/>
      </c>
      <c r="AB39">
        <f>HYPERLINK("https://klasma.github.io/Logging_1485/klagomålsmail/A 7770-2024 FSC-klagomål mail.docx", "A 7770-2024")</f>
        <v/>
      </c>
      <c r="AC39">
        <f>HYPERLINK("https://klasma.github.io/Logging_1485/tillsyn/A 7770-2024 tillsynsbegäran.docx", "A 7770-2024")</f>
        <v/>
      </c>
      <c r="AD39">
        <f>HYPERLINK("https://klasma.github.io/Logging_1485/tillsynsmail/A 7770-2024 tillsynsbegäran mail.docx", "A 7770-2024")</f>
        <v/>
      </c>
    </row>
    <row r="40" ht="15" customHeight="1">
      <c r="A40" t="inlineStr">
        <is>
          <t>A 30954-2025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46316</v>
      </c>
      <c r="F40" t="inlineStr">
        <is>
          <t>VÄSTRA GÖTALANDS LÄN</t>
        </is>
      </c>
      <c r="G40" t="inlineStr">
        <is>
          <t>UDDEVALLA</t>
        </is>
      </c>
      <c r="I40" t="n">
        <v>11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HYPERLINK("https://klasma.github.io/Logging_1485/artfynd/A 30954-2025 artfynd.xlsx", "A 30954-2025")</f>
        <v/>
      </c>
      <c r="X40">
        <f>HYPERLINK("https://klasma.github.io/Logging_1485/kartor/A 30954-2025 karta.png", "A 30954-2025")</f>
        <v/>
      </c>
      <c r="Y40">
        <f>HYPERLINK("https://klasma.github.io/Logging_1485/kartor_geotiff/A 30954-2025 georefererad karta.tif", "A 30954-2025")</f>
        <v/>
      </c>
      <c r="AA40">
        <f>HYPERLINK("https://klasma.github.io/Logging_1485/klagomål/A 30954-2025 FSC-klagomål.docx", "A 30954-2025")</f>
        <v/>
      </c>
      <c r="AB40">
        <f>HYPERLINK("https://klasma.github.io/Logging_1485/klagomålsmail/A 30954-2025 FSC-klagomål mail.docx", "A 30954-2025")</f>
        <v/>
      </c>
      <c r="AC40">
        <f>HYPERLINK("https://klasma.github.io/Logging_1485/tillsyn/A 30954-2025 tillsynsbegäran.docx", "A 30954-2025")</f>
        <v/>
      </c>
      <c r="AD40">
        <f>HYPERLINK("https://klasma.github.io/Logging_1485/tillsynsmail/A 30954-2025 tillsynsbegäran mail.docx", "A 30954-2025")</f>
        <v/>
      </c>
    </row>
    <row r="41" ht="15" customHeight="1">
      <c r="A41" t="inlineStr">
        <is>
          <t>A 236-2023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46316</v>
      </c>
      <c r="F41" t="inlineStr">
        <is>
          <t>VÄSTRA GÖTALANDS LÄN</t>
        </is>
      </c>
      <c r="G41" t="inlineStr">
        <is>
          <t>UDDEVALLA</t>
        </is>
      </c>
      <c r="I41" t="n">
        <v>16.7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Rödgul trumpetsvamp</t>
        </is>
      </c>
      <c r="W41">
        <f>HYPERLINK("https://klasma.github.io/Logging_1485/artfynd/A 236-2023 artfynd.xlsx", "A 236-2023")</f>
        <v/>
      </c>
      <c r="X41">
        <f>HYPERLINK("https://klasma.github.io/Logging_1485/kartor/A 236-2023 karta.png", "A 236-2023")</f>
        <v/>
      </c>
      <c r="Y41">
        <f>HYPERLINK("https://klasma.github.io/Logging_1485/kartor_geotiff/A 236-2023 georefererad karta.tif", "A 236-2023")</f>
        <v/>
      </c>
      <c r="AA41">
        <f>HYPERLINK("https://klasma.github.io/Logging_1485/klagomål/A 236-2023 FSC-klagomål.docx", "A 236-2023")</f>
        <v/>
      </c>
      <c r="AB41">
        <f>HYPERLINK("https://klasma.github.io/Logging_1485/klagomålsmail/A 236-2023 FSC-klagomål mail.docx", "A 236-2023")</f>
        <v/>
      </c>
      <c r="AC41">
        <f>HYPERLINK("https://klasma.github.io/Logging_1485/tillsyn/A 236-2023 tillsynsbegäran.docx", "A 236-2023")</f>
        <v/>
      </c>
      <c r="AD41">
        <f>HYPERLINK("https://klasma.github.io/Logging_1485/tillsynsmail/A 236-2023 tillsynsbegäran mail.docx", "A 236-2023")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46316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55288-2023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45237</v>
      </c>
      <c r="E43" s="1" t="n">
        <v>46316</v>
      </c>
      <c r="F43" t="inlineStr">
        <is>
          <t>VÄSTRA GÖTALANDS LÄN</t>
        </is>
      </c>
      <c r="G43" t="inlineStr">
        <is>
          <t>UDDEVALLA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HYPERLINK("https://klasma.github.io/Logging_1485/artfynd/A 55288-2023 artfynd.xlsx", "A 55288-2023")</f>
        <v/>
      </c>
      <c r="X43">
        <f>HYPERLINK("https://klasma.github.io/Logging_1485/kartor/A 55288-2023 karta.png", "A 55288-2023")</f>
        <v/>
      </c>
      <c r="Y43">
        <f>HYPERLINK("https://klasma.github.io/Logging_1485/kartor_geotiff/A 55288-2023 georefererad karta.tif", "A 55288-2023")</f>
        <v/>
      </c>
      <c r="AA43">
        <f>HYPERLINK("https://klasma.github.io/Logging_1485/klagomål/A 55288-2023 FSC-klagomål.docx", "A 55288-2023")</f>
        <v/>
      </c>
      <c r="AB43">
        <f>HYPERLINK("https://klasma.github.io/Logging_1485/klagomålsmail/A 55288-2023 FSC-klagomål mail.docx", "A 55288-2023")</f>
        <v/>
      </c>
      <c r="AC43">
        <f>HYPERLINK("https://klasma.github.io/Logging_1485/tillsyn/A 55288-2023 tillsynsbegäran.docx", "A 55288-2023")</f>
        <v/>
      </c>
      <c r="AD43">
        <f>HYPERLINK("https://klasma.github.io/Logging_1485/tillsynsmail/A 55288-2023 tillsynsbegäran mail.docx", "A 55288-2023")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46316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HYPERLINK("https://klasma.github.io/Logging_1485/artfynd/A 23401-2023 artfynd.xlsx", "A 23401-2023")</f>
        <v/>
      </c>
      <c r="X44">
        <f>HYPERLINK("https://klasma.github.io/Logging_1485/kartor/A 23401-2023 karta.png", "A 23401-2023")</f>
        <v/>
      </c>
      <c r="Y44">
        <f>HYPERLINK("https://klasma.github.io/Logging_1485/kartor_geotiff/A 23401-2023 georefererad karta.tif", "A 23401-2023")</f>
        <v/>
      </c>
      <c r="AA44">
        <f>HYPERLINK("https://klasma.github.io/Logging_1485/klagomål/A 23401-2023 FSC-klagomål.docx", "A 23401-2023")</f>
        <v/>
      </c>
      <c r="AB44">
        <f>HYPERLINK("https://klasma.github.io/Logging_1485/klagomålsmail/A 23401-2023 FSC-klagomål mail.docx", "A 23401-2023")</f>
        <v/>
      </c>
      <c r="AC44">
        <f>HYPERLINK("https://klasma.github.io/Logging_1485/tillsyn/A 23401-2023 tillsynsbegäran.docx", "A 23401-2023")</f>
        <v/>
      </c>
      <c r="AD44">
        <f>HYPERLINK("https://klasma.github.io/Logging_1485/tillsynsmail/A 23401-2023 tillsynsbegäran mail.docx", "A 23401-2023")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46316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2429-2026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46316</v>
      </c>
      <c r="F46" t="inlineStr">
        <is>
          <t>VÄSTRA GÖTALANDS LÄN</t>
        </is>
      </c>
      <c r="G46" t="inlineStr">
        <is>
          <t>UDDEVALLA</t>
        </is>
      </c>
      <c r="I46" t="n">
        <v>7.6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HYPERLINK("https://klasma.github.io/Logging_1485/artfynd/A 2429-2026 artfynd.xlsx", "A 2429-2026")</f>
        <v/>
      </c>
      <c r="X46">
        <f>HYPERLINK("https://klasma.github.io/Logging_1485/kartor/A 2429-2026 karta.png", "A 2429-2026")</f>
        <v/>
      </c>
      <c r="Y46">
        <f>HYPERLINK("https://klasma.github.io/Logging_1485/kartor_geotiff/A 2429-2026 georefererad karta.tif", "A 2429-2026")</f>
        <v/>
      </c>
      <c r="AA46">
        <f>HYPERLINK("https://klasma.github.io/Logging_1485/klagomål/A 2429-2026 FSC-klagomål.docx", "A 2429-2026")</f>
        <v/>
      </c>
      <c r="AB46">
        <f>HYPERLINK("https://klasma.github.io/Logging_1485/klagomålsmail/A 2429-2026 FSC-klagomål mail.docx", "A 2429-2026")</f>
        <v/>
      </c>
      <c r="AC46">
        <f>HYPERLINK("https://klasma.github.io/Logging_1485/tillsyn/A 2429-2026 tillsynsbegäran.docx", "A 2429-2026")</f>
        <v/>
      </c>
      <c r="AD46">
        <f>HYPERLINK("https://klasma.github.io/Logging_1485/tillsynsmail/A 2429-2026 tillsynsbegäran mail.docx", "A 2429-2026")</f>
        <v/>
      </c>
    </row>
    <row r="47" ht="15" customHeight="1">
      <c r="A47" t="inlineStr">
        <is>
          <t>A 1293-2024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45303</v>
      </c>
      <c r="E47" s="1" t="n">
        <v>46316</v>
      </c>
      <c r="F47" t="inlineStr">
        <is>
          <t>VÄSTRA GÖTALANDS LÄN</t>
        </is>
      </c>
      <c r="G47" t="inlineStr">
        <is>
          <t>UDDEVALLA</t>
        </is>
      </c>
      <c r="I47" t="n">
        <v>2.2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Tornseglare</t>
        </is>
      </c>
      <c r="W47">
        <f>HYPERLINK("https://klasma.github.io/Logging_1485/artfynd/A 1293-2024 artfynd.xlsx", "A 1293-2024")</f>
        <v/>
      </c>
      <c r="X47">
        <f>HYPERLINK("https://klasma.github.io/Logging_1485/kartor/A 1293-2024 karta.png", "A 1293-2024")</f>
        <v/>
      </c>
      <c r="Y47">
        <f>HYPERLINK("https://klasma.github.io/Logging_1485/kartor_geotiff/A 1293-2024 georefererad karta.tif", "A 1293-2024")</f>
        <v/>
      </c>
      <c r="AA47">
        <f>HYPERLINK("https://klasma.github.io/Logging_1485/klagomål/A 1293-2024 FSC-klagomål.docx", "A 1293-2024")</f>
        <v/>
      </c>
      <c r="AB47">
        <f>HYPERLINK("https://klasma.github.io/Logging_1485/klagomålsmail/A 1293-2024 FSC-klagomål mail.docx", "A 1293-2024")</f>
        <v/>
      </c>
      <c r="AC47">
        <f>HYPERLINK("https://klasma.github.io/Logging_1485/tillsyn/A 1293-2024 tillsynsbegäran.docx", "A 1293-2024")</f>
        <v/>
      </c>
      <c r="AD47">
        <f>HYPERLINK("https://klasma.github.io/Logging_1485/tillsynsmail/A 1293-2024 tillsynsbegäran mail.docx", "A 1293-2024")</f>
        <v/>
      </c>
      <c r="AE47">
        <f>HYPERLINK("https://klasma.github.io/Logging_1485/fåglar/A 1293-2024 prioriterade fågelarter.docx", "A 1293-2024")</f>
        <v/>
      </c>
    </row>
    <row r="48" ht="15" customHeight="1">
      <c r="A48" t="inlineStr">
        <is>
          <t>A 34058-2023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45135</v>
      </c>
      <c r="E48" s="1" t="n">
        <v>46316</v>
      </c>
      <c r="F48" t="inlineStr">
        <is>
          <t>VÄSTRA GÖTALANDS LÄN</t>
        </is>
      </c>
      <c r="G48" t="inlineStr">
        <is>
          <t>UDDEVALLA</t>
        </is>
      </c>
      <c r="I48" t="n">
        <v>1.3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Lundvaxskivling</t>
        </is>
      </c>
      <c r="W48">
        <f>HYPERLINK("https://klasma.github.io/Logging_1485/artfynd/A 34058-2023 artfynd.xlsx", "A 34058-2023")</f>
        <v/>
      </c>
      <c r="X48">
        <f>HYPERLINK("https://klasma.github.io/Logging_1485/kartor/A 34058-2023 karta.png", "A 34058-2023")</f>
        <v/>
      </c>
      <c r="Y48">
        <f>HYPERLINK("https://klasma.github.io/Logging_1485/kartor_geotiff/A 34058-2023 georefererad karta.tif", "A 34058-2023")</f>
        <v/>
      </c>
      <c r="AA48">
        <f>HYPERLINK("https://klasma.github.io/Logging_1485/klagomål/A 34058-2023 FSC-klagomål.docx", "A 34058-2023")</f>
        <v/>
      </c>
      <c r="AB48">
        <f>HYPERLINK("https://klasma.github.io/Logging_1485/klagomålsmail/A 34058-2023 FSC-klagomål mail.docx", "A 34058-2023")</f>
        <v/>
      </c>
      <c r="AC48">
        <f>HYPERLINK("https://klasma.github.io/Logging_1485/tillsyn/A 34058-2023 tillsynsbegäran.docx", "A 34058-2023")</f>
        <v/>
      </c>
      <c r="AD48">
        <f>HYPERLINK("https://klasma.github.io/Logging_1485/tillsynsmail/A 34058-2023 tillsynsbegäran mail.docx", "A 34058-2023")</f>
        <v/>
      </c>
    </row>
    <row r="49" ht="15" customHeight="1">
      <c r="A49" t="inlineStr">
        <is>
          <t>A 29691-2023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46316</v>
      </c>
      <c r="F49" t="inlineStr">
        <is>
          <t>VÄSTRA GÖTALANDS LÄN</t>
        </is>
      </c>
      <c r="G49" t="inlineStr">
        <is>
          <t>UDDEVALLA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Kopparödla</t>
        </is>
      </c>
      <c r="W49">
        <f>HYPERLINK("https://klasma.github.io/Logging_1485/artfynd/A 29691-2023 artfynd.xlsx", "A 29691-2023")</f>
        <v/>
      </c>
      <c r="X49">
        <f>HYPERLINK("https://klasma.github.io/Logging_1485/kartor/A 29691-2023 karta.png", "A 29691-2023")</f>
        <v/>
      </c>
      <c r="Y49">
        <f>HYPERLINK("https://klasma.github.io/Logging_1485/kartor_geotiff/A 29691-2023 georefererad karta.tif", "A 29691-2023")</f>
        <v/>
      </c>
      <c r="AA49">
        <f>HYPERLINK("https://klasma.github.io/Logging_1485/klagomål/A 29691-2023 FSC-klagomål.docx", "A 29691-2023")</f>
        <v/>
      </c>
      <c r="AB49">
        <f>HYPERLINK("https://klasma.github.io/Logging_1485/klagomålsmail/A 29691-2023 FSC-klagomål mail.docx", "A 29691-2023")</f>
        <v/>
      </c>
      <c r="AC49">
        <f>HYPERLINK("https://klasma.github.io/Logging_1485/tillsyn/A 29691-2023 tillsynsbegäran.docx", "A 29691-2023")</f>
        <v/>
      </c>
      <c r="AD49">
        <f>HYPERLINK("https://klasma.github.io/Logging_1485/tillsynsmail/A 29691-2023 tillsynsbegäran mail.docx", "A 29691-2023")</f>
        <v/>
      </c>
    </row>
    <row r="50" ht="15" customHeight="1">
      <c r="A50" t="inlineStr">
        <is>
          <t>A 9424-2026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46316</v>
      </c>
      <c r="F50" t="inlineStr">
        <is>
          <t>VÄSTRA GÖTALANDS LÄN</t>
        </is>
      </c>
      <c r="G50" t="inlineStr">
        <is>
          <t>UDDEVALLA</t>
        </is>
      </c>
      <c r="I50" t="n">
        <v>4.3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Flotagräs</t>
        </is>
      </c>
      <c r="W50">
        <f>HYPERLINK("https://klasma.github.io/Logging_1485/artfynd/A 9424-2026 artfynd.xlsx", "A 9424-2026")</f>
        <v/>
      </c>
      <c r="X50">
        <f>HYPERLINK("https://klasma.github.io/Logging_1485/kartor/A 9424-2026 karta.png", "A 9424-2026")</f>
        <v/>
      </c>
      <c r="Y50">
        <f>HYPERLINK("https://klasma.github.io/Logging_1485/kartor_geotiff/A 9424-2026 georefererad karta.tif", "A 9424-2026")</f>
        <v/>
      </c>
      <c r="AA50">
        <f>HYPERLINK("https://klasma.github.io/Logging_1485/klagomål/A 9424-2026 FSC-klagomål.docx", "A 9424-2026")</f>
        <v/>
      </c>
      <c r="AB50">
        <f>HYPERLINK("https://klasma.github.io/Logging_1485/klagomålsmail/A 9424-2026 FSC-klagomål mail.docx", "A 9424-2026")</f>
        <v/>
      </c>
      <c r="AC50">
        <f>HYPERLINK("https://klasma.github.io/Logging_1485/tillsyn/A 9424-2026 tillsynsbegäran.docx", "A 9424-2026")</f>
        <v/>
      </c>
      <c r="AD50">
        <f>HYPERLINK("https://klasma.github.io/Logging_1485/tillsynsmail/A 9424-2026 tillsynsbegäran mail.docx", "A 9424-2026")</f>
        <v/>
      </c>
    </row>
    <row r="51" ht="15" customHeight="1">
      <c r="A51" t="inlineStr">
        <is>
          <t>A 39966-2026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46292</v>
      </c>
      <c r="E51" s="1" t="n">
        <v>46316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Kommuner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HYPERLINK("https://klasma.github.io/Logging_1485/artfynd/A 39966-2026 artfynd.xlsx", "A 39966-2026")</f>
        <v/>
      </c>
      <c r="X51">
        <f>HYPERLINK("https://klasma.github.io/Logging_1485/kartor/A 39966-2026 karta.png", "A 39966-2026")</f>
        <v/>
      </c>
      <c r="Y51">
        <f>HYPERLINK("https://klasma.github.io/Logging_1485/kartor_geotiff/A 39966-2026 georefererad karta.tif", "A 39966-2026")</f>
        <v/>
      </c>
      <c r="AA51">
        <f>HYPERLINK("https://klasma.github.io/Logging_1485/klagomål/A 39966-2026 FSC-klagomål.docx", "A 39966-2026")</f>
        <v/>
      </c>
      <c r="AB51">
        <f>HYPERLINK("https://klasma.github.io/Logging_1485/klagomålsmail/A 39966-2026 FSC-klagomål mail.docx", "A 39966-2026")</f>
        <v/>
      </c>
      <c r="AC51">
        <f>HYPERLINK("https://klasma.github.io/Logging_1485/tillsyn/A 39966-2026 tillsynsbegäran.docx", "A 39966-2026")</f>
        <v/>
      </c>
      <c r="AD51">
        <f>HYPERLINK("https://klasma.github.io/Logging_1485/tillsynsmail/A 39966-2026 tillsynsbegäran mail.docx", "A 39966-2026")</f>
        <v/>
      </c>
    </row>
    <row r="52" ht="15" customHeight="1">
      <c r="A52" t="inlineStr">
        <is>
          <t>A 33812-2026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46251</v>
      </c>
      <c r="E52" s="1" t="n">
        <v>46316</v>
      </c>
      <c r="F52" t="inlineStr">
        <is>
          <t>VÄSTRA GÖTALANDS LÄN</t>
        </is>
      </c>
      <c r="G52" t="inlineStr">
        <is>
          <t>UDDEVALLA</t>
        </is>
      </c>
      <c r="H52" t="inlineStr">
        <is>
          <t>Kyrkan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Skogsbräsma</t>
        </is>
      </c>
      <c r="W52">
        <f>HYPERLINK("https://klasma.github.io/Logging_1485/artfynd/A 33812-2026 artfynd.xlsx", "A 33812-2026")</f>
        <v/>
      </c>
      <c r="X52">
        <f>HYPERLINK("https://klasma.github.io/Logging_1485/kartor/A 33812-2026 karta.png", "A 33812-2026")</f>
        <v/>
      </c>
      <c r="Y52">
        <f>HYPERLINK("https://klasma.github.io/Logging_1485/kartor_geotiff/A 33812-2026 georefererad karta.tif", "A 33812-2026")</f>
        <v/>
      </c>
      <c r="AA52">
        <f>HYPERLINK("https://klasma.github.io/Logging_1485/klagomål/A 33812-2026 FSC-klagomål.docx", "A 33812-2026")</f>
        <v/>
      </c>
      <c r="AB52">
        <f>HYPERLINK("https://klasma.github.io/Logging_1485/klagomålsmail/A 33812-2026 FSC-klagomål mail.docx", "A 33812-2026")</f>
        <v/>
      </c>
      <c r="AC52">
        <f>HYPERLINK("https://klasma.github.io/Logging_1485/tillsyn/A 33812-2026 tillsynsbegäran.docx", "A 33812-2026")</f>
        <v/>
      </c>
      <c r="AD52">
        <f>HYPERLINK("https://klasma.github.io/Logging_1485/tillsynsmail/A 33812-2026 tillsynsbegäran mail.docx", "A 33812-2026")</f>
        <v/>
      </c>
    </row>
    <row r="53" ht="15" customHeight="1">
      <c r="A53" t="inlineStr">
        <is>
          <t>A 42008-2026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46316</v>
      </c>
      <c r="F53" t="inlineStr">
        <is>
          <t>VÄSTRA GÖTALANDS LÄN</t>
        </is>
      </c>
      <c r="G53" t="inlineStr">
        <is>
          <t>UDDEVALLA</t>
        </is>
      </c>
      <c r="I53" t="n">
        <v>12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42008-2026 artfynd.xlsx", "A 42008-2026")</f>
        <v/>
      </c>
      <c r="X53">
        <f>HYPERLINK("https://klasma.github.io/Logging_1485/kartor/A 42008-2026 karta.png", "A 42008-2026")</f>
        <v/>
      </c>
      <c r="Y53">
        <f>HYPERLINK("https://klasma.github.io/Logging_1485/kartor_geotiff/A 42008-2026 georefererad karta.tif", "A 42008-2026")</f>
        <v/>
      </c>
      <c r="AA53">
        <f>HYPERLINK("https://klasma.github.io/Logging_1485/klagomål/A 42008-2026 FSC-klagomål.docx", "A 42008-2026")</f>
        <v/>
      </c>
      <c r="AB53">
        <f>HYPERLINK("https://klasma.github.io/Logging_1485/klagomålsmail/A 42008-2026 FSC-klagomål mail.docx", "A 42008-2026")</f>
        <v/>
      </c>
      <c r="AC53">
        <f>HYPERLINK("https://klasma.github.io/Logging_1485/tillsyn/A 42008-2026 tillsynsbegäran.docx", "A 42008-2026")</f>
        <v/>
      </c>
      <c r="AD53">
        <f>HYPERLINK("https://klasma.github.io/Logging_1485/tillsynsmail/A 42008-2026 tillsynsbegäran mail.docx", "A 42008-2026")</f>
        <v/>
      </c>
    </row>
    <row r="54" ht="15" customHeight="1">
      <c r="A54" t="inlineStr">
        <is>
          <t>A 42009-2026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46303</v>
      </c>
      <c r="E54" s="1" t="n">
        <v>46316</v>
      </c>
      <c r="F54" t="inlineStr">
        <is>
          <t>VÄSTRA GÖTALANDS LÄN</t>
        </is>
      </c>
      <c r="G54" t="inlineStr">
        <is>
          <t>UDDEVALLA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HYPERLINK("https://klasma.github.io/Logging_1485/artfynd/A 42009-2026 artfynd.xlsx", "A 42009-2026")</f>
        <v/>
      </c>
      <c r="X54">
        <f>HYPERLINK("https://klasma.github.io/Logging_1485/kartor/A 42009-2026 karta.png", "A 42009-2026")</f>
        <v/>
      </c>
      <c r="Y54">
        <f>HYPERLINK("https://klasma.github.io/Logging_1485/kartor_geotiff/A 42009-2026 georefererad karta.tif", "A 42009-2026")</f>
        <v/>
      </c>
      <c r="AA54">
        <f>HYPERLINK("https://klasma.github.io/Logging_1485/klagomål/A 42009-2026 FSC-klagomål.docx", "A 42009-2026")</f>
        <v/>
      </c>
      <c r="AB54">
        <f>HYPERLINK("https://klasma.github.io/Logging_1485/klagomålsmail/A 42009-2026 FSC-klagomål mail.docx", "A 42009-2026")</f>
        <v/>
      </c>
      <c r="AC54">
        <f>HYPERLINK("https://klasma.github.io/Logging_1485/tillsyn/A 42009-2026 tillsynsbegäran.docx", "A 42009-2026")</f>
        <v/>
      </c>
      <c r="AD54">
        <f>HYPERLINK("https://klasma.github.io/Logging_1485/tillsynsmail/A 42009-2026 tillsynsbegäran mail.docx", "A 42009-2026")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46316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46316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46316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46316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46316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46316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46316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46316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46316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46316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46316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46316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46316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46316</v>
      </c>
      <c r="F68" t="inlineStr">
        <is>
          <t>VÄSTRA GÖTALANDS LÄN</t>
        </is>
      </c>
      <c r="G68" t="inlineStr">
        <is>
          <t>UDDEVALLA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46316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46316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45633</v>
      </c>
      <c r="E71" s="1" t="n">
        <v>46316</v>
      </c>
      <c r="F71" t="inlineStr">
        <is>
          <t>VÄSTRA GÖTALANDS LÄN</t>
        </is>
      </c>
      <c r="G71" t="inlineStr">
        <is>
          <t>UDDEVALLA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46316</v>
      </c>
      <c r="F72" t="inlineStr">
        <is>
          <t>VÄSTRA GÖTALANDS LÄN</t>
        </is>
      </c>
      <c r="G72" t="inlineStr">
        <is>
          <t>UDDEVALLA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46316</v>
      </c>
      <c r="F73" t="inlineStr">
        <is>
          <t>VÄSTRA GÖTALANDS LÄN</t>
        </is>
      </c>
      <c r="G73" t="inlineStr">
        <is>
          <t>UDDEVALLA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46316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46316</v>
      </c>
      <c r="F75" t="inlineStr">
        <is>
          <t>VÄSTRA GÖTALANDS LÄN</t>
        </is>
      </c>
      <c r="G75" t="inlineStr">
        <is>
          <t>UDDEVALLA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46316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46316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70491-2021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46316</v>
      </c>
      <c r="F78" t="inlineStr">
        <is>
          <t>VÄSTRA GÖTALANDS LÄN</t>
        </is>
      </c>
      <c r="G78" t="inlineStr">
        <is>
          <t>UDDEVALLA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46316</v>
      </c>
      <c r="F79" t="inlineStr">
        <is>
          <t>VÄSTRA GÖTALANDS LÄN</t>
        </is>
      </c>
      <c r="G79" t="inlineStr">
        <is>
          <t>UDDEVALLA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46316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46316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46316</v>
      </c>
      <c r="F82" t="inlineStr">
        <is>
          <t>VÄSTRA GÖTALANDS LÄN</t>
        </is>
      </c>
      <c r="G82" t="inlineStr">
        <is>
          <t>UDDEVALLA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46316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46316</v>
      </c>
      <c r="F84" t="inlineStr">
        <is>
          <t>VÄSTRA GÖTALANDS LÄN</t>
        </is>
      </c>
      <c r="G84" t="inlineStr">
        <is>
          <t>UDDEVALLA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46316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46316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46316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46316</v>
      </c>
      <c r="F88" t="inlineStr">
        <is>
          <t>VÄSTRA GÖTALANDS LÄN</t>
        </is>
      </c>
      <c r="G88" t="inlineStr">
        <is>
          <t>UDDEVALLA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44634</v>
      </c>
      <c r="E89" s="1" t="n">
        <v>46316</v>
      </c>
      <c r="F89" t="inlineStr">
        <is>
          <t>VÄSTRA GÖTALANDS LÄN</t>
        </is>
      </c>
      <c r="G89" t="inlineStr">
        <is>
          <t>UDDEVALLA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45740</v>
      </c>
      <c r="E90" s="1" t="n">
        <v>46316</v>
      </c>
      <c r="F90" t="inlineStr">
        <is>
          <t>VÄSTRA GÖTALANDS LÄN</t>
        </is>
      </c>
      <c r="G90" t="inlineStr">
        <is>
          <t>UDDEVALLA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46316</v>
      </c>
      <c r="F91" t="inlineStr">
        <is>
          <t>VÄSTRA GÖTALANDS LÄN</t>
        </is>
      </c>
      <c r="G91" t="inlineStr">
        <is>
          <t>UDDEVALLA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46316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46316</v>
      </c>
      <c r="F93" t="inlineStr">
        <is>
          <t>VÄSTRA GÖTALANDS LÄN</t>
        </is>
      </c>
      <c r="G93" t="inlineStr">
        <is>
          <t>UDDEVALLA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46316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73437-2021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46316</v>
      </c>
      <c r="F95" t="inlineStr">
        <is>
          <t>VÄSTRA GÖTALANDS LÄN</t>
        </is>
      </c>
      <c r="G95" t="inlineStr">
        <is>
          <t>UDDEVALLA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46316</v>
      </c>
      <c r="F96" t="inlineStr">
        <is>
          <t>VÄSTRA GÖTALANDS LÄN</t>
        </is>
      </c>
      <c r="G96" t="inlineStr">
        <is>
          <t>UDDEVALLA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46316</v>
      </c>
      <c r="F97" t="inlineStr">
        <is>
          <t>VÄSTRA GÖTALANDS LÄN</t>
        </is>
      </c>
      <c r="G97" t="inlineStr">
        <is>
          <t>UDDEVALLA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45226</v>
      </c>
      <c r="E98" s="1" t="n">
        <v>46316</v>
      </c>
      <c r="F98" t="inlineStr">
        <is>
          <t>VÄSTRA GÖTALANDS LÄN</t>
        </is>
      </c>
      <c r="G98" t="inlineStr">
        <is>
          <t>UDDEVALLA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46316</v>
      </c>
      <c r="F99" t="inlineStr">
        <is>
          <t>VÄSTRA GÖTALANDS LÄN</t>
        </is>
      </c>
      <c r="G99" t="inlineStr">
        <is>
          <t>UDDEVALLA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45722</v>
      </c>
      <c r="E100" s="1" t="n">
        <v>46316</v>
      </c>
      <c r="F100" t="inlineStr">
        <is>
          <t>VÄSTRA GÖTALANDS LÄN</t>
        </is>
      </c>
      <c r="G100" t="inlineStr">
        <is>
          <t>UDDEVALLA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46316</v>
      </c>
      <c r="F101" t="inlineStr">
        <is>
          <t>VÄSTRA GÖTALANDS LÄN</t>
        </is>
      </c>
      <c r="G101" t="inlineStr">
        <is>
          <t>UDDEVALLA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46316</v>
      </c>
      <c r="F102" t="inlineStr">
        <is>
          <t>VÄSTRA GÖTALANDS LÄN</t>
        </is>
      </c>
      <c r="G102" t="inlineStr">
        <is>
          <t>UDDEVALLA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46316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46316</v>
      </c>
      <c r="F104" t="inlineStr">
        <is>
          <t>VÄSTRA GÖTALANDS LÄN</t>
        </is>
      </c>
      <c r="G104" t="inlineStr">
        <is>
          <t>UDDEVALLA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46026</v>
      </c>
      <c r="E105" s="1" t="n">
        <v>46316</v>
      </c>
      <c r="F105" t="inlineStr">
        <is>
          <t>VÄSTRA GÖTALANDS LÄN</t>
        </is>
      </c>
      <c r="G105" t="inlineStr">
        <is>
          <t>UDDEVALLA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44592</v>
      </c>
      <c r="E106" s="1" t="n">
        <v>46316</v>
      </c>
      <c r="F106" t="inlineStr">
        <is>
          <t>VÄSTRA GÖTALANDS LÄN</t>
        </is>
      </c>
      <c r="G106" t="inlineStr">
        <is>
          <t>UDDEVALLA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46027</v>
      </c>
      <c r="E107" s="1" t="n">
        <v>46316</v>
      </c>
      <c r="F107" t="inlineStr">
        <is>
          <t>VÄSTRA GÖTALANDS LÄN</t>
        </is>
      </c>
      <c r="G107" t="inlineStr">
        <is>
          <t>UDDEVALLA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45723</v>
      </c>
      <c r="E108" s="1" t="n">
        <v>46316</v>
      </c>
      <c r="F108" t="inlineStr">
        <is>
          <t>VÄSTRA GÖTALANDS LÄN</t>
        </is>
      </c>
      <c r="G108" t="inlineStr">
        <is>
          <t>UDDEVALLA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41576-2025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46316</v>
      </c>
      <c r="F109" t="inlineStr">
        <is>
          <t>VÄSTRA GÖTALANDS LÄN</t>
        </is>
      </c>
      <c r="G109" t="inlineStr">
        <is>
          <t>UDDEVALLA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46316</v>
      </c>
      <c r="F110" t="inlineStr">
        <is>
          <t>VÄSTRA GÖTALANDS LÄN</t>
        </is>
      </c>
      <c r="G110" t="inlineStr">
        <is>
          <t>UDDEVALLA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46316</v>
      </c>
      <c r="F111" t="inlineStr">
        <is>
          <t>VÄSTRA GÖTALANDS LÄN</t>
        </is>
      </c>
      <c r="G111" t="inlineStr">
        <is>
          <t>UDDEVALLA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46316</v>
      </c>
      <c r="F112" t="inlineStr">
        <is>
          <t>VÄSTRA GÖTALANDS LÄN</t>
        </is>
      </c>
      <c r="G112" t="inlineStr">
        <is>
          <t>UDDEVALLA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46316</v>
      </c>
      <c r="F113" t="inlineStr">
        <is>
          <t>VÄSTRA GÖTALANDS LÄN</t>
        </is>
      </c>
      <c r="G113" t="inlineStr">
        <is>
          <t>UDDEVALLA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46316</v>
      </c>
      <c r="F114" t="inlineStr">
        <is>
          <t>VÄSTRA GÖTALANDS LÄN</t>
        </is>
      </c>
      <c r="G114" t="inlineStr">
        <is>
          <t>UDDEVALLA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46316</v>
      </c>
      <c r="F115" t="inlineStr">
        <is>
          <t>VÄSTRA GÖTALANDS LÄN</t>
        </is>
      </c>
      <c r="G115" t="inlineStr">
        <is>
          <t>UDDEVALLA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46316</v>
      </c>
      <c r="F116" t="inlineStr">
        <is>
          <t>VÄSTRA GÖTALANDS LÄN</t>
        </is>
      </c>
      <c r="G116" t="inlineStr">
        <is>
          <t>UDDEVALLA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46316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46316</v>
      </c>
      <c r="F118" t="inlineStr">
        <is>
          <t>VÄSTRA GÖTALANDS LÄN</t>
        </is>
      </c>
      <c r="G118" t="inlineStr">
        <is>
          <t>UDDEVALLA</t>
        </is>
      </c>
      <c r="H118" t="inlineStr">
        <is>
          <t>Kyrkan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46316</v>
      </c>
      <c r="F119" t="inlineStr">
        <is>
          <t>VÄSTRA GÖTALANDS LÄN</t>
        </is>
      </c>
      <c r="G119" t="inlineStr">
        <is>
          <t>UDDEVALLA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46316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46316</v>
      </c>
      <c r="F121" t="inlineStr">
        <is>
          <t>VÄSTRA GÖTALANDS LÄN</t>
        </is>
      </c>
      <c r="G121" t="inlineStr">
        <is>
          <t>UDDEVALLA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46044</v>
      </c>
      <c r="E122" s="1" t="n">
        <v>46316</v>
      </c>
      <c r="F122" t="inlineStr">
        <is>
          <t>VÄSTRA GÖTALANDS LÄN</t>
        </is>
      </c>
      <c r="G122" t="inlineStr">
        <is>
          <t>UDDEVALLA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46316</v>
      </c>
      <c r="F123" t="inlineStr">
        <is>
          <t>VÄSTRA GÖTALANDS LÄN</t>
        </is>
      </c>
      <c r="G123" t="inlineStr">
        <is>
          <t>UDDEVALLA</t>
        </is>
      </c>
      <c r="I123" t="n">
        <v>19.4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46316</v>
      </c>
      <c r="F124" t="inlineStr">
        <is>
          <t>VÄSTRA GÖTALANDS LÄN</t>
        </is>
      </c>
      <c r="G124" t="inlineStr">
        <is>
          <t>UDDEVALLA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46316</v>
      </c>
      <c r="F125" t="inlineStr">
        <is>
          <t>VÄSTRA GÖTALANDS LÄN</t>
        </is>
      </c>
      <c r="G125" t="inlineStr">
        <is>
          <t>UDDEVALLA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46316</v>
      </c>
      <c r="F126" t="inlineStr">
        <is>
          <t>VÄSTRA GÖTALANDS LÄN</t>
        </is>
      </c>
      <c r="G126" t="inlineStr">
        <is>
          <t>UDDEVALLA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46316</v>
      </c>
      <c r="F127" t="inlineStr">
        <is>
          <t>VÄSTRA GÖTALANDS LÄN</t>
        </is>
      </c>
      <c r="G127" t="inlineStr">
        <is>
          <t>UDDEVALLA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44991</v>
      </c>
      <c r="E128" s="1" t="n">
        <v>46316</v>
      </c>
      <c r="F128" t="inlineStr">
        <is>
          <t>VÄSTRA GÖTALANDS LÄN</t>
        </is>
      </c>
      <c r="G128" t="inlineStr">
        <is>
          <t>UDDEVALLA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46316</v>
      </c>
      <c r="F129" t="inlineStr">
        <is>
          <t>VÄSTRA GÖTALANDS LÄN</t>
        </is>
      </c>
      <c r="G129" t="inlineStr">
        <is>
          <t>UDDEVALLA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46316</v>
      </c>
      <c r="F130" t="inlineStr">
        <is>
          <t>VÄSTRA GÖTALANDS LÄN</t>
        </is>
      </c>
      <c r="G130" t="inlineStr">
        <is>
          <t>UDDEVALLA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46316</v>
      </c>
      <c r="F131" t="inlineStr">
        <is>
          <t>VÄSTRA GÖTALANDS LÄN</t>
        </is>
      </c>
      <c r="G131" t="inlineStr">
        <is>
          <t>UDDEVALLA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46316</v>
      </c>
      <c r="F132" t="inlineStr">
        <is>
          <t>VÄSTRA GÖTALANDS LÄN</t>
        </is>
      </c>
      <c r="G132" t="inlineStr">
        <is>
          <t>UDDEVALLA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47603-2025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46316</v>
      </c>
      <c r="F133" t="inlineStr">
        <is>
          <t>VÄSTRA GÖTALANDS LÄN</t>
        </is>
      </c>
      <c r="G133" t="inlineStr">
        <is>
          <t>UDDEVALLA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46316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46316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46316</v>
      </c>
      <c r="F136" t="inlineStr">
        <is>
          <t>VÄSTRA GÖTALANDS LÄN</t>
        </is>
      </c>
      <c r="G136" t="inlineStr">
        <is>
          <t>UDDEVALLA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46316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46316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46316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46316</v>
      </c>
      <c r="F140" t="inlineStr">
        <is>
          <t>VÄSTRA GÖTALANDS LÄN</t>
        </is>
      </c>
      <c r="G140" t="inlineStr">
        <is>
          <t>UDDEVALLA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60241-2024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45642</v>
      </c>
      <c r="E141" s="1" t="n">
        <v>46316</v>
      </c>
      <c r="F141" t="inlineStr">
        <is>
          <t>VÄSTRA GÖTALANDS LÄN</t>
        </is>
      </c>
      <c r="G141" t="inlineStr">
        <is>
          <t>UDDEVALLA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45826</v>
      </c>
      <c r="E142" s="1" t="n">
        <v>46316</v>
      </c>
      <c r="F142" t="inlineStr">
        <is>
          <t>VÄSTRA GÖTALANDS LÄN</t>
        </is>
      </c>
      <c r="G142" t="inlineStr">
        <is>
          <t>UDDEVALLA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46316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46316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46316</v>
      </c>
      <c r="F145" t="inlineStr">
        <is>
          <t>VÄSTRA GÖTALANDS LÄN</t>
        </is>
      </c>
      <c r="G145" t="inlineStr">
        <is>
          <t>UDDEVALLA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46316</v>
      </c>
      <c r="F146" t="inlineStr">
        <is>
          <t>VÄSTRA GÖTALANDS LÄN</t>
        </is>
      </c>
      <c r="G146" t="inlineStr">
        <is>
          <t>UDDEVALLA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10436-2026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46076</v>
      </c>
      <c r="E147" s="1" t="n">
        <v>46316</v>
      </c>
      <c r="F147" t="inlineStr">
        <is>
          <t>VÄSTRA GÖTALANDS LÄN</t>
        </is>
      </c>
      <c r="G147" t="inlineStr">
        <is>
          <t>UDDEVALLA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46316</v>
      </c>
      <c r="F148" t="inlineStr">
        <is>
          <t>VÄSTRA GÖTALANDS LÄN</t>
        </is>
      </c>
      <c r="G148" t="inlineStr">
        <is>
          <t>UDDEVALLA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46316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46316</v>
      </c>
      <c r="F150" t="inlineStr">
        <is>
          <t>VÄSTRA GÖTALANDS LÄN</t>
        </is>
      </c>
      <c r="G150" t="inlineStr">
        <is>
          <t>UDDEVALLA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46316</v>
      </c>
      <c r="F151" t="inlineStr">
        <is>
          <t>VÄSTRA GÖTALANDS LÄN</t>
        </is>
      </c>
      <c r="G151" t="inlineStr">
        <is>
          <t>UDDEVALLA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46316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46316</v>
      </c>
      <c r="F153" t="inlineStr">
        <is>
          <t>VÄSTRA GÖTALANDS LÄN</t>
        </is>
      </c>
      <c r="G153" t="inlineStr">
        <is>
          <t>UDDEVALLA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46316</v>
      </c>
      <c r="F154" t="inlineStr">
        <is>
          <t>VÄSTRA GÖTALANDS LÄN</t>
        </is>
      </c>
      <c r="G154" t="inlineStr">
        <is>
          <t>UDDEVALLA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46316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46316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45971</v>
      </c>
      <c r="E157" s="1" t="n">
        <v>46316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Kyrkan</t>
        </is>
      </c>
      <c r="I157" t="n">
        <v>16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45992</v>
      </c>
      <c r="E158" s="1" t="n">
        <v>46316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45400</v>
      </c>
      <c r="E159" s="1" t="n">
        <v>46316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46316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Kyrkan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46316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46316</v>
      </c>
      <c r="F162" t="inlineStr">
        <is>
          <t>VÄSTRA GÖTALANDS LÄN</t>
        </is>
      </c>
      <c r="G162" t="inlineStr">
        <is>
          <t>UDDEVALLA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46316</v>
      </c>
      <c r="F163" t="inlineStr">
        <is>
          <t>VÄSTRA GÖTALANDS LÄN</t>
        </is>
      </c>
      <c r="G163" t="inlineStr">
        <is>
          <t>UDDEVALLA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46316</v>
      </c>
      <c r="F164" t="inlineStr">
        <is>
          <t>VÄSTRA GÖTALANDS LÄN</t>
        </is>
      </c>
      <c r="G164" t="inlineStr">
        <is>
          <t>UDDEVALLA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46316</v>
      </c>
      <c r="F165" t="inlineStr">
        <is>
          <t>VÄSTRA GÖTALANDS LÄN</t>
        </is>
      </c>
      <c r="G165" t="inlineStr">
        <is>
          <t>UDDEVALLA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63397-2021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46316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46316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45826</v>
      </c>
      <c r="E168" s="1" t="n">
        <v>46316</v>
      </c>
      <c r="F168" t="inlineStr">
        <is>
          <t>VÄSTRA GÖTALANDS LÄN</t>
        </is>
      </c>
      <c r="G168" t="inlineStr">
        <is>
          <t>UDDEVALLA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45150</v>
      </c>
      <c r="E169" s="1" t="n">
        <v>46316</v>
      </c>
      <c r="F169" t="inlineStr">
        <is>
          <t>VÄSTRA GÖTALANDS LÄN</t>
        </is>
      </c>
      <c r="G169" t="inlineStr">
        <is>
          <t>UDDEVALLA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46316</v>
      </c>
      <c r="F170" t="inlineStr">
        <is>
          <t>VÄSTRA GÖTALANDS LÄN</t>
        </is>
      </c>
      <c r="G170" t="inlineStr">
        <is>
          <t>UDDEVALLA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46316</v>
      </c>
      <c r="F171" t="inlineStr">
        <is>
          <t>VÄSTRA GÖTALANDS LÄN</t>
        </is>
      </c>
      <c r="G171" t="inlineStr">
        <is>
          <t>UDDEVALLA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46316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46316</v>
      </c>
      <c r="F173" t="inlineStr">
        <is>
          <t>VÄSTRA GÖTALANDS LÄN</t>
        </is>
      </c>
      <c r="G173" t="inlineStr">
        <is>
          <t>UDDEVALLA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46316</v>
      </c>
      <c r="F174" t="inlineStr">
        <is>
          <t>VÄSTRA GÖTALANDS LÄN</t>
        </is>
      </c>
      <c r="G174" t="inlineStr">
        <is>
          <t>UDDEVALLA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46316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46121</v>
      </c>
      <c r="E176" s="1" t="n">
        <v>46316</v>
      </c>
      <c r="F176" t="inlineStr">
        <is>
          <t>VÄSTRA GÖTALANDS LÄN</t>
        </is>
      </c>
      <c r="G176" t="inlineStr">
        <is>
          <t>UDDEVALLA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46316</v>
      </c>
      <c r="F177" t="inlineStr">
        <is>
          <t>VÄSTRA GÖTALANDS LÄN</t>
        </is>
      </c>
      <c r="G177" t="inlineStr">
        <is>
          <t>UDDEVALLA</t>
        </is>
      </c>
      <c r="H177" t="inlineStr">
        <is>
          <t>Kommuner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46316</v>
      </c>
      <c r="F178" t="inlineStr">
        <is>
          <t>VÄSTRA GÖTALANDS LÄN</t>
        </is>
      </c>
      <c r="G178" t="inlineStr">
        <is>
          <t>UDDEVALLA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46316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46316</v>
      </c>
      <c r="F180" t="inlineStr">
        <is>
          <t>VÄSTRA GÖTALANDS LÄN</t>
        </is>
      </c>
      <c r="G180" t="inlineStr">
        <is>
          <t>UDDEVALLA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46316</v>
      </c>
      <c r="F181" t="inlineStr">
        <is>
          <t>VÄSTRA GÖTALANDS LÄN</t>
        </is>
      </c>
      <c r="G181" t="inlineStr">
        <is>
          <t>UDDEVALLA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46316</v>
      </c>
      <c r="F182" t="inlineStr">
        <is>
          <t>VÄSTRA GÖTALANDS LÄN</t>
        </is>
      </c>
      <c r="G182" t="inlineStr">
        <is>
          <t>UDDEVALLA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46316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46316</v>
      </c>
      <c r="F184" t="inlineStr">
        <is>
          <t>VÄSTRA GÖTALANDS LÄN</t>
        </is>
      </c>
      <c r="G184" t="inlineStr">
        <is>
          <t>UDDEVALLA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45843</v>
      </c>
      <c r="E185" s="1" t="n">
        <v>46316</v>
      </c>
      <c r="F185" t="inlineStr">
        <is>
          <t>VÄSTRA GÖTALANDS LÄN</t>
        </is>
      </c>
      <c r="G185" t="inlineStr">
        <is>
          <t>UDDEVALLA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44834</v>
      </c>
      <c r="E186" s="1" t="n">
        <v>46316</v>
      </c>
      <c r="F186" t="inlineStr">
        <is>
          <t>VÄSTRA GÖTALANDS LÄN</t>
        </is>
      </c>
      <c r="G186" t="inlineStr">
        <is>
          <t>UDDEVALLA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46316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45907</v>
      </c>
      <c r="E188" s="1" t="n">
        <v>46316</v>
      </c>
      <c r="F188" t="inlineStr">
        <is>
          <t>VÄSTRA GÖTALANDS LÄN</t>
        </is>
      </c>
      <c r="G188" t="inlineStr">
        <is>
          <t>UDDEVALLA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45560</v>
      </c>
      <c r="E189" s="1" t="n">
        <v>46316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46316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45279</v>
      </c>
      <c r="E191" s="1" t="n">
        <v>46316</v>
      </c>
      <c r="F191" t="inlineStr">
        <is>
          <t>VÄSTRA GÖTALANDS LÄN</t>
        </is>
      </c>
      <c r="G191" t="inlineStr">
        <is>
          <t>UDDEVALLA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46316</v>
      </c>
      <c r="F192" t="inlineStr">
        <is>
          <t>VÄSTRA GÖTALANDS LÄN</t>
        </is>
      </c>
      <c r="G192" t="inlineStr">
        <is>
          <t>UDDEVALLA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46316</v>
      </c>
      <c r="F193" t="inlineStr">
        <is>
          <t>VÄSTRA GÖTALANDS LÄN</t>
        </is>
      </c>
      <c r="G193" t="inlineStr">
        <is>
          <t>UDDEVALLA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45656</v>
      </c>
      <c r="E194" s="1" t="n">
        <v>46316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46316</v>
      </c>
      <c r="F195" t="inlineStr">
        <is>
          <t>VÄSTRA GÖTALANDS LÄN</t>
        </is>
      </c>
      <c r="G195" t="inlineStr">
        <is>
          <t>UDDEVALLA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46316</v>
      </c>
      <c r="F196" t="inlineStr">
        <is>
          <t>VÄSTRA GÖTALANDS LÄN</t>
        </is>
      </c>
      <c r="G196" t="inlineStr">
        <is>
          <t>UDDEVALLA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44715</v>
      </c>
      <c r="E197" s="1" t="n">
        <v>46316</v>
      </c>
      <c r="F197" t="inlineStr">
        <is>
          <t>VÄSTRA GÖTALANDS LÄN</t>
        </is>
      </c>
      <c r="G197" t="inlineStr">
        <is>
          <t>UDDEVALLA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46316</v>
      </c>
      <c r="F198" t="inlineStr">
        <is>
          <t>VÄSTRA GÖTALANDS LÄN</t>
        </is>
      </c>
      <c r="G198" t="inlineStr">
        <is>
          <t>UDDEVALLA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45455</v>
      </c>
      <c r="E199" s="1" t="n">
        <v>46316</v>
      </c>
      <c r="F199" t="inlineStr">
        <is>
          <t>VÄSTRA GÖTALANDS LÄN</t>
        </is>
      </c>
      <c r="G199" t="inlineStr">
        <is>
          <t>UDDEVALLA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46316</v>
      </c>
      <c r="F200" t="inlineStr">
        <is>
          <t>VÄSTRA GÖTALANDS LÄN</t>
        </is>
      </c>
      <c r="G200" t="inlineStr">
        <is>
          <t>UDDEVALLA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45302</v>
      </c>
      <c r="E201" s="1" t="n">
        <v>46316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44998</v>
      </c>
      <c r="E202" s="1" t="n">
        <v>46316</v>
      </c>
      <c r="F202" t="inlineStr">
        <is>
          <t>VÄSTRA GÖTALANDS LÄN</t>
        </is>
      </c>
      <c r="G202" t="inlineStr">
        <is>
          <t>UDDEVALLA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45583</v>
      </c>
      <c r="E203" s="1" t="n">
        <v>46316</v>
      </c>
      <c r="F203" t="inlineStr">
        <is>
          <t>VÄSTRA GÖTALANDS LÄN</t>
        </is>
      </c>
      <c r="G203" t="inlineStr">
        <is>
          <t>UDDEVALLA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46316</v>
      </c>
      <c r="F204" t="inlineStr">
        <is>
          <t>VÄSTRA GÖTALANDS LÄN</t>
        </is>
      </c>
      <c r="G204" t="inlineStr">
        <is>
          <t>UDDEVALLA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45638</v>
      </c>
      <c r="E205" s="1" t="n">
        <v>46316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46316</v>
      </c>
      <c r="F206" t="inlineStr">
        <is>
          <t>VÄSTRA GÖTALANDS LÄN</t>
        </is>
      </c>
      <c r="G206" t="inlineStr">
        <is>
          <t>UDDEVALLA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20401-2026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46139</v>
      </c>
      <c r="E207" s="1" t="n">
        <v>46316</v>
      </c>
      <c r="F207" t="inlineStr">
        <is>
          <t>VÄSTRA GÖTALANDS LÄN</t>
        </is>
      </c>
      <c r="G207" t="inlineStr">
        <is>
          <t>UDDEVALLA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46316</v>
      </c>
      <c r="F208" t="inlineStr">
        <is>
          <t>VÄSTRA GÖTALANDS LÄN</t>
        </is>
      </c>
      <c r="G208" t="inlineStr">
        <is>
          <t>UDDEVALLA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46316</v>
      </c>
      <c r="F209" t="inlineStr">
        <is>
          <t>VÄSTRA GÖTALANDS LÄN</t>
        </is>
      </c>
      <c r="G209" t="inlineStr">
        <is>
          <t>UDDEVALLA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45553</v>
      </c>
      <c r="E210" s="1" t="n">
        <v>46316</v>
      </c>
      <c r="F210" t="inlineStr">
        <is>
          <t>VÄSTRA GÖTALANDS LÄN</t>
        </is>
      </c>
      <c r="G210" t="inlineStr">
        <is>
          <t>UDDEVALLA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46316</v>
      </c>
      <c r="F211" t="inlineStr">
        <is>
          <t>VÄSTRA GÖTALANDS LÄN</t>
        </is>
      </c>
      <c r="G211" t="inlineStr">
        <is>
          <t>UDDEVALLA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45672</v>
      </c>
      <c r="E212" s="1" t="n">
        <v>46316</v>
      </c>
      <c r="F212" t="inlineStr">
        <is>
          <t>VÄSTRA GÖTALANDS LÄN</t>
        </is>
      </c>
      <c r="G212" t="inlineStr">
        <is>
          <t>UDDEVALLA</t>
        </is>
      </c>
      <c r="I212" t="n">
        <v>14.1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46316</v>
      </c>
      <c r="F213" t="inlineStr">
        <is>
          <t>VÄSTRA GÖTALANDS LÄN</t>
        </is>
      </c>
      <c r="G213" t="inlineStr">
        <is>
          <t>UDDEVALLA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46316</v>
      </c>
      <c r="F214" t="inlineStr">
        <is>
          <t>VÄSTRA GÖTALANDS LÄN</t>
        </is>
      </c>
      <c r="G214" t="inlineStr">
        <is>
          <t>UDDEVALLA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73007-2021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46316</v>
      </c>
      <c r="F215" t="inlineStr">
        <is>
          <t>VÄSTRA GÖTALANDS LÄN</t>
        </is>
      </c>
      <c r="G215" t="inlineStr">
        <is>
          <t>UDDEVALLA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46316</v>
      </c>
      <c r="F216" t="inlineStr">
        <is>
          <t>VÄSTRA GÖTALANDS LÄN</t>
        </is>
      </c>
      <c r="G216" t="inlineStr">
        <is>
          <t>UDDEVALLA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46316</v>
      </c>
      <c r="F217" t="inlineStr">
        <is>
          <t>VÄSTRA GÖTALANDS LÄN</t>
        </is>
      </c>
      <c r="G217" t="inlineStr">
        <is>
          <t>UDDEVALLA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46316</v>
      </c>
      <c r="F218" t="inlineStr">
        <is>
          <t>VÄSTRA GÖTALANDS LÄN</t>
        </is>
      </c>
      <c r="G218" t="inlineStr">
        <is>
          <t>UDDEVALLA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44683</v>
      </c>
      <c r="E219" s="1" t="n">
        <v>46316</v>
      </c>
      <c r="F219" t="inlineStr">
        <is>
          <t>VÄSTRA GÖTALANDS LÄN</t>
        </is>
      </c>
      <c r="G219" t="inlineStr">
        <is>
          <t>UDDEVALLA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46147</v>
      </c>
      <c r="E220" s="1" t="n">
        <v>46316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46316</v>
      </c>
      <c r="F221" t="inlineStr">
        <is>
          <t>VÄSTRA GÖTALANDS LÄN</t>
        </is>
      </c>
      <c r="G221" t="inlineStr">
        <is>
          <t>UDDEVALLA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45667</v>
      </c>
      <c r="E222" s="1" t="n">
        <v>46316</v>
      </c>
      <c r="F222" t="inlineStr">
        <is>
          <t>VÄSTRA GÖTALANDS LÄN</t>
        </is>
      </c>
      <c r="G222" t="inlineStr">
        <is>
          <t>UDDEVALLA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46316</v>
      </c>
      <c r="F223" t="inlineStr">
        <is>
          <t>VÄSTRA GÖTALANDS LÄN</t>
        </is>
      </c>
      <c r="G223" t="inlineStr">
        <is>
          <t>UDDEVALLA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46316</v>
      </c>
      <c r="F224" t="inlineStr">
        <is>
          <t>VÄSTRA GÖTALANDS LÄN</t>
        </is>
      </c>
      <c r="G224" t="inlineStr">
        <is>
          <t>UDDEVALLA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46316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Övriga statliga verk och myndigheter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46316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45664</v>
      </c>
      <c r="E227" s="1" t="n">
        <v>46316</v>
      </c>
      <c r="F227" t="inlineStr">
        <is>
          <t>VÄSTRA GÖTALANDS LÄN</t>
        </is>
      </c>
      <c r="G227" t="inlineStr">
        <is>
          <t>UDDEVALLA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46164</v>
      </c>
      <c r="E228" s="1" t="n">
        <v>46316</v>
      </c>
      <c r="F228" t="inlineStr">
        <is>
          <t>VÄSTRA GÖTALANDS LÄN</t>
        </is>
      </c>
      <c r="G228" t="inlineStr">
        <is>
          <t>UDDEVALLA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45495</v>
      </c>
      <c r="E229" s="1" t="n">
        <v>46316</v>
      </c>
      <c r="F229" t="inlineStr">
        <is>
          <t>VÄSTRA GÖTALANDS LÄN</t>
        </is>
      </c>
      <c r="G229" t="inlineStr">
        <is>
          <t>UDDEVALLA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46316</v>
      </c>
      <c r="F230" t="inlineStr">
        <is>
          <t>VÄSTRA GÖTALANDS LÄN</t>
        </is>
      </c>
      <c r="G230" t="inlineStr">
        <is>
          <t>UDDEVALLA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46316</v>
      </c>
      <c r="F231" t="inlineStr">
        <is>
          <t>VÄSTRA GÖTALANDS LÄN</t>
        </is>
      </c>
      <c r="G231" t="inlineStr">
        <is>
          <t>UDDEVALLA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46316</v>
      </c>
      <c r="F232" t="inlineStr">
        <is>
          <t>VÄSTRA GÖTALANDS LÄN</t>
        </is>
      </c>
      <c r="G232" t="inlineStr">
        <is>
          <t>UDDEVALLA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46316</v>
      </c>
      <c r="F233" t="inlineStr">
        <is>
          <t>VÄSTRA GÖTALANDS LÄN</t>
        </is>
      </c>
      <c r="G233" t="inlineStr">
        <is>
          <t>UDDEVALLA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45314</v>
      </c>
      <c r="E234" s="1" t="n">
        <v>46316</v>
      </c>
      <c r="F234" t="inlineStr">
        <is>
          <t>VÄSTRA GÖTALANDS LÄN</t>
        </is>
      </c>
      <c r="G234" t="inlineStr">
        <is>
          <t>UDDEVALLA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46316</v>
      </c>
      <c r="F235" t="inlineStr">
        <is>
          <t>VÄSTRA GÖTALANDS LÄN</t>
        </is>
      </c>
      <c r="G235" t="inlineStr">
        <is>
          <t>UDDEVALLA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45374</v>
      </c>
      <c r="E236" s="1" t="n">
        <v>46316</v>
      </c>
      <c r="F236" t="inlineStr">
        <is>
          <t>VÄSTRA GÖTALANDS LÄN</t>
        </is>
      </c>
      <c r="G236" t="inlineStr">
        <is>
          <t>UDDEVALLA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44928</v>
      </c>
      <c r="E237" s="1" t="n">
        <v>46316</v>
      </c>
      <c r="F237" t="inlineStr">
        <is>
          <t>VÄSTRA GÖTALANDS LÄN</t>
        </is>
      </c>
      <c r="G237" t="inlineStr">
        <is>
          <t>UDDEVALLA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46316</v>
      </c>
      <c r="F238" t="inlineStr">
        <is>
          <t>VÄSTRA GÖTALANDS LÄN</t>
        </is>
      </c>
      <c r="G238" t="inlineStr">
        <is>
          <t>UDDEVALLA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45456</v>
      </c>
      <c r="E239" s="1" t="n">
        <v>46316</v>
      </c>
      <c r="F239" t="inlineStr">
        <is>
          <t>VÄSTRA GÖTALANDS LÄN</t>
        </is>
      </c>
      <c r="G239" t="inlineStr">
        <is>
          <t>UDDEVALLA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46316</v>
      </c>
      <c r="F240" t="inlineStr">
        <is>
          <t>VÄSTRA GÖTALANDS LÄN</t>
        </is>
      </c>
      <c r="G240" t="inlineStr">
        <is>
          <t>UDDEVALLA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46316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44813</v>
      </c>
      <c r="E242" s="1" t="n">
        <v>46316</v>
      </c>
      <c r="F242" t="inlineStr">
        <is>
          <t>VÄSTRA GÖTALANDS LÄN</t>
        </is>
      </c>
      <c r="G242" t="inlineStr">
        <is>
          <t>UDDEVALLA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46316</v>
      </c>
      <c r="F243" t="inlineStr">
        <is>
          <t>VÄSTRA GÖTALANDS LÄN</t>
        </is>
      </c>
      <c r="G243" t="inlineStr">
        <is>
          <t>UDDEVALLA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46316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73437-2021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44551</v>
      </c>
      <c r="E245" s="1" t="n">
        <v>46316</v>
      </c>
      <c r="F245" t="inlineStr">
        <is>
          <t>VÄSTRA GÖTALANDS LÄN</t>
        </is>
      </c>
      <c r="G245" t="inlineStr">
        <is>
          <t>UDDEVALLA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44924</v>
      </c>
      <c r="E246" s="1" t="n">
        <v>46316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45141</v>
      </c>
      <c r="E247" s="1" t="n">
        <v>46316</v>
      </c>
      <c r="F247" t="inlineStr">
        <is>
          <t>VÄSTRA GÖTALANDS LÄN</t>
        </is>
      </c>
      <c r="G247" t="inlineStr">
        <is>
          <t>UDDEVALLA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45133</v>
      </c>
      <c r="E248" s="1" t="n">
        <v>46316</v>
      </c>
      <c r="F248" t="inlineStr">
        <is>
          <t>VÄSTRA GÖTALANDS LÄN</t>
        </is>
      </c>
      <c r="G248" t="inlineStr">
        <is>
          <t>UDDEVALLA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8893-2024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45355</v>
      </c>
      <c r="E249" s="1" t="n">
        <v>46316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46316</v>
      </c>
      <c r="F250" t="inlineStr">
        <is>
          <t>VÄSTRA GÖTALANDS LÄN</t>
        </is>
      </c>
      <c r="G250" t="inlineStr">
        <is>
          <t>UDDEVALLA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2306-2022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44578</v>
      </c>
      <c r="E251" s="1" t="n">
        <v>46316</v>
      </c>
      <c r="F251" t="inlineStr">
        <is>
          <t>VÄSTRA GÖTALANDS LÄN</t>
        </is>
      </c>
      <c r="G251" t="inlineStr">
        <is>
          <t>UDDEVALLA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46316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Kommuner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46210</v>
      </c>
      <c r="E253" s="1" t="n">
        <v>46316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46212</v>
      </c>
      <c r="E254" s="1" t="n">
        <v>46316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45463</v>
      </c>
      <c r="E255" s="1" t="n">
        <v>46316</v>
      </c>
      <c r="F255" t="inlineStr">
        <is>
          <t>VÄSTRA GÖTALANDS LÄN</t>
        </is>
      </c>
      <c r="G255" t="inlineStr">
        <is>
          <t>UDDEVALLA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46316</v>
      </c>
      <c r="F256" t="inlineStr">
        <is>
          <t>VÄSTRA GÖTALANDS LÄN</t>
        </is>
      </c>
      <c r="G256" t="inlineStr">
        <is>
          <t>UDDEVALLA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31481-2026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46222</v>
      </c>
      <c r="E257" s="1" t="n">
        <v>46316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46316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45847</v>
      </c>
      <c r="E259" s="1" t="n">
        <v>46316</v>
      </c>
      <c r="F259" t="inlineStr">
        <is>
          <t>VÄSTRA GÖTALANDS LÄN</t>
        </is>
      </c>
      <c r="G259" t="inlineStr">
        <is>
          <t>UDDEVALLA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46316</v>
      </c>
      <c r="F260" t="inlineStr">
        <is>
          <t>VÄSTRA GÖTALANDS LÄN</t>
        </is>
      </c>
      <c r="G260" t="inlineStr">
        <is>
          <t>UDDEVALLA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45168</v>
      </c>
      <c r="E261" s="1" t="n">
        <v>46316</v>
      </c>
      <c r="F261" t="inlineStr">
        <is>
          <t>VÄSTRA GÖTALANDS LÄN</t>
        </is>
      </c>
      <c r="G261" t="inlineStr">
        <is>
          <t>UDDEVALLA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45097</v>
      </c>
      <c r="E262" s="1" t="n">
        <v>46316</v>
      </c>
      <c r="F262" t="inlineStr">
        <is>
          <t>VÄSTRA GÖTALANDS LÄN</t>
        </is>
      </c>
      <c r="G262" t="inlineStr">
        <is>
          <t>UDDEVALLA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44956</v>
      </c>
      <c r="E263" s="1" t="n">
        <v>46316</v>
      </c>
      <c r="F263" t="inlineStr">
        <is>
          <t>VÄSTRA GÖTALANDS LÄN</t>
        </is>
      </c>
      <c r="G263" t="inlineStr">
        <is>
          <t>UDDEVALLA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46316</v>
      </c>
      <c r="F264" t="inlineStr">
        <is>
          <t>VÄSTRA GÖTALANDS LÄN</t>
        </is>
      </c>
      <c r="G264" t="inlineStr">
        <is>
          <t>UDDEVALLA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45071</v>
      </c>
      <c r="E265" s="1" t="n">
        <v>46316</v>
      </c>
      <c r="F265" t="inlineStr">
        <is>
          <t>VÄSTRA GÖTALANDS LÄN</t>
        </is>
      </c>
      <c r="G265" t="inlineStr">
        <is>
          <t>UDDEVALLA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45517</v>
      </c>
      <c r="E266" s="1" t="n">
        <v>46316</v>
      </c>
      <c r="F266" t="inlineStr">
        <is>
          <t>VÄSTRA GÖTALANDS LÄN</t>
        </is>
      </c>
      <c r="G266" t="inlineStr">
        <is>
          <t>UDDEVALLA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46316</v>
      </c>
      <c r="F267" t="inlineStr">
        <is>
          <t>VÄSTRA GÖTALANDS LÄN</t>
        </is>
      </c>
      <c r="G267" t="inlineStr">
        <is>
          <t>UDDEVALLA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46316</v>
      </c>
      <c r="F268" t="inlineStr">
        <is>
          <t>VÄSTRA GÖTALANDS LÄN</t>
        </is>
      </c>
      <c r="G268" t="inlineStr">
        <is>
          <t>UDDEVALLA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46288</v>
      </c>
      <c r="E269" s="1" t="n">
        <v>46316</v>
      </c>
      <c r="F269" t="inlineStr">
        <is>
          <t>VÄSTRA GÖTALANDS LÄN</t>
        </is>
      </c>
      <c r="G269" t="inlineStr">
        <is>
          <t>UDDEVALLA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46251</v>
      </c>
      <c r="E270" s="1" t="n">
        <v>46316</v>
      </c>
      <c r="F270" t="inlineStr">
        <is>
          <t>VÄSTRA GÖTALANDS LÄN</t>
        </is>
      </c>
      <c r="G270" t="inlineStr">
        <is>
          <t>UDDEVALLA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46293</v>
      </c>
      <c r="E271" s="1" t="n">
        <v>46316</v>
      </c>
      <c r="F271" t="inlineStr">
        <is>
          <t>VÄSTRA GÖTALANDS LÄN</t>
        </is>
      </c>
      <c r="G271" t="inlineStr">
        <is>
          <t>UDDEVALLA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63878-2021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46316</v>
      </c>
      <c r="F272" t="inlineStr">
        <is>
          <t>VÄSTRA GÖTALANDS LÄN</t>
        </is>
      </c>
      <c r="G272" t="inlineStr">
        <is>
          <t>UDDEVALLA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44602</v>
      </c>
      <c r="E273" s="1" t="n">
        <v>46316</v>
      </c>
      <c r="F273" t="inlineStr">
        <is>
          <t>VÄSTRA GÖTALANDS LÄN</t>
        </is>
      </c>
      <c r="G273" t="inlineStr">
        <is>
          <t>UDDEVALLA</t>
        </is>
      </c>
      <c r="I273" t="n">
        <v>9.6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45035</v>
      </c>
      <c r="E274" s="1" t="n">
        <v>46316</v>
      </c>
      <c r="F274" t="inlineStr">
        <is>
          <t>VÄSTRA GÖTALANDS LÄN</t>
        </is>
      </c>
      <c r="G274" t="inlineStr">
        <is>
          <t>UDDEVALLA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46316</v>
      </c>
      <c r="F275" t="inlineStr">
        <is>
          <t>VÄSTRA GÖTALANDS LÄN</t>
        </is>
      </c>
      <c r="G275" t="inlineStr">
        <is>
          <t>UDDEVALLA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46316</v>
      </c>
      <c r="F276" t="inlineStr">
        <is>
          <t>VÄSTRA GÖTALANDS LÄN</t>
        </is>
      </c>
      <c r="G276" t="inlineStr">
        <is>
          <t>UDDEVALLA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46316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46316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46316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46316</v>
      </c>
      <c r="F280" t="inlineStr">
        <is>
          <t>VÄSTRA GÖTALANDS LÄN</t>
        </is>
      </c>
      <c r="G280" t="inlineStr">
        <is>
          <t>UDDEVALLA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21491-2026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46148</v>
      </c>
      <c r="E281" s="1" t="n">
        <v>46316</v>
      </c>
      <c r="F281" t="inlineStr">
        <is>
          <t>VÄSTRA GÖTALANDS LÄN</t>
        </is>
      </c>
      <c r="G281" t="inlineStr">
        <is>
          <t>UDDEVALLA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17058-2025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45754</v>
      </c>
      <c r="E282" s="1" t="n">
        <v>46316</v>
      </c>
      <c r="F282" t="inlineStr">
        <is>
          <t>VÄSTRA GÖTALANDS LÄN</t>
        </is>
      </c>
      <c r="G282" t="inlineStr">
        <is>
          <t>UDDEVALLA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46316</v>
      </c>
      <c r="F283" t="inlineStr">
        <is>
          <t>VÄSTRA GÖTALANDS LÄN</t>
        </is>
      </c>
      <c r="G283" t="inlineStr">
        <is>
          <t>UDDEVALLA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58625-2024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45635</v>
      </c>
      <c r="E284" s="1" t="n">
        <v>46316</v>
      </c>
      <c r="F284" t="inlineStr">
        <is>
          <t>VÄSTRA GÖTALANDS LÄN</t>
        </is>
      </c>
      <c r="G284" t="inlineStr">
        <is>
          <t>UDDEVALLA</t>
        </is>
      </c>
      <c r="I284" t="n">
        <v>14.9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46316</v>
      </c>
      <c r="F285" t="inlineStr">
        <is>
          <t>VÄSTRA GÖTALANDS LÄN</t>
        </is>
      </c>
      <c r="G285" t="inlineStr">
        <is>
          <t>UDDEVALLA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46302</v>
      </c>
      <c r="E286" s="1" t="n">
        <v>46316</v>
      </c>
      <c r="F286" t="inlineStr">
        <is>
          <t>VÄSTRA GÖTALANDS LÄN</t>
        </is>
      </c>
      <c r="G286" t="inlineStr">
        <is>
          <t>UDDEVALLA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39088-2022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46316</v>
      </c>
      <c r="F287" t="inlineStr">
        <is>
          <t>VÄSTRA GÖTALANDS LÄN</t>
        </is>
      </c>
      <c r="G287" t="inlineStr">
        <is>
          <t>UDDEVALLA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46303</v>
      </c>
      <c r="E288" s="1" t="n">
        <v>46316</v>
      </c>
      <c r="F288" t="inlineStr">
        <is>
          <t>VÄSTRA GÖTALANDS LÄN</t>
        </is>
      </c>
      <c r="G288" t="inlineStr">
        <is>
          <t>UDDEVALLA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46316</v>
      </c>
      <c r="F289" t="inlineStr">
        <is>
          <t>VÄSTRA GÖTALANDS LÄN</t>
        </is>
      </c>
      <c r="G289" t="inlineStr">
        <is>
          <t>UDDEVALLA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46316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44655</v>
      </c>
      <c r="E291" s="1" t="n">
        <v>46316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45238</v>
      </c>
      <c r="E292" s="1" t="n">
        <v>46316</v>
      </c>
      <c r="F292" t="inlineStr">
        <is>
          <t>VÄSTRA GÖTALANDS LÄN</t>
        </is>
      </c>
      <c r="G292" t="inlineStr">
        <is>
          <t>UDDEVALLA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19982-2025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46316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46316</v>
      </c>
      <c r="F294" t="inlineStr">
        <is>
          <t>VÄSTRA GÖTALANDS LÄN</t>
        </is>
      </c>
      <c r="G294" t="inlineStr">
        <is>
          <t>UDDEVALLA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44984</v>
      </c>
      <c r="E295" s="1" t="n">
        <v>46316</v>
      </c>
      <c r="F295" t="inlineStr">
        <is>
          <t>VÄSTRA GÖTALANDS LÄN</t>
        </is>
      </c>
      <c r="G295" t="inlineStr">
        <is>
          <t>UDDEVALLA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46316</v>
      </c>
      <c r="F296" t="inlineStr">
        <is>
          <t>VÄSTRA GÖTALANDS LÄN</t>
        </is>
      </c>
      <c r="G296" t="inlineStr">
        <is>
          <t>UDDEVALLA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46316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46316</v>
      </c>
      <c r="F298" t="inlineStr">
        <is>
          <t>VÄSTRA GÖTALANDS LÄN</t>
        </is>
      </c>
      <c r="G298" t="inlineStr">
        <is>
          <t>UDDEVALLA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69198-2021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46316</v>
      </c>
      <c r="F299" t="inlineStr">
        <is>
          <t>VÄSTRA GÖTALANDS LÄN</t>
        </is>
      </c>
      <c r="G299" t="inlineStr">
        <is>
          <t>UDDEVALLA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46316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45028</v>
      </c>
      <c r="E301" s="1" t="n">
        <v>46316</v>
      </c>
      <c r="F301" t="inlineStr">
        <is>
          <t>VÄSTRA GÖTALANDS LÄN</t>
        </is>
      </c>
      <c r="G301" t="inlineStr">
        <is>
          <t>UDDEVALLA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59674-2023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45255</v>
      </c>
      <c r="E302" s="1" t="n">
        <v>46316</v>
      </c>
      <c r="F302" t="inlineStr">
        <is>
          <t>VÄSTRA GÖTALANDS LÄN</t>
        </is>
      </c>
      <c r="G302" t="inlineStr">
        <is>
          <t>UDDEVALLA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46316</v>
      </c>
      <c r="F303" t="inlineStr">
        <is>
          <t>VÄSTRA GÖTALANDS LÄN</t>
        </is>
      </c>
      <c r="G303" t="inlineStr">
        <is>
          <t>UDDEVALLA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46316</v>
      </c>
      <c r="F304" t="inlineStr">
        <is>
          <t>VÄSTRA GÖTALANDS LÄN</t>
        </is>
      </c>
      <c r="G304" t="inlineStr">
        <is>
          <t>UDDEVALLA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46316</v>
      </c>
      <c r="F305" t="inlineStr">
        <is>
          <t>VÄSTRA GÖTALANDS LÄN</t>
        </is>
      </c>
      <c r="G305" t="inlineStr">
        <is>
          <t>UDDEVALLA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46211</v>
      </c>
      <c r="E306" s="1" t="n">
        <v>46316</v>
      </c>
      <c r="F306" t="inlineStr">
        <is>
          <t>VÄSTRA GÖTALANDS LÄN</t>
        </is>
      </c>
      <c r="G306" t="inlineStr">
        <is>
          <t>UDDEVALLA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46311</v>
      </c>
      <c r="E307" s="1" t="n">
        <v>46316</v>
      </c>
      <c r="F307" t="inlineStr">
        <is>
          <t>VÄSTRA GÖTALANDS LÄN</t>
        </is>
      </c>
      <c r="G307" t="inlineStr">
        <is>
          <t>UDDEVALLA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46267</v>
      </c>
      <c r="E308" s="1" t="n">
        <v>46316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46267</v>
      </c>
      <c r="E309" s="1" t="n">
        <v>46316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Kyrkan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46316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46316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46316</v>
      </c>
      <c r="F312" t="inlineStr">
        <is>
          <t>VÄSTRA GÖTALANDS LÄN</t>
        </is>
      </c>
      <c r="G312" t="inlineStr">
        <is>
          <t>UDDEVALLA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46316</v>
      </c>
      <c r="F313" t="inlineStr">
        <is>
          <t>VÄSTRA GÖTALANDS LÄN</t>
        </is>
      </c>
      <c r="G313" t="inlineStr">
        <is>
          <t>UDDEVALLA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46316</v>
      </c>
      <c r="F314" t="inlineStr">
        <is>
          <t>VÄSTRA GÖTALANDS LÄN</t>
        </is>
      </c>
      <c r="G314" t="inlineStr">
        <is>
          <t>UDDEVALLA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46316</v>
      </c>
      <c r="F315" t="inlineStr">
        <is>
          <t>VÄSTRA GÖTALANDS LÄN</t>
        </is>
      </c>
      <c r="G315" t="inlineStr">
        <is>
          <t>UDDEVALLA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44973</v>
      </c>
      <c r="E316" s="1" t="n">
        <v>46316</v>
      </c>
      <c r="F316" t="inlineStr">
        <is>
          <t>VÄSTRA GÖTALANDS LÄN</t>
        </is>
      </c>
      <c r="G316" t="inlineStr">
        <is>
          <t>UDDEVALLA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44967</v>
      </c>
      <c r="E317" s="1" t="n">
        <v>46316</v>
      </c>
      <c r="F317" t="inlineStr">
        <is>
          <t>VÄSTRA GÖTALANDS LÄN</t>
        </is>
      </c>
      <c r="G317" t="inlineStr">
        <is>
          <t>UDDEVALLA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44794</v>
      </c>
      <c r="E318" s="1" t="n">
        <v>46316</v>
      </c>
      <c r="F318" t="inlineStr">
        <is>
          <t>VÄSTRA GÖTALANDS LÄN</t>
        </is>
      </c>
      <c r="G318" t="inlineStr">
        <is>
          <t>UDDEVALLA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46316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46316</v>
      </c>
      <c r="F320" t="inlineStr">
        <is>
          <t>VÄSTRA GÖTALANDS LÄN</t>
        </is>
      </c>
      <c r="G320" t="inlineStr">
        <is>
          <t>UDDEVALLA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44582</v>
      </c>
      <c r="E321" s="1" t="n">
        <v>46316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45484</v>
      </c>
      <c r="E322" s="1" t="n">
        <v>46316</v>
      </c>
      <c r="F322" t="inlineStr">
        <is>
          <t>VÄSTRA GÖTALANDS LÄN</t>
        </is>
      </c>
      <c r="G322" t="inlineStr">
        <is>
          <t>UDDEVALLA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46316</v>
      </c>
      <c r="F323" t="inlineStr">
        <is>
          <t>VÄSTRA GÖTALANDS LÄN</t>
        </is>
      </c>
      <c r="G323" t="inlineStr">
        <is>
          <t>UDDEVALLA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23462-2024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45453</v>
      </c>
      <c r="E324" s="1" t="n">
        <v>46316</v>
      </c>
      <c r="F324" t="inlineStr">
        <is>
          <t>VÄSTRA GÖTALANDS LÄN</t>
        </is>
      </c>
      <c r="G324" t="inlineStr">
        <is>
          <t>UDDEVALLA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46316</v>
      </c>
      <c r="F325" t="inlineStr">
        <is>
          <t>VÄSTRA GÖTALANDS LÄN</t>
        </is>
      </c>
      <c r="G325" t="inlineStr">
        <is>
          <t>UDDEVALLA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46316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46316</v>
      </c>
      <c r="F327" t="inlineStr">
        <is>
          <t>VÄSTRA GÖTALANDS LÄN</t>
        </is>
      </c>
      <c r="G327" t="inlineStr">
        <is>
          <t>UDDEVALLA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40571-2022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44823</v>
      </c>
      <c r="E328" s="1" t="n">
        <v>46316</v>
      </c>
      <c r="F328" t="inlineStr">
        <is>
          <t>VÄSTRA GÖTALANDS LÄN</t>
        </is>
      </c>
      <c r="G328" t="inlineStr">
        <is>
          <t>UDDEVALLA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46316</v>
      </c>
      <c r="F329" t="inlineStr">
        <is>
          <t>VÄSTRA GÖTALANDS LÄN</t>
        </is>
      </c>
      <c r="G329" t="inlineStr">
        <is>
          <t>UDDEVALLA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45777</v>
      </c>
      <c r="E330" s="1" t="n">
        <v>46316</v>
      </c>
      <c r="F330" t="inlineStr">
        <is>
          <t>VÄSTRA GÖTALANDS LÄN</t>
        </is>
      </c>
      <c r="G330" t="inlineStr">
        <is>
          <t>UDDEVALLA</t>
        </is>
      </c>
      <c r="I330" t="n">
        <v>12.9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46316</v>
      </c>
      <c r="F331" t="inlineStr">
        <is>
          <t>VÄSTRA GÖTALANDS LÄN</t>
        </is>
      </c>
      <c r="G331" t="inlineStr">
        <is>
          <t>UDDEVALLA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46316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46316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46316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2026-10-21T02:06:06Z</dcterms:created>
  <dcterms:modified xmlns:dcterms="http://purl.org/dc/terms/" xmlns:xsi="http://www.w3.org/2001/XMLSchema-instance" xsi:type="dcterms:W3CDTF">2026-10-21T02:06:06Z</dcterms:modified>
</cp:coreProperties>
</file>