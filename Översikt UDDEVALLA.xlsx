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35895-2026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46266</v>
      </c>
      <c r="E2" s="1" t="n">
        <v>46318</v>
      </c>
      <c r="F2" t="inlineStr">
        <is>
          <t>VÄSTRA GÖTALANDS LÄN</t>
        </is>
      </c>
      <c r="G2" t="inlineStr">
        <is>
          <t>UDDEVALLA</t>
        </is>
      </c>
      <c r="I2" t="n">
        <v>1.6</v>
      </c>
      <c r="J2" t="n">
        <v>11</v>
      </c>
      <c r="K2" t="n">
        <v>7</v>
      </c>
      <c r="L2" t="n">
        <v>2</v>
      </c>
      <c r="M2" t="n">
        <v>2</v>
      </c>
      <c r="N2" t="n">
        <v>0</v>
      </c>
      <c r="O2" t="n">
        <v>0</v>
      </c>
      <c r="P2" t="n">
        <v>0</v>
      </c>
      <c r="Q2" t="n">
        <v>5</v>
      </c>
      <c r="R2" t="n">
        <v>2</v>
      </c>
      <c r="S2" t="n">
        <v>22</v>
      </c>
      <c r="T2" t="n">
        <v>30</v>
      </c>
      <c r="U2" t="n">
        <v>2</v>
      </c>
      <c r="V2" s="2" t="inlineStr">
        <is>
          <t>Granbronssopp
Hasselsnok
Motaggsvamp
Rödvingetrast
Elaphomyces nemoreus
Blanksvart trämyra
Blomkålssvamp
Huvudlik svampklubba
Kambräken
Stubbspretmossa
Toppvaxing
Zontaggsvamp
Spillkråka
Svavelticka
Gröngöling
Grönsiska
Kråka
Kungsfågel
Svartvit flugsnappare
Vanlig groda
Vanlig padda
Vanlig snok</t>
        </is>
      </c>
      <c r="W2">
        <f>HYPERLINK("https://klasma.github.io/Logging_1485/artfynd/A 35895-2026 artfynd.xlsx", "A 35895-2026")</f>
        <v/>
      </c>
      <c r="X2">
        <f>HYPERLINK("https://klasma.github.io/Logging_1485/kartor/A 35895-2026 karta.png", "A 35895-2026")</f>
        <v/>
      </c>
      <c r="Y2">
        <f>HYPERLINK("https://klasma.github.io/Logging_1485/kartor_geotiff/A 35895-2026 georefererad karta.tif", "A 35895-2026")</f>
        <v/>
      </c>
      <c r="AA2">
        <f>HYPERLINK("https://klasma.github.io/Logging_1485/klagomål/A 35895-2026 FSC-klagomål.docx", "A 35895-2026")</f>
        <v/>
      </c>
      <c r="AB2">
        <f>HYPERLINK("https://klasma.github.io/Logging_1485/klagomålsmail/A 35895-2026 FSC-klagomål mail.docx", "A 35895-2026")</f>
        <v/>
      </c>
      <c r="AC2">
        <f>HYPERLINK("https://klasma.github.io/Logging_1485/tillsyn/A 35895-2026 tillsynsbegäran.docx", "A 35895-2026")</f>
        <v/>
      </c>
      <c r="AD2">
        <f>HYPERLINK("https://klasma.github.io/Logging_1485/tillsynsmail/A 35895-2026 tillsynsbegäran mail.docx", "A 35895-2026")</f>
        <v/>
      </c>
      <c r="AE2">
        <f>HYPERLINK("https://klasma.github.io/Logging_1485/fåglar/A 35895-2026 prioriterade fågelarter.docx", "A 35895-2026")</f>
        <v/>
      </c>
    </row>
    <row r="3" ht="15" customHeight="1">
      <c r="A3" t="inlineStr">
        <is>
          <t>A 62051-2024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45656</v>
      </c>
      <c r="E3" s="1" t="n">
        <v>46318</v>
      </c>
      <c r="F3" t="inlineStr">
        <is>
          <t>VÄSTRA GÖTALANDS LÄN</t>
        </is>
      </c>
      <c r="G3" t="inlineStr">
        <is>
          <t>UDDEVALLA</t>
        </is>
      </c>
      <c r="H3" t="inlineStr">
        <is>
          <t>Kommuner</t>
        </is>
      </c>
      <c r="I3" t="n">
        <v>5.5</v>
      </c>
      <c r="J3" t="n">
        <v>4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13</v>
      </c>
      <c r="T3" t="n">
        <v>14</v>
      </c>
      <c r="U3" t="n">
        <v>14</v>
      </c>
      <c r="V3" s="2" t="inlineStr">
        <is>
          <t>Duvhök
Talltita
Blåmossa
Västlig hakmossa
Blåbär
Ekorrbär
Hultbräken
Kransmossa
Skogsstjärna
Spillkråka
Stjärnstarr
Ängskovall
Ängsnycklar × fläcknycklar</t>
        </is>
      </c>
      <c r="W3">
        <f>HYPERLINK("https://klasma.github.io/Logging_1485/artfynd/A 62051-2024 artfynd.xlsx", "A 62051-2024")</f>
        <v/>
      </c>
      <c r="X3">
        <f>HYPERLINK("https://klasma.github.io/Logging_1485/kartor/A 62051-2024 karta.png", "A 62051-2024")</f>
        <v/>
      </c>
      <c r="Y3">
        <f>HYPERLINK("https://klasma.github.io/Logging_1485/kartor_geotiff/A 62051-2024 georefererad karta.tif", "A 62051-2024")</f>
        <v/>
      </c>
      <c r="AA3">
        <f>HYPERLINK("https://klasma.github.io/Logging_1485/klagomål/A 62051-2024 FSC-klagomål.docx", "A 62051-2024")</f>
        <v/>
      </c>
      <c r="AB3">
        <f>HYPERLINK("https://klasma.github.io/Logging_1485/klagomålsmail/A 62051-2024 FSC-klagomål mail.docx", "A 62051-2024")</f>
        <v/>
      </c>
      <c r="AC3">
        <f>HYPERLINK("https://klasma.github.io/Logging_1485/tillsyn/A 62051-2024 tillsynsbegäran.docx", "A 62051-2024")</f>
        <v/>
      </c>
      <c r="AD3">
        <f>HYPERLINK("https://klasma.github.io/Logging_1485/tillsynsmail/A 62051-2024 tillsynsbegäran mail.docx", "A 62051-2024")</f>
        <v/>
      </c>
      <c r="AE3">
        <f>HYPERLINK("https://klasma.github.io/Logging_1485/fåglar/A 62051-2024 prioriterade fågelarter.docx", "A 62051-2024")</f>
        <v/>
      </c>
    </row>
    <row r="4" ht="15" customHeight="1">
      <c r="A4" t="inlineStr">
        <is>
          <t>A 19676-2024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45432</v>
      </c>
      <c r="E4" s="1" t="n">
        <v>46318</v>
      </c>
      <c r="F4" t="inlineStr">
        <is>
          <t>VÄSTRA GÖTALANDS LÄN</t>
        </is>
      </c>
      <c r="G4" t="inlineStr">
        <is>
          <t>UDDEVALLA</t>
        </is>
      </c>
      <c r="I4" t="n">
        <v>10.3</v>
      </c>
      <c r="J4" t="n">
        <v>3</v>
      </c>
      <c r="K4" t="n">
        <v>3</v>
      </c>
      <c r="L4" t="n">
        <v>2</v>
      </c>
      <c r="M4" t="n">
        <v>1</v>
      </c>
      <c r="N4" t="n">
        <v>1</v>
      </c>
      <c r="O4" t="n">
        <v>0</v>
      </c>
      <c r="P4" t="n">
        <v>0</v>
      </c>
      <c r="Q4" t="n">
        <v>4</v>
      </c>
      <c r="R4" t="n">
        <v>2</v>
      </c>
      <c r="S4" t="n">
        <v>10</v>
      </c>
      <c r="T4" t="n">
        <v>13</v>
      </c>
      <c r="U4" t="n">
        <v>3</v>
      </c>
      <c r="V4" s="2" t="inlineStr">
        <is>
          <t>Ask
Gråblå skinnlav
Entita
Gullpudra
Nästrot
Slanklav
Vätteros
Blåsippa
Skogsbingel
Vitsippa</t>
        </is>
      </c>
      <c r="W4">
        <f>HYPERLINK("https://klasma.github.io/Logging_1485/artfynd/A 19676-2024 artfynd.xlsx", "A 19676-2024")</f>
        <v/>
      </c>
      <c r="X4">
        <f>HYPERLINK("https://klasma.github.io/Logging_1485/kartor/A 19676-2024 karta.png", "A 19676-2024")</f>
        <v/>
      </c>
      <c r="Y4">
        <f>HYPERLINK("https://klasma.github.io/Logging_1485/kartor_geotiff/A 19676-2024 georefererad karta.tif", "A 19676-2024")</f>
        <v/>
      </c>
      <c r="AA4">
        <f>HYPERLINK("https://klasma.github.io/Logging_1485/klagomål/A 19676-2024 FSC-klagomål.docx", "A 19676-2024")</f>
        <v/>
      </c>
      <c r="AB4">
        <f>HYPERLINK("https://klasma.github.io/Logging_1485/klagomålsmail/A 19676-2024 FSC-klagomål mail.docx", "A 19676-2024")</f>
        <v/>
      </c>
      <c r="AC4">
        <f>HYPERLINK("https://klasma.github.io/Logging_1485/tillsyn/A 19676-2024 tillsynsbegäran.docx", "A 19676-2024")</f>
        <v/>
      </c>
      <c r="AD4">
        <f>HYPERLINK("https://klasma.github.io/Logging_1485/tillsynsmail/A 19676-2024 tillsynsbegäran mail.docx", "A 19676-2024")</f>
        <v/>
      </c>
      <c r="AE4">
        <f>HYPERLINK("https://klasma.github.io/Logging_1485/fåglar/A 19676-2024 prioriterade fågelarter.docx", "A 19676-2024")</f>
        <v/>
      </c>
    </row>
    <row r="5" ht="15" customHeight="1">
      <c r="A5" t="inlineStr">
        <is>
          <t>A 2824-2025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45677</v>
      </c>
      <c r="E5" s="1" t="n">
        <v>46318</v>
      </c>
      <c r="F5" t="inlineStr">
        <is>
          <t>VÄSTRA GÖTALANDS LÄN</t>
        </is>
      </c>
      <c r="G5" t="inlineStr">
        <is>
          <t>UDDEVALLA</t>
        </is>
      </c>
      <c r="I5" t="n">
        <v>2.4</v>
      </c>
      <c r="J5" t="n">
        <v>4</v>
      </c>
      <c r="K5" t="n">
        <v>1</v>
      </c>
      <c r="L5" t="n">
        <v>2</v>
      </c>
      <c r="M5" t="n">
        <v>2</v>
      </c>
      <c r="N5" t="n">
        <v>2</v>
      </c>
      <c r="O5" t="n">
        <v>0</v>
      </c>
      <c r="P5" t="n">
        <v>0</v>
      </c>
      <c r="Q5" t="n">
        <v>6</v>
      </c>
      <c r="R5" t="n">
        <v>4</v>
      </c>
      <c r="S5" t="n">
        <v>9</v>
      </c>
      <c r="T5" t="n">
        <v>13</v>
      </c>
      <c r="U5" t="n">
        <v>12</v>
      </c>
      <c r="V5" s="2" t="inlineStr">
        <is>
          <t>Ask
Långskägg
Garnlav
Revig blodrot
Skrovellav
Stjärntagging
Spindelblomster
Kungsfågel
Skogsduva</t>
        </is>
      </c>
      <c r="W5">
        <f>HYPERLINK("https://klasma.github.io/Logging_1485/artfynd/A 2824-2025 artfynd.xlsx", "A 2824-2025")</f>
        <v/>
      </c>
      <c r="X5">
        <f>HYPERLINK("https://klasma.github.io/Logging_1485/kartor/A 2824-2025 karta.png", "A 2824-2025")</f>
        <v/>
      </c>
      <c r="Y5">
        <f>HYPERLINK("https://klasma.github.io/Logging_1485/kartor_geotiff/A 2824-2025 georefererad karta.tif", "A 2824-2025")</f>
        <v/>
      </c>
      <c r="AA5">
        <f>HYPERLINK("https://klasma.github.io/Logging_1485/klagomål/A 2824-2025 FSC-klagomål.docx", "A 2824-2025")</f>
        <v/>
      </c>
      <c r="AB5">
        <f>HYPERLINK("https://klasma.github.io/Logging_1485/klagomålsmail/A 2824-2025 FSC-klagomål mail.docx", "A 2824-2025")</f>
        <v/>
      </c>
      <c r="AC5">
        <f>HYPERLINK("https://klasma.github.io/Logging_1485/tillsyn/A 2824-2025 tillsynsbegäran.docx", "A 2824-2025")</f>
        <v/>
      </c>
      <c r="AD5">
        <f>HYPERLINK("https://klasma.github.io/Logging_1485/tillsynsmail/A 2824-2025 tillsynsbegäran mail.docx", "A 2824-2025")</f>
        <v/>
      </c>
    </row>
    <row r="6" ht="15" customHeight="1">
      <c r="A6" t="inlineStr">
        <is>
          <t>A 62062-2024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45656</v>
      </c>
      <c r="E6" s="1" t="n">
        <v>46318</v>
      </c>
      <c r="F6" t="inlineStr">
        <is>
          <t>VÄSTRA GÖTALANDS LÄN</t>
        </is>
      </c>
      <c r="G6" t="inlineStr">
        <is>
          <t>UDDEVALLA</t>
        </is>
      </c>
      <c r="H6" t="inlineStr">
        <is>
          <t>Kommuner</t>
        </is>
      </c>
      <c r="I6" t="n">
        <v>8</v>
      </c>
      <c r="J6" t="n">
        <v>5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7</v>
      </c>
      <c r="T6" t="n">
        <v>9</v>
      </c>
      <c r="U6" t="n">
        <v>0</v>
      </c>
      <c r="V6" s="2" t="inlineStr">
        <is>
          <t>Slåttergubbe
Västlig hakmossa
Större vattensalamander
Mindre vattensalamander
Vanlig groda
Nattviol
Revlummer</t>
        </is>
      </c>
      <c r="W6">
        <f>HYPERLINK("https://klasma.github.io/Logging_1485/artfynd/A 62062-2024 artfynd.xlsx", "A 62062-2024")</f>
        <v/>
      </c>
      <c r="X6">
        <f>HYPERLINK("https://klasma.github.io/Logging_1485/kartor/A 62062-2024 karta.png", "A 62062-2024")</f>
        <v/>
      </c>
      <c r="Y6">
        <f>HYPERLINK("https://klasma.github.io/Logging_1485/kartor_geotiff/A 62062-2024 georefererad karta.tif", "A 62062-2024")</f>
        <v/>
      </c>
      <c r="AA6">
        <f>HYPERLINK("https://klasma.github.io/Logging_1485/klagomål/A 62062-2024 FSC-klagomål.docx", "A 62062-2024")</f>
        <v/>
      </c>
      <c r="AB6">
        <f>HYPERLINK("https://klasma.github.io/Logging_1485/klagomålsmail/A 62062-2024 FSC-klagomål mail.docx", "A 62062-2024")</f>
        <v/>
      </c>
      <c r="AC6">
        <f>HYPERLINK("https://klasma.github.io/Logging_1485/tillsyn/A 62062-2024 tillsynsbegäran.docx", "A 62062-2024")</f>
        <v/>
      </c>
      <c r="AD6">
        <f>HYPERLINK("https://klasma.github.io/Logging_1485/tillsynsmail/A 62062-2024 tillsynsbegäran mail.docx", "A 62062-2024")</f>
        <v/>
      </c>
    </row>
    <row r="7" ht="15" customHeight="1">
      <c r="A7" t="inlineStr">
        <is>
          <t>A 29688-2023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45107</v>
      </c>
      <c r="E7" s="1" t="n">
        <v>46318</v>
      </c>
      <c r="F7" t="inlineStr">
        <is>
          <t>VÄSTRA GÖTALANDS LÄN</t>
        </is>
      </c>
      <c r="G7" t="inlineStr">
        <is>
          <t>UDDEVALLA</t>
        </is>
      </c>
      <c r="I7" t="n">
        <v>1.5</v>
      </c>
      <c r="J7" t="n">
        <v>3</v>
      </c>
      <c r="K7" t="n">
        <v>1</v>
      </c>
      <c r="L7" t="n">
        <v>3</v>
      </c>
      <c r="M7" t="n">
        <v>1</v>
      </c>
      <c r="N7" t="n">
        <v>0</v>
      </c>
      <c r="O7" t="n">
        <v>0</v>
      </c>
      <c r="P7" t="n">
        <v>0</v>
      </c>
      <c r="Q7" t="n">
        <v>4</v>
      </c>
      <c r="R7" t="n">
        <v>1</v>
      </c>
      <c r="S7" t="n">
        <v>6</v>
      </c>
      <c r="T7" t="n">
        <v>6</v>
      </c>
      <c r="U7" t="n">
        <v>5</v>
      </c>
      <c r="V7" s="2" t="inlineStr">
        <is>
          <t>Gräddporing
Ladusvala
Rynkskinn
Rödvingetrast
Ängsvaxing agg.
Vanlig padda</t>
        </is>
      </c>
      <c r="W7">
        <f>HYPERLINK("https://klasma.github.io/Logging_1485/artfynd/A 29688-2023 artfynd.xlsx", "A 29688-2023")</f>
        <v/>
      </c>
      <c r="X7">
        <f>HYPERLINK("https://klasma.github.io/Logging_1485/kartor/A 29688-2023 karta.png", "A 29688-2023")</f>
        <v/>
      </c>
      <c r="Y7">
        <f>HYPERLINK("https://klasma.github.io/Logging_1485/kartor_geotiff/A 29688-2023 georefererad karta.tif", "A 29688-2023")</f>
        <v/>
      </c>
      <c r="AA7">
        <f>HYPERLINK("https://klasma.github.io/Logging_1485/klagomål/A 29688-2023 FSC-klagomål.docx", "A 29688-2023")</f>
        <v/>
      </c>
      <c r="AB7">
        <f>HYPERLINK("https://klasma.github.io/Logging_1485/klagomålsmail/A 29688-2023 FSC-klagomål mail.docx", "A 29688-2023")</f>
        <v/>
      </c>
      <c r="AC7">
        <f>HYPERLINK("https://klasma.github.io/Logging_1485/tillsyn/A 29688-2023 tillsynsbegäran.docx", "A 29688-2023")</f>
        <v/>
      </c>
      <c r="AD7">
        <f>HYPERLINK("https://klasma.github.io/Logging_1485/tillsynsmail/A 29688-2023 tillsynsbegäran mail.docx", "A 29688-2023")</f>
        <v/>
      </c>
      <c r="AE7">
        <f>HYPERLINK("https://klasma.github.io/Logging_1485/fåglar/A 29688-2023 prioriterade fågelarter.docx", "A 29688-2023")</f>
        <v/>
      </c>
    </row>
    <row r="8" ht="15" customHeight="1">
      <c r="A8" t="inlineStr">
        <is>
          <t>A 11824-2025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45728</v>
      </c>
      <c r="E8" s="1" t="n">
        <v>46318</v>
      </c>
      <c r="F8" t="inlineStr">
        <is>
          <t>VÄSTRA GÖTALANDS LÄN</t>
        </is>
      </c>
      <c r="G8" t="inlineStr">
        <is>
          <t>UDDEVALLA</t>
        </is>
      </c>
      <c r="I8" t="n">
        <v>2.9</v>
      </c>
      <c r="J8" t="n">
        <v>3</v>
      </c>
      <c r="K8" t="n">
        <v>0</v>
      </c>
      <c r="L8" t="n">
        <v>1</v>
      </c>
      <c r="M8" t="n">
        <v>1</v>
      </c>
      <c r="N8" t="n">
        <v>2</v>
      </c>
      <c r="O8" t="n">
        <v>0</v>
      </c>
      <c r="P8" t="n">
        <v>0</v>
      </c>
      <c r="Q8" t="n">
        <v>4</v>
      </c>
      <c r="R8" t="n">
        <v>3</v>
      </c>
      <c r="S8" t="n">
        <v>6</v>
      </c>
      <c r="T8" t="n">
        <v>7</v>
      </c>
      <c r="U8" t="n">
        <v>6</v>
      </c>
      <c r="V8" s="2" t="inlineStr">
        <is>
          <t>Ask
Långskägg
Garnlav
Stjärntagging
Kungsfågel
Skogsduva</t>
        </is>
      </c>
      <c r="W8">
        <f>HYPERLINK("https://klasma.github.io/Logging_1485/artfynd/A 11824-2025 artfynd.xlsx", "A 11824-2025")</f>
        <v/>
      </c>
      <c r="X8">
        <f>HYPERLINK("https://klasma.github.io/Logging_1485/kartor/A 11824-2025 karta.png", "A 11824-2025")</f>
        <v/>
      </c>
      <c r="Y8">
        <f>HYPERLINK("https://klasma.github.io/Logging_1485/kartor_geotiff/A 11824-2025 georefererad karta.tif", "A 11824-2025")</f>
        <v/>
      </c>
      <c r="AA8">
        <f>HYPERLINK("https://klasma.github.io/Logging_1485/klagomål/A 11824-2025 FSC-klagomål.docx", "A 11824-2025")</f>
        <v/>
      </c>
      <c r="AB8">
        <f>HYPERLINK("https://klasma.github.io/Logging_1485/klagomålsmail/A 11824-2025 FSC-klagomål mail.docx", "A 11824-2025")</f>
        <v/>
      </c>
      <c r="AC8">
        <f>HYPERLINK("https://klasma.github.io/Logging_1485/tillsyn/A 11824-2025 tillsynsbegäran.docx", "A 11824-2025")</f>
        <v/>
      </c>
      <c r="AD8">
        <f>HYPERLINK("https://klasma.github.io/Logging_1485/tillsynsmail/A 11824-2025 tillsynsbegäran mail.docx", "A 11824-2025")</f>
        <v/>
      </c>
    </row>
    <row r="9" ht="15" customHeight="1">
      <c r="A9" t="inlineStr">
        <is>
          <t>A 3427-2024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45317</v>
      </c>
      <c r="E9" s="1" t="n">
        <v>46318</v>
      </c>
      <c r="F9" t="inlineStr">
        <is>
          <t>VÄSTRA GÖTALANDS LÄN</t>
        </is>
      </c>
      <c r="G9" t="inlineStr">
        <is>
          <t>UDDEVALLA</t>
        </is>
      </c>
      <c r="H9" t="inlineStr">
        <is>
          <t>Kyrkan</t>
        </is>
      </c>
      <c r="I9" t="n">
        <v>10.8</v>
      </c>
      <c r="J9" t="n">
        <v>2</v>
      </c>
      <c r="K9" t="n">
        <v>3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6</v>
      </c>
      <c r="T9" t="n">
        <v>14</v>
      </c>
      <c r="U9" t="n">
        <v>14</v>
      </c>
      <c r="V9" s="2" t="inlineStr">
        <is>
          <t>Grönhjon
Klippfrullania
Stor revmossa
Västlig hakmossa
Spillkråka
Revlummer</t>
        </is>
      </c>
      <c r="W9">
        <f>HYPERLINK("https://klasma.github.io/Logging_1485/artfynd/A 3427-2024 artfynd.xlsx", "A 3427-2024")</f>
        <v/>
      </c>
      <c r="X9">
        <f>HYPERLINK("https://klasma.github.io/Logging_1485/kartor/A 3427-2024 karta.png", "A 3427-2024")</f>
        <v/>
      </c>
      <c r="Y9">
        <f>HYPERLINK("https://klasma.github.io/Logging_1485/kartor_geotiff/A 3427-2024 georefererad karta.tif", "A 3427-2024")</f>
        <v/>
      </c>
      <c r="AA9">
        <f>HYPERLINK("https://klasma.github.io/Logging_1485/klagomål/A 3427-2024 FSC-klagomål.docx", "A 3427-2024")</f>
        <v/>
      </c>
      <c r="AB9">
        <f>HYPERLINK("https://klasma.github.io/Logging_1485/klagomålsmail/A 3427-2024 FSC-klagomål mail.docx", "A 3427-2024")</f>
        <v/>
      </c>
      <c r="AC9">
        <f>HYPERLINK("https://klasma.github.io/Logging_1485/tillsyn/A 3427-2024 tillsynsbegäran.docx", "A 3427-2024")</f>
        <v/>
      </c>
      <c r="AD9">
        <f>HYPERLINK("https://klasma.github.io/Logging_1485/tillsynsmail/A 3427-2024 tillsynsbegäran mail.docx", "A 3427-2024")</f>
        <v/>
      </c>
      <c r="AE9">
        <f>HYPERLINK("https://klasma.github.io/Logging_1485/fåglar/A 3427-2024 prioriterade fågelarter.docx", "A 3427-2024")</f>
        <v/>
      </c>
    </row>
    <row r="10" ht="15" customHeight="1">
      <c r="A10" t="inlineStr">
        <is>
          <t>A 62048-2024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45656</v>
      </c>
      <c r="E10" s="1" t="n">
        <v>46318</v>
      </c>
      <c r="F10" t="inlineStr">
        <is>
          <t>VÄSTRA GÖTALANDS LÄN</t>
        </is>
      </c>
      <c r="G10" t="inlineStr">
        <is>
          <t>UDDEVALLA</t>
        </is>
      </c>
      <c r="H10" t="inlineStr">
        <is>
          <t>Kommuner</t>
        </is>
      </c>
      <c r="I10" t="n">
        <v>3.8</v>
      </c>
      <c r="J10" t="n">
        <v>2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5</v>
      </c>
      <c r="U10" t="n">
        <v>3</v>
      </c>
      <c r="V10" s="2" t="inlineStr">
        <is>
          <t>Klippfrullania
Stor revmossa
Västlig hakmossa
Lopplummer (aggregat)
Revlummer</t>
        </is>
      </c>
      <c r="W10">
        <f>HYPERLINK("https://klasma.github.io/Logging_1485/artfynd/A 62048-2024 artfynd.xlsx", "A 62048-2024")</f>
        <v/>
      </c>
      <c r="X10">
        <f>HYPERLINK("https://klasma.github.io/Logging_1485/kartor/A 62048-2024 karta.png", "A 62048-2024")</f>
        <v/>
      </c>
      <c r="Y10">
        <f>HYPERLINK("https://klasma.github.io/Logging_1485/kartor_geotiff/A 62048-2024 georefererad karta.tif", "A 62048-2024")</f>
        <v/>
      </c>
      <c r="AA10">
        <f>HYPERLINK("https://klasma.github.io/Logging_1485/klagomål/A 62048-2024 FSC-klagomål.docx", "A 62048-2024")</f>
        <v/>
      </c>
      <c r="AB10">
        <f>HYPERLINK("https://klasma.github.io/Logging_1485/klagomålsmail/A 62048-2024 FSC-klagomål mail.docx", "A 62048-2024")</f>
        <v/>
      </c>
      <c r="AC10">
        <f>HYPERLINK("https://klasma.github.io/Logging_1485/tillsyn/A 62048-2024 tillsynsbegäran.docx", "A 62048-2024")</f>
        <v/>
      </c>
      <c r="AD10">
        <f>HYPERLINK("https://klasma.github.io/Logging_1485/tillsynsmail/A 62048-2024 tillsynsbegäran mail.docx", "A 62048-2024")</f>
        <v/>
      </c>
    </row>
    <row r="11" ht="15" customHeight="1">
      <c r="A11" t="inlineStr">
        <is>
          <t>A 42521-2026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46308</v>
      </c>
      <c r="E11" s="1" t="n">
        <v>46318</v>
      </c>
      <c r="F11" t="inlineStr">
        <is>
          <t>VÄSTRA GÖTALANDS LÄN</t>
        </is>
      </c>
      <c r="G11" t="inlineStr">
        <is>
          <t>UDDEVALLA</t>
        </is>
      </c>
      <c r="I11" t="n">
        <v>3.9</v>
      </c>
      <c r="J11" t="n">
        <v>1</v>
      </c>
      <c r="K11" t="n">
        <v>2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2</v>
      </c>
      <c r="R11" t="n">
        <v>1</v>
      </c>
      <c r="S11" t="n">
        <v>5</v>
      </c>
      <c r="T11" t="n">
        <v>5</v>
      </c>
      <c r="U11" t="n">
        <v>0</v>
      </c>
      <c r="V11" s="2" t="inlineStr">
        <is>
          <t>Ask
Gullpudra
Kambräken
Skogsbräsma
Blåsippa</t>
        </is>
      </c>
      <c r="W11">
        <f>HYPERLINK("https://klasma.github.io/Logging_1485/artfynd/A 42521-2026 artfynd.xlsx", "A 42521-2026")</f>
        <v/>
      </c>
      <c r="X11">
        <f>HYPERLINK("https://klasma.github.io/Logging_1485/kartor/A 42521-2026 karta.png", "A 42521-2026")</f>
        <v/>
      </c>
      <c r="Y11">
        <f>HYPERLINK("https://klasma.github.io/Logging_1485/kartor_geotiff/A 42521-2026 georefererad karta.tif", "A 42521-2026")</f>
        <v/>
      </c>
      <c r="AA11">
        <f>HYPERLINK("https://klasma.github.io/Logging_1485/klagomål/A 42521-2026 FSC-klagomål.docx", "A 42521-2026")</f>
        <v/>
      </c>
      <c r="AB11">
        <f>HYPERLINK("https://klasma.github.io/Logging_1485/klagomålsmail/A 42521-2026 FSC-klagomål mail.docx", "A 42521-2026")</f>
        <v/>
      </c>
      <c r="AC11">
        <f>HYPERLINK("https://klasma.github.io/Logging_1485/tillsyn/A 42521-2026 tillsynsbegäran.docx", "A 42521-2026")</f>
        <v/>
      </c>
      <c r="AD11">
        <f>HYPERLINK("https://klasma.github.io/Logging_1485/tillsynsmail/A 42521-2026 tillsynsbegäran mail.docx", "A 42521-2026")</f>
        <v/>
      </c>
    </row>
    <row r="12" ht="15" customHeight="1">
      <c r="A12" t="inlineStr">
        <is>
          <t>A 16347-2025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45751</v>
      </c>
      <c r="E12" s="1" t="n">
        <v>46318</v>
      </c>
      <c r="F12" t="inlineStr">
        <is>
          <t>VÄSTRA GÖTALANDS LÄN</t>
        </is>
      </c>
      <c r="G12" t="inlineStr">
        <is>
          <t>UDDEVALLA</t>
        </is>
      </c>
      <c r="I12" t="n">
        <v>3.8</v>
      </c>
      <c r="J12" t="n">
        <v>2</v>
      </c>
      <c r="K12" t="n">
        <v>2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2</v>
      </c>
      <c r="R12" t="n">
        <v>2</v>
      </c>
      <c r="S12" t="n">
        <v>5</v>
      </c>
      <c r="T12" t="n">
        <v>5</v>
      </c>
      <c r="U12" t="n">
        <v>2</v>
      </c>
      <c r="V12" s="2" t="inlineStr">
        <is>
          <t>Vitryggig hackspett
Garnlav
Klibbtickgnagare
Vedticka
Kopparödla</t>
        </is>
      </c>
      <c r="W12">
        <f>HYPERLINK("https://klasma.github.io/Logging_1485/artfynd/A 16347-2025 artfynd.xlsx", "A 16347-2025")</f>
        <v/>
      </c>
      <c r="X12">
        <f>HYPERLINK("https://klasma.github.io/Logging_1485/kartor/A 16347-2025 karta.png", "A 16347-2025")</f>
        <v/>
      </c>
      <c r="Y12">
        <f>HYPERLINK("https://klasma.github.io/Logging_1485/kartor_geotiff/A 16347-2025 georefererad karta.tif", "A 16347-2025")</f>
        <v/>
      </c>
      <c r="AA12">
        <f>HYPERLINK("https://klasma.github.io/Logging_1485/klagomål/A 16347-2025 FSC-klagomål.docx", "A 16347-2025")</f>
        <v/>
      </c>
      <c r="AB12">
        <f>HYPERLINK("https://klasma.github.io/Logging_1485/klagomålsmail/A 16347-2025 FSC-klagomål mail.docx", "A 16347-2025")</f>
        <v/>
      </c>
      <c r="AC12">
        <f>HYPERLINK("https://klasma.github.io/Logging_1485/tillsyn/A 16347-2025 tillsynsbegäran.docx", "A 16347-2025")</f>
        <v/>
      </c>
      <c r="AD12">
        <f>HYPERLINK("https://klasma.github.io/Logging_1485/tillsynsmail/A 16347-2025 tillsynsbegäran mail.docx", "A 16347-2025")</f>
        <v/>
      </c>
      <c r="AE12">
        <f>HYPERLINK("https://klasma.github.io/Logging_1485/fåglar/A 16347-2025 prioriterade fågelarter.docx", "A 16347-2025")</f>
        <v/>
      </c>
    </row>
    <row r="13" ht="15" customHeight="1">
      <c r="A13" t="inlineStr">
        <is>
          <t>A 34383-2026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46253</v>
      </c>
      <c r="E13" s="1" t="n">
        <v>46318</v>
      </c>
      <c r="F13" t="inlineStr">
        <is>
          <t>VÄSTRA GÖTALANDS LÄN</t>
        </is>
      </c>
      <c r="G13" t="inlineStr">
        <is>
          <t>UDDEVALLA</t>
        </is>
      </c>
      <c r="I13" t="n">
        <v>2.9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4</v>
      </c>
      <c r="T13" t="n">
        <v>4</v>
      </c>
      <c r="U13" t="n">
        <v>0</v>
      </c>
      <c r="V13" s="2" t="inlineStr">
        <is>
          <t>Knärot
Kärrviol
Spillkråka
Revlummer</t>
        </is>
      </c>
      <c r="W13">
        <f>HYPERLINK("https://klasma.github.io/Logging_1485/artfynd/A 34383-2026 artfynd.xlsx", "A 34383-2026")</f>
        <v/>
      </c>
      <c r="X13">
        <f>HYPERLINK("https://klasma.github.io/Logging_1485/kartor/A 34383-2026 karta.png", "A 34383-2026")</f>
        <v/>
      </c>
      <c r="Y13">
        <f>HYPERLINK("https://klasma.github.io/Logging_1485/kartor_geotiff/A 34383-2026 georefererad karta.tif", "A 34383-2026")</f>
        <v/>
      </c>
      <c r="Z13">
        <f>HYPERLINK("https://klasma.github.io/Logging_1485/knärot/A 34383-2026 karta knärot.png", "A 34383-2026")</f>
        <v/>
      </c>
      <c r="AA13">
        <f>HYPERLINK("https://klasma.github.io/Logging_1485/klagomål/A 34383-2026 FSC-klagomål.docx", "A 34383-2026")</f>
        <v/>
      </c>
      <c r="AB13">
        <f>HYPERLINK("https://klasma.github.io/Logging_1485/klagomålsmail/A 34383-2026 FSC-klagomål mail.docx", "A 34383-2026")</f>
        <v/>
      </c>
      <c r="AC13">
        <f>HYPERLINK("https://klasma.github.io/Logging_1485/tillsyn/A 34383-2026 tillsynsbegäran.docx", "A 34383-2026")</f>
        <v/>
      </c>
      <c r="AD13">
        <f>HYPERLINK("https://klasma.github.io/Logging_1485/tillsynsmail/A 34383-2026 tillsynsbegäran mail.docx", "A 34383-2026")</f>
        <v/>
      </c>
      <c r="AE13">
        <f>HYPERLINK("https://klasma.github.io/Logging_1485/fåglar/A 34383-2026 prioriterade fågelarter.docx", "A 34383-2026")</f>
        <v/>
      </c>
    </row>
    <row r="14" ht="15" customHeight="1">
      <c r="A14" t="inlineStr">
        <is>
          <t>A 45582-2025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45922</v>
      </c>
      <c r="E14" s="1" t="n">
        <v>46318</v>
      </c>
      <c r="F14" t="inlineStr">
        <is>
          <t>VÄSTRA GÖTALANDS LÄN</t>
        </is>
      </c>
      <c r="G14" t="inlineStr">
        <is>
          <t>UDDEVALLA</t>
        </is>
      </c>
      <c r="I14" t="n">
        <v>1.4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3</v>
      </c>
      <c r="T14" t="n">
        <v>3</v>
      </c>
      <c r="U14" t="n">
        <v>0</v>
      </c>
      <c r="V14" s="2" t="inlineStr">
        <is>
          <t>Ryl
Mandelriska
Mattlummer</t>
        </is>
      </c>
      <c r="W14">
        <f>HYPERLINK("https://klasma.github.io/Logging_1485/artfynd/A 45582-2025 artfynd.xlsx", "A 45582-2025")</f>
        <v/>
      </c>
      <c r="X14">
        <f>HYPERLINK("https://klasma.github.io/Logging_1485/kartor/A 45582-2025 karta.png", "A 45582-2025")</f>
        <v/>
      </c>
      <c r="Y14">
        <f>HYPERLINK("https://klasma.github.io/Logging_1485/kartor_geotiff/A 45582-2025 georefererad karta.tif", "A 45582-2025")</f>
        <v/>
      </c>
      <c r="AA14">
        <f>HYPERLINK("https://klasma.github.io/Logging_1485/klagomål/A 45582-2025 FSC-klagomål.docx", "A 45582-2025")</f>
        <v/>
      </c>
      <c r="AB14">
        <f>HYPERLINK("https://klasma.github.io/Logging_1485/klagomålsmail/A 45582-2025 FSC-klagomål mail.docx", "A 45582-2025")</f>
        <v/>
      </c>
      <c r="AC14">
        <f>HYPERLINK("https://klasma.github.io/Logging_1485/tillsyn/A 45582-2025 tillsynsbegäran.docx", "A 45582-2025")</f>
        <v/>
      </c>
      <c r="AD14">
        <f>HYPERLINK("https://klasma.github.io/Logging_1485/tillsynsmail/A 45582-2025 tillsynsbegäran mail.docx", "A 45582-2025")</f>
        <v/>
      </c>
    </row>
    <row r="15" ht="15" customHeight="1">
      <c r="A15" t="inlineStr">
        <is>
          <t>A 62065-2024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45656</v>
      </c>
      <c r="E15" s="1" t="n">
        <v>46318</v>
      </c>
      <c r="F15" t="inlineStr">
        <is>
          <t>VÄSTRA GÖTALANDS LÄN</t>
        </is>
      </c>
      <c r="G15" t="inlineStr">
        <is>
          <t>UDDEVALLA</t>
        </is>
      </c>
      <c r="H15" t="inlineStr">
        <is>
          <t>Kommuner</t>
        </is>
      </c>
      <c r="I15" t="n">
        <v>3.6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3</v>
      </c>
      <c r="U15" t="n">
        <v>0</v>
      </c>
      <c r="V15" s="2" t="inlineStr">
        <is>
          <t>Större vattensalamander
Mindre vattensalamander
Vanlig groda</t>
        </is>
      </c>
      <c r="W15">
        <f>HYPERLINK("https://klasma.github.io/Logging_1485/artfynd/A 62065-2024 artfynd.xlsx", "A 62065-2024")</f>
        <v/>
      </c>
      <c r="X15">
        <f>HYPERLINK("https://klasma.github.io/Logging_1485/kartor/A 62065-2024 karta.png", "A 62065-2024")</f>
        <v/>
      </c>
      <c r="Y15">
        <f>HYPERLINK("https://klasma.github.io/Logging_1485/kartor_geotiff/A 62065-2024 georefererad karta.tif", "A 62065-2024")</f>
        <v/>
      </c>
      <c r="AA15">
        <f>HYPERLINK("https://klasma.github.io/Logging_1485/klagomål/A 62065-2024 FSC-klagomål.docx", "A 62065-2024")</f>
        <v/>
      </c>
      <c r="AB15">
        <f>HYPERLINK("https://klasma.github.io/Logging_1485/klagomålsmail/A 62065-2024 FSC-klagomål mail.docx", "A 62065-2024")</f>
        <v/>
      </c>
      <c r="AC15">
        <f>HYPERLINK("https://klasma.github.io/Logging_1485/tillsyn/A 62065-2024 tillsynsbegäran.docx", "A 62065-2024")</f>
        <v/>
      </c>
      <c r="AD15">
        <f>HYPERLINK("https://klasma.github.io/Logging_1485/tillsynsmail/A 62065-2024 tillsynsbegäran mail.docx", "A 62065-2024")</f>
        <v/>
      </c>
    </row>
    <row r="16" ht="15" customHeight="1">
      <c r="A16" t="inlineStr">
        <is>
          <t>A 25010-2025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45799</v>
      </c>
      <c r="E16" s="1" t="n">
        <v>46318</v>
      </c>
      <c r="F16" t="inlineStr">
        <is>
          <t>VÄSTRA GÖTALANDS LÄN</t>
        </is>
      </c>
      <c r="G16" t="inlineStr">
        <is>
          <t>UDDEVALLA</t>
        </is>
      </c>
      <c r="H16" t="inlineStr">
        <is>
          <t>Kommuner</t>
        </is>
      </c>
      <c r="I16" t="n">
        <v>3.6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3</v>
      </c>
      <c r="U16" t="n">
        <v>0</v>
      </c>
      <c r="V16" s="2" t="inlineStr">
        <is>
          <t>Större vattensalamander
Mindre vattensalamander
Vanlig groda</t>
        </is>
      </c>
      <c r="W16">
        <f>HYPERLINK("https://klasma.github.io/Logging_1485/artfynd/A 25010-2025 artfynd.xlsx", "A 25010-2025")</f>
        <v/>
      </c>
      <c r="X16">
        <f>HYPERLINK("https://klasma.github.io/Logging_1485/kartor/A 25010-2025 karta.png", "A 25010-2025")</f>
        <v/>
      </c>
      <c r="Y16">
        <f>HYPERLINK("https://klasma.github.io/Logging_1485/kartor_geotiff/A 25010-2025 georefererad karta.tif", "A 25010-2025")</f>
        <v/>
      </c>
      <c r="AA16">
        <f>HYPERLINK("https://klasma.github.io/Logging_1485/klagomål/A 25010-2025 FSC-klagomål.docx", "A 25010-2025")</f>
        <v/>
      </c>
      <c r="AB16">
        <f>HYPERLINK("https://klasma.github.io/Logging_1485/klagomålsmail/A 25010-2025 FSC-klagomål mail.docx", "A 25010-2025")</f>
        <v/>
      </c>
      <c r="AC16">
        <f>HYPERLINK("https://klasma.github.io/Logging_1485/tillsyn/A 25010-2025 tillsynsbegäran.docx", "A 25010-2025")</f>
        <v/>
      </c>
      <c r="AD16">
        <f>HYPERLINK("https://klasma.github.io/Logging_1485/tillsynsmail/A 25010-2025 tillsynsbegäran mail.docx", "A 25010-2025")</f>
        <v/>
      </c>
    </row>
    <row r="17" ht="15" customHeight="1">
      <c r="A17" t="inlineStr">
        <is>
          <t>A 59552-2025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45990</v>
      </c>
      <c r="E17" s="1" t="n">
        <v>46318</v>
      </c>
      <c r="F17" t="inlineStr">
        <is>
          <t>VÄSTRA GÖTALANDS LÄN</t>
        </is>
      </c>
      <c r="G17" t="inlineStr">
        <is>
          <t>UDDEVALLA</t>
        </is>
      </c>
      <c r="I17" t="n">
        <v>5.1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</v>
      </c>
      <c r="T17" t="n">
        <v>4</v>
      </c>
      <c r="U17" t="n">
        <v>0</v>
      </c>
      <c r="V17" s="2" t="inlineStr">
        <is>
          <t>Kattfotslav
Stor revmossa
Revlummer</t>
        </is>
      </c>
      <c r="W17">
        <f>HYPERLINK("https://klasma.github.io/Logging_1485/artfynd/A 59552-2025 artfynd.xlsx", "A 59552-2025")</f>
        <v/>
      </c>
      <c r="X17">
        <f>HYPERLINK("https://klasma.github.io/Logging_1485/kartor/A 59552-2025 karta.png", "A 59552-2025")</f>
        <v/>
      </c>
      <c r="Y17">
        <f>HYPERLINK("https://klasma.github.io/Logging_1485/kartor_geotiff/A 59552-2025 georefererad karta.tif", "A 59552-2025")</f>
        <v/>
      </c>
      <c r="AA17">
        <f>HYPERLINK("https://klasma.github.io/Logging_1485/klagomål/A 59552-2025 FSC-klagomål.docx", "A 59552-2025")</f>
        <v/>
      </c>
      <c r="AB17">
        <f>HYPERLINK("https://klasma.github.io/Logging_1485/klagomålsmail/A 59552-2025 FSC-klagomål mail.docx", "A 59552-2025")</f>
        <v/>
      </c>
      <c r="AC17">
        <f>HYPERLINK("https://klasma.github.io/Logging_1485/tillsyn/A 59552-2025 tillsynsbegäran.docx", "A 59552-2025")</f>
        <v/>
      </c>
      <c r="AD17">
        <f>HYPERLINK("https://klasma.github.io/Logging_1485/tillsynsmail/A 59552-2025 tillsynsbegäran mail.docx", "A 59552-2025")</f>
        <v/>
      </c>
    </row>
    <row r="18" ht="15" customHeight="1">
      <c r="A18" t="inlineStr">
        <is>
          <t>A 3435-2024</t>
        </is>
      </c>
      <c r="B18" t="inlineStr">
        <is>
          <t>avverkningsanmälan</t>
        </is>
      </c>
      <c r="C18" t="inlineStr">
        <is>
          <t>Avverkning för annat ändamål</t>
        </is>
      </c>
      <c r="D18" s="1" t="n">
        <v>45317</v>
      </c>
      <c r="E18" s="1" t="n">
        <v>46318</v>
      </c>
      <c r="F18" t="inlineStr">
        <is>
          <t>VÄSTRA GÖTALANDS LÄN</t>
        </is>
      </c>
      <c r="G18" t="inlineStr">
        <is>
          <t>UDDEVALLA</t>
        </is>
      </c>
      <c r="H18" t="inlineStr">
        <is>
          <t>Kyrkan</t>
        </is>
      </c>
      <c r="I18" t="n">
        <v>1.9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4</v>
      </c>
      <c r="U18" t="n">
        <v>4</v>
      </c>
      <c r="V18" s="2" t="inlineStr">
        <is>
          <t>Blåmossa
Västlig hakmossa
Spillkråka</t>
        </is>
      </c>
      <c r="W18">
        <f>HYPERLINK("https://klasma.github.io/Logging_1485/artfynd/A 3435-2024 artfynd.xlsx", "A 3435-2024")</f>
        <v/>
      </c>
      <c r="X18">
        <f>HYPERLINK("https://klasma.github.io/Logging_1485/kartor/A 3435-2024 karta.png", "A 3435-2024")</f>
        <v/>
      </c>
      <c r="Y18">
        <f>HYPERLINK("https://klasma.github.io/Logging_1485/kartor_geotiff/A 3435-2024 georefererad karta.tif", "A 3435-2024")</f>
        <v/>
      </c>
      <c r="AA18">
        <f>HYPERLINK("https://klasma.github.io/Logging_1485/klagomål/A 3435-2024 FSC-klagomål.docx", "A 3435-2024")</f>
        <v/>
      </c>
      <c r="AB18">
        <f>HYPERLINK("https://klasma.github.io/Logging_1485/klagomålsmail/A 3435-2024 FSC-klagomål mail.docx", "A 3435-2024")</f>
        <v/>
      </c>
      <c r="AC18">
        <f>HYPERLINK("https://klasma.github.io/Logging_1485/tillsyn/A 3435-2024 tillsynsbegäran.docx", "A 3435-2024")</f>
        <v/>
      </c>
      <c r="AD18">
        <f>HYPERLINK("https://klasma.github.io/Logging_1485/tillsynsmail/A 3435-2024 tillsynsbegäran mail.docx", "A 3435-2024")</f>
        <v/>
      </c>
      <c r="AE18">
        <f>HYPERLINK("https://klasma.github.io/Logging_1485/fåglar/A 3435-2024 prioriterade fågelarter.docx", "A 3435-2024")</f>
        <v/>
      </c>
    </row>
    <row r="19" ht="15" customHeight="1">
      <c r="A19" t="inlineStr">
        <is>
          <t>A 24986-2026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46174</v>
      </c>
      <c r="E19" s="1" t="n">
        <v>46318</v>
      </c>
      <c r="F19" t="inlineStr">
        <is>
          <t>VÄSTRA GÖTALANDS LÄN</t>
        </is>
      </c>
      <c r="G19" t="inlineStr">
        <is>
          <t>UDDEVALLA</t>
        </is>
      </c>
      <c r="H19" t="inlineStr">
        <is>
          <t>Kommuner</t>
        </is>
      </c>
      <c r="I19" t="n">
        <v>2.4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3</v>
      </c>
      <c r="U19" t="n">
        <v>0</v>
      </c>
      <c r="V19" s="2" t="inlineStr">
        <is>
          <t>Kråka
Gullviva
Revlummer</t>
        </is>
      </c>
      <c r="W19">
        <f>HYPERLINK("https://klasma.github.io/Logging_1485/artfynd/A 24986-2026 artfynd.xlsx", "A 24986-2026")</f>
        <v/>
      </c>
      <c r="X19">
        <f>HYPERLINK("https://klasma.github.io/Logging_1485/kartor/A 24986-2026 karta.png", "A 24986-2026")</f>
        <v/>
      </c>
      <c r="Y19">
        <f>HYPERLINK("https://klasma.github.io/Logging_1485/kartor_geotiff/A 24986-2026 georefererad karta.tif", "A 24986-2026")</f>
        <v/>
      </c>
      <c r="AA19">
        <f>HYPERLINK("https://klasma.github.io/Logging_1485/klagomål/A 24986-2026 FSC-klagomål.docx", "A 24986-2026")</f>
        <v/>
      </c>
      <c r="AB19">
        <f>HYPERLINK("https://klasma.github.io/Logging_1485/klagomålsmail/A 24986-2026 FSC-klagomål mail.docx", "A 24986-2026")</f>
        <v/>
      </c>
      <c r="AC19">
        <f>HYPERLINK("https://klasma.github.io/Logging_1485/tillsyn/A 24986-2026 tillsynsbegäran.docx", "A 24986-2026")</f>
        <v/>
      </c>
      <c r="AD19">
        <f>HYPERLINK("https://klasma.github.io/Logging_1485/tillsynsmail/A 24986-2026 tillsynsbegäran mail.docx", "A 24986-2026")</f>
        <v/>
      </c>
    </row>
    <row r="20" ht="15" customHeight="1">
      <c r="A20" t="inlineStr">
        <is>
          <t>A 14063-2025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45740</v>
      </c>
      <c r="E20" s="1" t="n">
        <v>46318</v>
      </c>
      <c r="F20" t="inlineStr">
        <is>
          <t>VÄSTRA GÖTALANDS LÄN</t>
        </is>
      </c>
      <c r="G20" t="inlineStr">
        <is>
          <t>UDDEVALLA</t>
        </is>
      </c>
      <c r="I20" t="n">
        <v>8.800000000000001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3</v>
      </c>
      <c r="U20" t="n">
        <v>0</v>
      </c>
      <c r="V20" s="2" t="inlineStr">
        <is>
          <t>Granspira
Mattlummer
Lopplummer (aggregat)</t>
        </is>
      </c>
      <c r="W20">
        <f>HYPERLINK("https://klasma.github.io/Logging_1485/artfynd/A 14063-2025 artfynd.xlsx", "A 14063-2025")</f>
        <v/>
      </c>
      <c r="X20">
        <f>HYPERLINK("https://klasma.github.io/Logging_1485/kartor/A 14063-2025 karta.png", "A 14063-2025")</f>
        <v/>
      </c>
      <c r="Y20">
        <f>HYPERLINK("https://klasma.github.io/Logging_1485/kartor_geotiff/A 14063-2025 georefererad karta.tif", "A 14063-2025")</f>
        <v/>
      </c>
      <c r="AA20">
        <f>HYPERLINK("https://klasma.github.io/Logging_1485/klagomål/A 14063-2025 FSC-klagomål.docx", "A 14063-2025")</f>
        <v/>
      </c>
      <c r="AB20">
        <f>HYPERLINK("https://klasma.github.io/Logging_1485/klagomålsmail/A 14063-2025 FSC-klagomål mail.docx", "A 14063-2025")</f>
        <v/>
      </c>
      <c r="AC20">
        <f>HYPERLINK("https://klasma.github.io/Logging_1485/tillsyn/A 14063-2025 tillsynsbegäran.docx", "A 14063-2025")</f>
        <v/>
      </c>
      <c r="AD20">
        <f>HYPERLINK("https://klasma.github.io/Logging_1485/tillsynsmail/A 14063-2025 tillsynsbegäran mail.docx", "A 14063-2025")</f>
        <v/>
      </c>
    </row>
    <row r="21" ht="15" customHeight="1">
      <c r="A21" t="inlineStr">
        <is>
          <t>A 41292-2022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44825</v>
      </c>
      <c r="E21" s="1" t="n">
        <v>46318</v>
      </c>
      <c r="F21" t="inlineStr">
        <is>
          <t>VÄSTRA GÖTALANDS LÄN</t>
        </is>
      </c>
      <c r="G21" t="inlineStr">
        <is>
          <t>UDDEVALLA</t>
        </is>
      </c>
      <c r="H21" t="inlineStr">
        <is>
          <t>Kyrkan</t>
        </is>
      </c>
      <c r="I21" t="n">
        <v>9.699999999999999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  <c r="R21" t="n">
        <v>1</v>
      </c>
      <c r="S21" t="n">
        <v>2</v>
      </c>
      <c r="T21" t="n">
        <v>2</v>
      </c>
      <c r="U21" t="n">
        <v>0</v>
      </c>
      <c r="V21" s="2" t="inlineStr">
        <is>
          <t>Ask
Entita</t>
        </is>
      </c>
      <c r="W21">
        <f>HYPERLINK("https://klasma.github.io/Logging_1485/artfynd/A 41292-2022 artfynd.xlsx", "A 41292-2022")</f>
        <v/>
      </c>
      <c r="X21">
        <f>HYPERLINK("https://klasma.github.io/Logging_1485/kartor/A 41292-2022 karta.png", "A 41292-2022")</f>
        <v/>
      </c>
      <c r="Y21">
        <f>HYPERLINK("https://klasma.github.io/Logging_1485/kartor_geotiff/A 41292-2022 georefererad karta.tif", "A 41292-2022")</f>
        <v/>
      </c>
      <c r="AA21">
        <f>HYPERLINK("https://klasma.github.io/Logging_1485/klagomål/A 41292-2022 FSC-klagomål.docx", "A 41292-2022")</f>
        <v/>
      </c>
      <c r="AB21">
        <f>HYPERLINK("https://klasma.github.io/Logging_1485/klagomålsmail/A 41292-2022 FSC-klagomål mail.docx", "A 41292-2022")</f>
        <v/>
      </c>
      <c r="AC21">
        <f>HYPERLINK("https://klasma.github.io/Logging_1485/tillsyn/A 41292-2022 tillsynsbegäran.docx", "A 41292-2022")</f>
        <v/>
      </c>
      <c r="AD21">
        <f>HYPERLINK("https://klasma.github.io/Logging_1485/tillsynsmail/A 41292-2022 tillsynsbegäran mail.docx", "A 41292-2022")</f>
        <v/>
      </c>
      <c r="AE21">
        <f>HYPERLINK("https://klasma.github.io/Logging_1485/fåglar/A 41292-2022 prioriterade fågelarter.docx", "A 41292-2022")</f>
        <v/>
      </c>
    </row>
    <row r="22" ht="15" customHeight="1">
      <c r="A22" t="inlineStr">
        <is>
          <t>A 51747-2025</t>
        </is>
      </c>
      <c r="B22" t="inlineStr">
        <is>
          <t>avverkningsanmälan</t>
        </is>
      </c>
      <c r="C22" t="inlineStr">
        <is>
          <t>Avverkning för annat ändamål</t>
        </is>
      </c>
      <c r="D22" s="1" t="n">
        <v>45950</v>
      </c>
      <c r="E22" s="1" t="n">
        <v>46318</v>
      </c>
      <c r="F22" t="inlineStr">
        <is>
          <t>VÄSTRA GÖTALANDS LÄN</t>
        </is>
      </c>
      <c r="G22" t="inlineStr">
        <is>
          <t>UDDEVALLA</t>
        </is>
      </c>
      <c r="I22" t="n">
        <v>1.2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2</v>
      </c>
      <c r="V22" s="2" t="inlineStr">
        <is>
          <t>Mattlummer
Äkta lopplummer</t>
        </is>
      </c>
      <c r="W22">
        <f>HYPERLINK("https://klasma.github.io/Logging_1485/artfynd/A 51747-2025 artfynd.xlsx", "A 51747-2025")</f>
        <v/>
      </c>
      <c r="X22">
        <f>HYPERLINK("https://klasma.github.io/Logging_1485/kartor/A 51747-2025 karta.png", "A 51747-2025")</f>
        <v/>
      </c>
      <c r="Y22">
        <f>HYPERLINK("https://klasma.github.io/Logging_1485/kartor_geotiff/A 51747-2025 georefererad karta.tif", "A 51747-2025")</f>
        <v/>
      </c>
      <c r="AA22">
        <f>HYPERLINK("https://klasma.github.io/Logging_1485/klagomål/A 51747-2025 FSC-klagomål.docx", "A 51747-2025")</f>
        <v/>
      </c>
      <c r="AB22">
        <f>HYPERLINK("https://klasma.github.io/Logging_1485/klagomålsmail/A 51747-2025 FSC-klagomål mail.docx", "A 51747-2025")</f>
        <v/>
      </c>
      <c r="AC22">
        <f>HYPERLINK("https://klasma.github.io/Logging_1485/tillsyn/A 51747-2025 tillsynsbegäran.docx", "A 51747-2025")</f>
        <v/>
      </c>
      <c r="AD22">
        <f>HYPERLINK("https://klasma.github.io/Logging_1485/tillsynsmail/A 51747-2025 tillsynsbegäran mail.docx", "A 51747-2025")</f>
        <v/>
      </c>
    </row>
    <row r="23" ht="15" customHeight="1">
      <c r="A23" t="inlineStr">
        <is>
          <t>A 3432-2024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45317</v>
      </c>
      <c r="E23" s="1" t="n">
        <v>46318</v>
      </c>
      <c r="F23" t="inlineStr">
        <is>
          <t>VÄSTRA GÖTALANDS LÄN</t>
        </is>
      </c>
      <c r="G23" t="inlineStr">
        <is>
          <t>UDDEVALLA</t>
        </is>
      </c>
      <c r="H23" t="inlineStr">
        <is>
          <t>Kyrkan</t>
        </is>
      </c>
      <c r="I23" t="n">
        <v>3.1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2</v>
      </c>
      <c r="V23" s="2" t="inlineStr">
        <is>
          <t>Klippfrullania
Västlig hakmossa</t>
        </is>
      </c>
      <c r="W23">
        <f>HYPERLINK("https://klasma.github.io/Logging_1485/artfynd/A 3432-2024 artfynd.xlsx", "A 3432-2024")</f>
        <v/>
      </c>
      <c r="X23">
        <f>HYPERLINK("https://klasma.github.io/Logging_1485/kartor/A 3432-2024 karta.png", "A 3432-2024")</f>
        <v/>
      </c>
      <c r="Y23">
        <f>HYPERLINK("https://klasma.github.io/Logging_1485/kartor_geotiff/A 3432-2024 georefererad karta.tif", "A 3432-2024")</f>
        <v/>
      </c>
      <c r="AA23">
        <f>HYPERLINK("https://klasma.github.io/Logging_1485/klagomål/A 3432-2024 FSC-klagomål.docx", "A 3432-2024")</f>
        <v/>
      </c>
      <c r="AB23">
        <f>HYPERLINK("https://klasma.github.io/Logging_1485/klagomålsmail/A 3432-2024 FSC-klagomål mail.docx", "A 3432-2024")</f>
        <v/>
      </c>
      <c r="AC23">
        <f>HYPERLINK("https://klasma.github.io/Logging_1485/tillsyn/A 3432-2024 tillsynsbegäran.docx", "A 3432-2024")</f>
        <v/>
      </c>
      <c r="AD23">
        <f>HYPERLINK("https://klasma.github.io/Logging_1485/tillsynsmail/A 3432-2024 tillsynsbegäran mail.docx", "A 3432-2024")</f>
        <v/>
      </c>
    </row>
    <row r="24" ht="15" customHeight="1">
      <c r="A24" t="inlineStr">
        <is>
          <t>A 32523-2024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45513</v>
      </c>
      <c r="E24" s="1" t="n">
        <v>46318</v>
      </c>
      <c r="F24" t="inlineStr">
        <is>
          <t>VÄSTRA GÖTALANDS LÄN</t>
        </is>
      </c>
      <c r="G24" t="inlineStr">
        <is>
          <t>UDDEVALLA</t>
        </is>
      </c>
      <c r="I24" t="n">
        <v>1.5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4</v>
      </c>
      <c r="U24" t="n">
        <v>0</v>
      </c>
      <c r="V24" s="2" t="inlineStr">
        <is>
          <t>Grönhjon
Granbarkgnagare</t>
        </is>
      </c>
      <c r="W24">
        <f>HYPERLINK("https://klasma.github.io/Logging_1485/artfynd/A 32523-2024 artfynd.xlsx", "A 32523-2024")</f>
        <v/>
      </c>
      <c r="X24">
        <f>HYPERLINK("https://klasma.github.io/Logging_1485/kartor/A 32523-2024 karta.png", "A 32523-2024")</f>
        <v/>
      </c>
      <c r="Y24">
        <f>HYPERLINK("https://klasma.github.io/Logging_1485/kartor_geotiff/A 32523-2024 georefererad karta.tif", "A 32523-2024")</f>
        <v/>
      </c>
      <c r="AA24">
        <f>HYPERLINK("https://klasma.github.io/Logging_1485/klagomål/A 32523-2024 FSC-klagomål.docx", "A 32523-2024")</f>
        <v/>
      </c>
      <c r="AB24">
        <f>HYPERLINK("https://klasma.github.io/Logging_1485/klagomålsmail/A 32523-2024 FSC-klagomål mail.docx", "A 32523-2024")</f>
        <v/>
      </c>
      <c r="AC24">
        <f>HYPERLINK("https://klasma.github.io/Logging_1485/tillsyn/A 32523-2024 tillsynsbegäran.docx", "A 32523-2024")</f>
        <v/>
      </c>
      <c r="AD24">
        <f>HYPERLINK("https://klasma.github.io/Logging_1485/tillsynsmail/A 32523-2024 tillsynsbegäran mail.docx", "A 32523-2024")</f>
        <v/>
      </c>
    </row>
    <row r="25" ht="15" customHeight="1">
      <c r="A25" t="inlineStr">
        <is>
          <t>A 57654-2025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45981</v>
      </c>
      <c r="E25" s="1" t="n">
        <v>46318</v>
      </c>
      <c r="F25" t="inlineStr">
        <is>
          <t>VÄSTRA GÖTALANDS LÄN</t>
        </is>
      </c>
      <c r="G25" t="inlineStr">
        <is>
          <t>UDDEVALLA</t>
        </is>
      </c>
      <c r="I25" t="n">
        <v>4.2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2</v>
      </c>
      <c r="T25" t="n">
        <v>2</v>
      </c>
      <c r="U25" t="n">
        <v>0</v>
      </c>
      <c r="V25" s="2" t="inlineStr">
        <is>
          <t>Gullpudra
Lundvårlök</t>
        </is>
      </c>
      <c r="W25">
        <f>HYPERLINK("https://klasma.github.io/Logging_1485/artfynd/A 57654-2025 artfynd.xlsx", "A 57654-2025")</f>
        <v/>
      </c>
      <c r="X25">
        <f>HYPERLINK("https://klasma.github.io/Logging_1485/kartor/A 57654-2025 karta.png", "A 57654-2025")</f>
        <v/>
      </c>
      <c r="Y25">
        <f>HYPERLINK("https://klasma.github.io/Logging_1485/kartor_geotiff/A 57654-2025 georefererad karta.tif", "A 57654-2025")</f>
        <v/>
      </c>
      <c r="AA25">
        <f>HYPERLINK("https://klasma.github.io/Logging_1485/klagomål/A 57654-2025 FSC-klagomål.docx", "A 57654-2025")</f>
        <v/>
      </c>
      <c r="AB25">
        <f>HYPERLINK("https://klasma.github.io/Logging_1485/klagomålsmail/A 57654-2025 FSC-klagomål mail.docx", "A 57654-2025")</f>
        <v/>
      </c>
      <c r="AC25">
        <f>HYPERLINK("https://klasma.github.io/Logging_1485/tillsyn/A 57654-2025 tillsynsbegäran.docx", "A 57654-2025")</f>
        <v/>
      </c>
      <c r="AD25">
        <f>HYPERLINK("https://klasma.github.io/Logging_1485/tillsynsmail/A 57654-2025 tillsynsbegäran mail.docx", "A 57654-2025")</f>
        <v/>
      </c>
    </row>
    <row r="26" ht="15" customHeight="1">
      <c r="A26" t="inlineStr">
        <is>
          <t>A 8666-2024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45352</v>
      </c>
      <c r="E26" s="1" t="n">
        <v>46318</v>
      </c>
      <c r="F26" t="inlineStr">
        <is>
          <t>VÄSTRA GÖTALANDS LÄN</t>
        </is>
      </c>
      <c r="G26" t="inlineStr">
        <is>
          <t>UDDEVALLA</t>
        </is>
      </c>
      <c r="I26" t="n">
        <v>4.6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6</v>
      </c>
      <c r="U26" t="n">
        <v>6</v>
      </c>
      <c r="V26" s="2" t="inlineStr">
        <is>
          <t>Västlig hakmossa
Spillkråka</t>
        </is>
      </c>
      <c r="W26">
        <f>HYPERLINK("https://klasma.github.io/Logging_1485/artfynd/A 8666-2024 artfynd.xlsx", "A 8666-2024")</f>
        <v/>
      </c>
      <c r="X26">
        <f>HYPERLINK("https://klasma.github.io/Logging_1485/kartor/A 8666-2024 karta.png", "A 8666-2024")</f>
        <v/>
      </c>
      <c r="Y26">
        <f>HYPERLINK("https://klasma.github.io/Logging_1485/kartor_geotiff/A 8666-2024 georefererad karta.tif", "A 8666-2024")</f>
        <v/>
      </c>
      <c r="AA26">
        <f>HYPERLINK("https://klasma.github.io/Logging_1485/klagomål/A 8666-2024 FSC-klagomål.docx", "A 8666-2024")</f>
        <v/>
      </c>
      <c r="AB26">
        <f>HYPERLINK("https://klasma.github.io/Logging_1485/klagomålsmail/A 8666-2024 FSC-klagomål mail.docx", "A 8666-2024")</f>
        <v/>
      </c>
      <c r="AC26">
        <f>HYPERLINK("https://klasma.github.io/Logging_1485/tillsyn/A 8666-2024 tillsynsbegäran.docx", "A 8666-2024")</f>
        <v/>
      </c>
      <c r="AD26">
        <f>HYPERLINK("https://klasma.github.io/Logging_1485/tillsynsmail/A 8666-2024 tillsynsbegäran mail.docx", "A 8666-2024")</f>
        <v/>
      </c>
      <c r="AE26">
        <f>HYPERLINK("https://klasma.github.io/Logging_1485/fåglar/A 8666-2024 prioriterade fågelarter.docx", "A 8666-2024")</f>
        <v/>
      </c>
    </row>
    <row r="27" ht="15" customHeight="1">
      <c r="A27" t="inlineStr">
        <is>
          <t>A 266-2025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45653</v>
      </c>
      <c r="E27" s="1" t="n">
        <v>46318</v>
      </c>
      <c r="F27" t="inlineStr">
        <is>
          <t>VÄSTRA GÖTALANDS LÄN</t>
        </is>
      </c>
      <c r="G27" t="inlineStr">
        <is>
          <t>UDDEVALLA</t>
        </is>
      </c>
      <c r="I27" t="n">
        <v>3.4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2</v>
      </c>
      <c r="T27" t="n">
        <v>2</v>
      </c>
      <c r="U27" t="n">
        <v>2</v>
      </c>
      <c r="V27" s="2" t="inlineStr">
        <is>
          <t>Brunpudrad nållav
Blåmossa</t>
        </is>
      </c>
      <c r="W27">
        <f>HYPERLINK("https://klasma.github.io/Logging_1485/artfynd/A 266-2025 artfynd.xlsx", "A 266-2025")</f>
        <v/>
      </c>
      <c r="X27">
        <f>HYPERLINK("https://klasma.github.io/Logging_1485/kartor/A 266-2025 karta.png", "A 266-2025")</f>
        <v/>
      </c>
      <c r="Y27">
        <f>HYPERLINK("https://klasma.github.io/Logging_1485/kartor_geotiff/A 266-2025 georefererad karta.tif", "A 266-2025")</f>
        <v/>
      </c>
      <c r="AA27">
        <f>HYPERLINK("https://klasma.github.io/Logging_1485/klagomål/A 266-2025 FSC-klagomål.docx", "A 266-2025")</f>
        <v/>
      </c>
      <c r="AB27">
        <f>HYPERLINK("https://klasma.github.io/Logging_1485/klagomålsmail/A 266-2025 FSC-klagomål mail.docx", "A 266-2025")</f>
        <v/>
      </c>
      <c r="AC27">
        <f>HYPERLINK("https://klasma.github.io/Logging_1485/tillsyn/A 266-2025 tillsynsbegäran.docx", "A 266-2025")</f>
        <v/>
      </c>
      <c r="AD27">
        <f>HYPERLINK("https://klasma.github.io/Logging_1485/tillsynsmail/A 266-2025 tillsynsbegäran mail.docx", "A 266-2025")</f>
        <v/>
      </c>
    </row>
    <row r="28" ht="15" customHeight="1">
      <c r="A28" t="inlineStr">
        <is>
          <t>A 36880-2026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46273</v>
      </c>
      <c r="E28" s="1" t="n">
        <v>46318</v>
      </c>
      <c r="F28" t="inlineStr">
        <is>
          <t>VÄSTRA GÖTALANDS LÄN</t>
        </is>
      </c>
      <c r="G28" t="inlineStr">
        <is>
          <t>UDDEVALLA</t>
        </is>
      </c>
      <c r="I28" t="n">
        <v>0.5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2</v>
      </c>
      <c r="T28" t="n">
        <v>2</v>
      </c>
      <c r="U28" t="n">
        <v>0</v>
      </c>
      <c r="V28" s="2" t="inlineStr">
        <is>
          <t>Luddfingersvamp
Brandticka</t>
        </is>
      </c>
      <c r="W28">
        <f>HYPERLINK("https://klasma.github.io/Logging_1485/artfynd/A 36880-2026 artfynd.xlsx", "A 36880-2026")</f>
        <v/>
      </c>
      <c r="X28">
        <f>HYPERLINK("https://klasma.github.io/Logging_1485/kartor/A 36880-2026 karta.png", "A 36880-2026")</f>
        <v/>
      </c>
      <c r="Y28">
        <f>HYPERLINK("https://klasma.github.io/Logging_1485/kartor_geotiff/A 36880-2026 georefererad karta.tif", "A 36880-2026")</f>
        <v/>
      </c>
      <c r="AA28">
        <f>HYPERLINK("https://klasma.github.io/Logging_1485/klagomål/A 36880-2026 FSC-klagomål.docx", "A 36880-2026")</f>
        <v/>
      </c>
      <c r="AB28">
        <f>HYPERLINK("https://klasma.github.io/Logging_1485/klagomålsmail/A 36880-2026 FSC-klagomål mail.docx", "A 36880-2026")</f>
        <v/>
      </c>
      <c r="AC28">
        <f>HYPERLINK("https://klasma.github.io/Logging_1485/tillsyn/A 36880-2026 tillsynsbegäran.docx", "A 36880-2026")</f>
        <v/>
      </c>
      <c r="AD28">
        <f>HYPERLINK("https://klasma.github.io/Logging_1485/tillsynsmail/A 36880-2026 tillsynsbegäran mail.docx", "A 36880-2026")</f>
        <v/>
      </c>
    </row>
    <row r="29" ht="15" customHeight="1">
      <c r="A29" t="inlineStr">
        <is>
          <t>A 17995-2026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46124</v>
      </c>
      <c r="E29" s="1" t="n">
        <v>46318</v>
      </c>
      <c r="F29" t="inlineStr">
        <is>
          <t>VÄSTRA GÖTALANDS LÄN</t>
        </is>
      </c>
      <c r="G29" t="inlineStr">
        <is>
          <t>UDDEVALLA</t>
        </is>
      </c>
      <c r="I29" t="n">
        <v>3.8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1</v>
      </c>
      <c r="V29" s="2" t="inlineStr">
        <is>
          <t>Spillkråka
Revlummer</t>
        </is>
      </c>
      <c r="W29">
        <f>HYPERLINK("https://klasma.github.io/Logging_1485/artfynd/A 17995-2026 artfynd.xlsx", "A 17995-2026")</f>
        <v/>
      </c>
      <c r="X29">
        <f>HYPERLINK("https://klasma.github.io/Logging_1485/kartor/A 17995-2026 karta.png", "A 17995-2026")</f>
        <v/>
      </c>
      <c r="Y29">
        <f>HYPERLINK("https://klasma.github.io/Logging_1485/kartor_geotiff/A 17995-2026 georefererad karta.tif", "A 17995-2026")</f>
        <v/>
      </c>
      <c r="AA29">
        <f>HYPERLINK("https://klasma.github.io/Logging_1485/klagomål/A 17995-2026 FSC-klagomål.docx", "A 17995-2026")</f>
        <v/>
      </c>
      <c r="AB29">
        <f>HYPERLINK("https://klasma.github.io/Logging_1485/klagomålsmail/A 17995-2026 FSC-klagomål mail.docx", "A 17995-2026")</f>
        <v/>
      </c>
      <c r="AC29">
        <f>HYPERLINK("https://klasma.github.io/Logging_1485/tillsyn/A 17995-2026 tillsynsbegäran.docx", "A 17995-2026")</f>
        <v/>
      </c>
      <c r="AD29">
        <f>HYPERLINK("https://klasma.github.io/Logging_1485/tillsynsmail/A 17995-2026 tillsynsbegäran mail.docx", "A 17995-2026")</f>
        <v/>
      </c>
      <c r="AE29">
        <f>HYPERLINK("https://klasma.github.io/Logging_1485/fåglar/A 17995-2026 prioriterade fågelarter.docx", "A 17995-2026")</f>
        <v/>
      </c>
    </row>
    <row r="30" ht="15" customHeight="1">
      <c r="A30" t="inlineStr">
        <is>
          <t>A 32808-2026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46241</v>
      </c>
      <c r="E30" s="1" t="n">
        <v>46318</v>
      </c>
      <c r="F30" t="inlineStr">
        <is>
          <t>VÄSTRA GÖTALANDS LÄN</t>
        </is>
      </c>
      <c r="G30" t="inlineStr">
        <is>
          <t>UDDEVALLA</t>
        </is>
      </c>
      <c r="H30" t="inlineStr">
        <is>
          <t>Kyrkan</t>
        </is>
      </c>
      <c r="I30" t="n">
        <v>5.9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2</v>
      </c>
      <c r="U30" t="n">
        <v>0</v>
      </c>
      <c r="V30" s="2" t="inlineStr">
        <is>
          <t>Nordfladdermus
Revlummer</t>
        </is>
      </c>
      <c r="W30">
        <f>HYPERLINK("https://klasma.github.io/Logging_1485/artfynd/A 32808-2026 artfynd.xlsx", "A 32808-2026")</f>
        <v/>
      </c>
      <c r="X30">
        <f>HYPERLINK("https://klasma.github.io/Logging_1485/kartor/A 32808-2026 karta.png", "A 32808-2026")</f>
        <v/>
      </c>
      <c r="Y30">
        <f>HYPERLINK("https://klasma.github.io/Logging_1485/kartor_geotiff/A 32808-2026 georefererad karta.tif", "A 32808-2026")</f>
        <v/>
      </c>
      <c r="AA30">
        <f>HYPERLINK("https://klasma.github.io/Logging_1485/klagomål/A 32808-2026 FSC-klagomål.docx", "A 32808-2026")</f>
        <v/>
      </c>
      <c r="AB30">
        <f>HYPERLINK("https://klasma.github.io/Logging_1485/klagomålsmail/A 32808-2026 FSC-klagomål mail.docx", "A 32808-2026")</f>
        <v/>
      </c>
      <c r="AC30">
        <f>HYPERLINK("https://klasma.github.io/Logging_1485/tillsyn/A 32808-2026 tillsynsbegäran.docx", "A 32808-2026")</f>
        <v/>
      </c>
      <c r="AD30">
        <f>HYPERLINK("https://klasma.github.io/Logging_1485/tillsynsmail/A 32808-2026 tillsynsbegäran mail.docx", "A 32808-2026")</f>
        <v/>
      </c>
    </row>
    <row r="31" ht="15" customHeight="1">
      <c r="A31" t="inlineStr">
        <is>
          <t>A 65109-2023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45288</v>
      </c>
      <c r="E31" s="1" t="n">
        <v>46318</v>
      </c>
      <c r="F31" t="inlineStr">
        <is>
          <t>VÄSTRA GÖTALANDS LÄN</t>
        </is>
      </c>
      <c r="G31" t="inlineStr">
        <is>
          <t>UDDEVALLA</t>
        </is>
      </c>
      <c r="I31" t="n">
        <v>1.8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2</v>
      </c>
      <c r="U31" t="n">
        <v>0</v>
      </c>
      <c r="V31" s="2" t="inlineStr">
        <is>
          <t>Lunglav
Åttafläckig praktbagge</t>
        </is>
      </c>
      <c r="W31">
        <f>HYPERLINK("https://klasma.github.io/Logging_1485/artfynd/A 65109-2023 artfynd.xlsx", "A 65109-2023")</f>
        <v/>
      </c>
      <c r="X31">
        <f>HYPERLINK("https://klasma.github.io/Logging_1485/kartor/A 65109-2023 karta.png", "A 65109-2023")</f>
        <v/>
      </c>
      <c r="Y31">
        <f>HYPERLINK("https://klasma.github.io/Logging_1485/kartor_geotiff/A 65109-2023 georefererad karta.tif", "A 65109-2023")</f>
        <v/>
      </c>
      <c r="AA31">
        <f>HYPERLINK("https://klasma.github.io/Logging_1485/klagomål/A 65109-2023 FSC-klagomål.docx", "A 65109-2023")</f>
        <v/>
      </c>
      <c r="AB31">
        <f>HYPERLINK("https://klasma.github.io/Logging_1485/klagomålsmail/A 65109-2023 FSC-klagomål mail.docx", "A 65109-2023")</f>
        <v/>
      </c>
      <c r="AC31">
        <f>HYPERLINK("https://klasma.github.io/Logging_1485/tillsyn/A 65109-2023 tillsynsbegäran.docx", "A 65109-2023")</f>
        <v/>
      </c>
      <c r="AD31">
        <f>HYPERLINK("https://klasma.github.io/Logging_1485/tillsynsmail/A 65109-2023 tillsynsbegäran mail.docx", "A 65109-2023")</f>
        <v/>
      </c>
    </row>
    <row r="32" ht="15" customHeight="1">
      <c r="A32" t="inlineStr">
        <is>
          <t>A 34390-2026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46253</v>
      </c>
      <c r="E32" s="1" t="n">
        <v>46318</v>
      </c>
      <c r="F32" t="inlineStr">
        <is>
          <t>VÄSTRA GÖTALANDS LÄN</t>
        </is>
      </c>
      <c r="G32" t="inlineStr">
        <is>
          <t>UDDEVALLA</t>
        </is>
      </c>
      <c r="I32" t="n">
        <v>2.5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2</v>
      </c>
      <c r="U32" t="n">
        <v>0</v>
      </c>
      <c r="V32" s="2" t="inlineStr">
        <is>
          <t>Mindre hackspett
Större träfjäril</t>
        </is>
      </c>
      <c r="W32">
        <f>HYPERLINK("https://klasma.github.io/Logging_1485/artfynd/A 34390-2026 artfynd.xlsx", "A 34390-2026")</f>
        <v/>
      </c>
      <c r="X32">
        <f>HYPERLINK("https://klasma.github.io/Logging_1485/kartor/A 34390-2026 karta.png", "A 34390-2026")</f>
        <v/>
      </c>
      <c r="Y32">
        <f>HYPERLINK("https://klasma.github.io/Logging_1485/kartor_geotiff/A 34390-2026 georefererad karta.tif", "A 34390-2026")</f>
        <v/>
      </c>
      <c r="AA32">
        <f>HYPERLINK("https://klasma.github.io/Logging_1485/klagomål/A 34390-2026 FSC-klagomål.docx", "A 34390-2026")</f>
        <v/>
      </c>
      <c r="AB32">
        <f>HYPERLINK("https://klasma.github.io/Logging_1485/klagomålsmail/A 34390-2026 FSC-klagomål mail.docx", "A 34390-2026")</f>
        <v/>
      </c>
      <c r="AC32">
        <f>HYPERLINK("https://klasma.github.io/Logging_1485/tillsyn/A 34390-2026 tillsynsbegäran.docx", "A 34390-2026")</f>
        <v/>
      </c>
      <c r="AD32">
        <f>HYPERLINK("https://klasma.github.io/Logging_1485/tillsynsmail/A 34390-2026 tillsynsbegäran mail.docx", "A 34390-2026")</f>
        <v/>
      </c>
      <c r="AE32">
        <f>HYPERLINK("https://klasma.github.io/Logging_1485/fåglar/A 34390-2026 prioriterade fågelarter.docx", "A 34390-2026")</f>
        <v/>
      </c>
    </row>
    <row r="33" ht="15" customHeight="1">
      <c r="A33" t="inlineStr">
        <is>
          <t>A 32528-2024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45513</v>
      </c>
      <c r="E33" s="1" t="n">
        <v>46318</v>
      </c>
      <c r="F33" t="inlineStr">
        <is>
          <t>VÄSTRA GÖTALANDS LÄN</t>
        </is>
      </c>
      <c r="G33" t="inlineStr">
        <is>
          <t>UDDEVALLA</t>
        </is>
      </c>
      <c r="I33" t="n">
        <v>1.5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4</v>
      </c>
      <c r="U33" t="n">
        <v>0</v>
      </c>
      <c r="V33" s="2" t="inlineStr">
        <is>
          <t>Grönhjon
Granbarkgnagare</t>
        </is>
      </c>
      <c r="W33">
        <f>HYPERLINK("https://klasma.github.io/Logging_1485/artfynd/A 32528-2024 artfynd.xlsx", "A 32528-2024")</f>
        <v/>
      </c>
      <c r="X33">
        <f>HYPERLINK("https://klasma.github.io/Logging_1485/kartor/A 32528-2024 karta.png", "A 32528-2024")</f>
        <v/>
      </c>
      <c r="Y33">
        <f>HYPERLINK("https://klasma.github.io/Logging_1485/kartor_geotiff/A 32528-2024 georefererad karta.tif", "A 32528-2024")</f>
        <v/>
      </c>
      <c r="AA33">
        <f>HYPERLINK("https://klasma.github.io/Logging_1485/klagomål/A 32528-2024 FSC-klagomål.docx", "A 32528-2024")</f>
        <v/>
      </c>
      <c r="AB33">
        <f>HYPERLINK("https://klasma.github.io/Logging_1485/klagomålsmail/A 32528-2024 FSC-klagomål mail.docx", "A 32528-2024")</f>
        <v/>
      </c>
      <c r="AC33">
        <f>HYPERLINK("https://klasma.github.io/Logging_1485/tillsyn/A 32528-2024 tillsynsbegäran.docx", "A 32528-2024")</f>
        <v/>
      </c>
      <c r="AD33">
        <f>HYPERLINK("https://klasma.github.io/Logging_1485/tillsynsmail/A 32528-2024 tillsynsbegäran mail.docx", "A 32528-2024")</f>
        <v/>
      </c>
    </row>
    <row r="34" ht="15" customHeight="1">
      <c r="A34" t="inlineStr">
        <is>
          <t>A 16863-2025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45754</v>
      </c>
      <c r="E34" s="1" t="n">
        <v>46318</v>
      </c>
      <c r="F34" t="inlineStr">
        <is>
          <t>VÄSTRA GÖTALANDS LÄN</t>
        </is>
      </c>
      <c r="G34" t="inlineStr">
        <is>
          <t>UDDEVALLA</t>
        </is>
      </c>
      <c r="I34" t="n">
        <v>15.3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2</v>
      </c>
      <c r="U34" t="n">
        <v>0</v>
      </c>
      <c r="V34" s="2" t="inlineStr">
        <is>
          <t>Kambräken
Kopparödla</t>
        </is>
      </c>
      <c r="W34">
        <f>HYPERLINK("https://klasma.github.io/Logging_1485/artfynd/A 16863-2025 artfynd.xlsx", "A 16863-2025")</f>
        <v/>
      </c>
      <c r="X34">
        <f>HYPERLINK("https://klasma.github.io/Logging_1485/kartor/A 16863-2025 karta.png", "A 16863-2025")</f>
        <v/>
      </c>
      <c r="Y34">
        <f>HYPERLINK("https://klasma.github.io/Logging_1485/kartor_geotiff/A 16863-2025 georefererad karta.tif", "A 16863-2025")</f>
        <v/>
      </c>
      <c r="AA34">
        <f>HYPERLINK("https://klasma.github.io/Logging_1485/klagomål/A 16863-2025 FSC-klagomål.docx", "A 16863-2025")</f>
        <v/>
      </c>
      <c r="AB34">
        <f>HYPERLINK("https://klasma.github.io/Logging_1485/klagomålsmail/A 16863-2025 FSC-klagomål mail.docx", "A 16863-2025")</f>
        <v/>
      </c>
      <c r="AC34">
        <f>HYPERLINK("https://klasma.github.io/Logging_1485/tillsyn/A 16863-2025 tillsynsbegäran.docx", "A 16863-2025")</f>
        <v/>
      </c>
      <c r="AD34">
        <f>HYPERLINK("https://klasma.github.io/Logging_1485/tillsynsmail/A 16863-2025 tillsynsbegäran mail.docx", "A 16863-2025")</f>
        <v/>
      </c>
    </row>
    <row r="35" ht="15" customHeight="1">
      <c r="A35" t="inlineStr">
        <is>
          <t>A 25806-2022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44733</v>
      </c>
      <c r="E35" s="1" t="n">
        <v>46318</v>
      </c>
      <c r="F35" t="inlineStr">
        <is>
          <t>VÄSTRA GÖTALANDS LÄN</t>
        </is>
      </c>
      <c r="G35" t="inlineStr">
        <is>
          <t>UDDEVALLA</t>
        </is>
      </c>
      <c r="I35" t="n">
        <v>31.2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s="2" t="inlineStr">
        <is>
          <t>Duvhök</t>
        </is>
      </c>
      <c r="W35">
        <f>HYPERLINK("https://klasma.github.io/Logging_1485/artfynd/A 25806-2022 artfynd.xlsx", "A 25806-2022")</f>
        <v/>
      </c>
      <c r="X35">
        <f>HYPERLINK("https://klasma.github.io/Logging_1485/kartor/A 25806-2022 karta.png", "A 25806-2022")</f>
        <v/>
      </c>
      <c r="Y35">
        <f>HYPERLINK("https://klasma.github.io/Logging_1485/kartor_geotiff/A 25806-2022 georefererad karta.tif", "A 25806-2022")</f>
        <v/>
      </c>
      <c r="AA35">
        <f>HYPERLINK("https://klasma.github.io/Logging_1485/klagomål/A 25806-2022 FSC-klagomål.docx", "A 25806-2022")</f>
        <v/>
      </c>
      <c r="AB35">
        <f>HYPERLINK("https://klasma.github.io/Logging_1485/klagomålsmail/A 25806-2022 FSC-klagomål mail.docx", "A 25806-2022")</f>
        <v/>
      </c>
      <c r="AC35">
        <f>HYPERLINK("https://klasma.github.io/Logging_1485/tillsyn/A 25806-2022 tillsynsbegäran.docx", "A 25806-2022")</f>
        <v/>
      </c>
      <c r="AD35">
        <f>HYPERLINK("https://klasma.github.io/Logging_1485/tillsynsmail/A 25806-2022 tillsynsbegäran mail.docx", "A 25806-2022")</f>
        <v/>
      </c>
      <c r="AE35">
        <f>HYPERLINK("https://klasma.github.io/Logging_1485/fåglar/A 25806-2022 prioriterade fågelarter.docx", "A 25806-2022")</f>
        <v/>
      </c>
    </row>
    <row r="36" ht="15" customHeight="1">
      <c r="A36" t="inlineStr">
        <is>
          <t>A 34058-2023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45135</v>
      </c>
      <c r="E36" s="1" t="n">
        <v>46318</v>
      </c>
      <c r="F36" t="inlineStr">
        <is>
          <t>VÄSTRA GÖTALANDS LÄN</t>
        </is>
      </c>
      <c r="G36" t="inlineStr">
        <is>
          <t>UDDEVALLA</t>
        </is>
      </c>
      <c r="I36" t="n">
        <v>1.3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2</v>
      </c>
      <c r="U36" t="n">
        <v>0</v>
      </c>
      <c r="V36" s="2" t="inlineStr">
        <is>
          <t>Lundvaxskivling</t>
        </is>
      </c>
      <c r="W36">
        <f>HYPERLINK("https://klasma.github.io/Logging_1485/artfynd/A 34058-2023 artfynd.xlsx", "A 34058-2023")</f>
        <v/>
      </c>
      <c r="X36">
        <f>HYPERLINK("https://klasma.github.io/Logging_1485/kartor/A 34058-2023 karta.png", "A 34058-2023")</f>
        <v/>
      </c>
      <c r="Y36">
        <f>HYPERLINK("https://klasma.github.io/Logging_1485/kartor_geotiff/A 34058-2023 georefererad karta.tif", "A 34058-2023")</f>
        <v/>
      </c>
      <c r="AA36">
        <f>HYPERLINK("https://klasma.github.io/Logging_1485/klagomål/A 34058-2023 FSC-klagomål.docx", "A 34058-2023")</f>
        <v/>
      </c>
      <c r="AB36">
        <f>HYPERLINK("https://klasma.github.io/Logging_1485/klagomålsmail/A 34058-2023 FSC-klagomål mail.docx", "A 34058-2023")</f>
        <v/>
      </c>
      <c r="AC36">
        <f>HYPERLINK("https://klasma.github.io/Logging_1485/tillsyn/A 34058-2023 tillsynsbegäran.docx", "A 34058-2023")</f>
        <v/>
      </c>
      <c r="AD36">
        <f>HYPERLINK("https://klasma.github.io/Logging_1485/tillsynsmail/A 34058-2023 tillsynsbegäran mail.docx", "A 34058-2023")</f>
        <v/>
      </c>
    </row>
    <row r="37" ht="15" customHeight="1">
      <c r="A37" t="inlineStr">
        <is>
          <t>A 29691-2023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45107</v>
      </c>
      <c r="E37" s="1" t="n">
        <v>46318</v>
      </c>
      <c r="F37" t="inlineStr">
        <is>
          <t>VÄSTRA GÖTALANDS LÄN</t>
        </is>
      </c>
      <c r="G37" t="inlineStr">
        <is>
          <t>UDDEVALLA</t>
        </is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s="2" t="inlineStr">
        <is>
          <t>Kopparödla</t>
        </is>
      </c>
      <c r="W37">
        <f>HYPERLINK("https://klasma.github.io/Logging_1485/artfynd/A 29691-2023 artfynd.xlsx", "A 29691-2023")</f>
        <v/>
      </c>
      <c r="X37">
        <f>HYPERLINK("https://klasma.github.io/Logging_1485/kartor/A 29691-2023 karta.png", "A 29691-2023")</f>
        <v/>
      </c>
      <c r="Y37">
        <f>HYPERLINK("https://klasma.github.io/Logging_1485/kartor_geotiff/A 29691-2023 georefererad karta.tif", "A 29691-2023")</f>
        <v/>
      </c>
      <c r="AA37">
        <f>HYPERLINK("https://klasma.github.io/Logging_1485/klagomål/A 29691-2023 FSC-klagomål.docx", "A 29691-2023")</f>
        <v/>
      </c>
      <c r="AB37">
        <f>HYPERLINK("https://klasma.github.io/Logging_1485/klagomålsmail/A 29691-2023 FSC-klagomål mail.docx", "A 29691-2023")</f>
        <v/>
      </c>
      <c r="AC37">
        <f>HYPERLINK("https://klasma.github.io/Logging_1485/tillsyn/A 29691-2023 tillsynsbegäran.docx", "A 29691-2023")</f>
        <v/>
      </c>
      <c r="AD37">
        <f>HYPERLINK("https://klasma.github.io/Logging_1485/tillsynsmail/A 29691-2023 tillsynsbegäran mail.docx", "A 29691-2023")</f>
        <v/>
      </c>
    </row>
    <row r="38" ht="15" customHeight="1">
      <c r="A38" t="inlineStr">
        <is>
          <t>A 30954-2025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45832</v>
      </c>
      <c r="E38" s="1" t="n">
        <v>46318</v>
      </c>
      <c r="F38" t="inlineStr">
        <is>
          <t>VÄSTRA GÖTALANDS LÄN</t>
        </is>
      </c>
      <c r="G38" t="inlineStr">
        <is>
          <t>UDDEVALLA</t>
        </is>
      </c>
      <c r="I38" t="n">
        <v>11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Svinrot</t>
        </is>
      </c>
      <c r="W38">
        <f>HYPERLINK("https://klasma.github.io/Logging_1485/artfynd/A 30954-2025 artfynd.xlsx", "A 30954-2025")</f>
        <v/>
      </c>
      <c r="X38">
        <f>HYPERLINK("https://klasma.github.io/Logging_1485/kartor/A 30954-2025 karta.png", "A 30954-2025")</f>
        <v/>
      </c>
      <c r="Y38">
        <f>HYPERLINK("https://klasma.github.io/Logging_1485/kartor_geotiff/A 30954-2025 georefererad karta.tif", "A 30954-2025")</f>
        <v/>
      </c>
      <c r="AA38">
        <f>HYPERLINK("https://klasma.github.io/Logging_1485/klagomål/A 30954-2025 FSC-klagomål.docx", "A 30954-2025")</f>
        <v/>
      </c>
      <c r="AB38">
        <f>HYPERLINK("https://klasma.github.io/Logging_1485/klagomålsmail/A 30954-2025 FSC-klagomål mail.docx", "A 30954-2025")</f>
        <v/>
      </c>
      <c r="AC38">
        <f>HYPERLINK("https://klasma.github.io/Logging_1485/tillsyn/A 30954-2025 tillsynsbegäran.docx", "A 30954-2025")</f>
        <v/>
      </c>
      <c r="AD38">
        <f>HYPERLINK("https://klasma.github.io/Logging_1485/tillsynsmail/A 30954-2025 tillsynsbegäran mail.docx", "A 30954-2025")</f>
        <v/>
      </c>
    </row>
    <row r="39" ht="15" customHeight="1">
      <c r="A39" t="inlineStr">
        <is>
          <t>A 495-2023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44930</v>
      </c>
      <c r="E39" s="1" t="n">
        <v>46318</v>
      </c>
      <c r="F39" t="inlineStr">
        <is>
          <t>VÄSTRA GÖTALANDS LÄN</t>
        </is>
      </c>
      <c r="G39" t="inlineStr">
        <is>
          <t>UDDEVALLA</t>
        </is>
      </c>
      <c r="H39" t="inlineStr">
        <is>
          <t>Kommuner</t>
        </is>
      </c>
      <c r="I39" t="n">
        <v>3.7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s="2" t="inlineStr">
        <is>
          <t>Grönsångare</t>
        </is>
      </c>
      <c r="W39">
        <f>HYPERLINK("https://klasma.github.io/Logging_1485/artfynd/A 495-2023 artfynd.xlsx", "A 495-2023")</f>
        <v/>
      </c>
      <c r="X39">
        <f>HYPERLINK("https://klasma.github.io/Logging_1485/kartor/A 495-2023 karta.png", "A 495-2023")</f>
        <v/>
      </c>
      <c r="Y39">
        <f>HYPERLINK("https://klasma.github.io/Logging_1485/kartor_geotiff/A 495-2023 georefererad karta.tif", "A 495-2023")</f>
        <v/>
      </c>
      <c r="AA39">
        <f>HYPERLINK("https://klasma.github.io/Logging_1485/klagomål/A 495-2023 FSC-klagomål.docx", "A 495-2023")</f>
        <v/>
      </c>
      <c r="AB39">
        <f>HYPERLINK("https://klasma.github.io/Logging_1485/klagomålsmail/A 495-2023 FSC-klagomål mail.docx", "A 495-2023")</f>
        <v/>
      </c>
      <c r="AC39">
        <f>HYPERLINK("https://klasma.github.io/Logging_1485/tillsyn/A 495-2023 tillsynsbegäran.docx", "A 495-2023")</f>
        <v/>
      </c>
      <c r="AD39">
        <f>HYPERLINK("https://klasma.github.io/Logging_1485/tillsynsmail/A 495-2023 tillsynsbegäran mail.docx", "A 495-2023")</f>
        <v/>
      </c>
      <c r="AE39">
        <f>HYPERLINK("https://klasma.github.io/Logging_1485/fåglar/A 495-2023 prioriterade fågelarter.docx", "A 495-2023")</f>
        <v/>
      </c>
    </row>
    <row r="40" ht="15" customHeight="1">
      <c r="A40" t="inlineStr">
        <is>
          <t>A 50274-2024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45600</v>
      </c>
      <c r="E40" s="1" t="n">
        <v>46318</v>
      </c>
      <c r="F40" t="inlineStr">
        <is>
          <t>VÄSTRA GÖTALANDS LÄN</t>
        </is>
      </c>
      <c r="G40" t="inlineStr">
        <is>
          <t>UDDEVALLA</t>
        </is>
      </c>
      <c r="I40" t="n">
        <v>20.1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s="2" t="inlineStr">
        <is>
          <t>Grönsångare</t>
        </is>
      </c>
      <c r="W40">
        <f>HYPERLINK("https://klasma.github.io/Logging_1485/artfynd/A 50274-2024 artfynd.xlsx", "A 50274-2024")</f>
        <v/>
      </c>
      <c r="X40">
        <f>HYPERLINK("https://klasma.github.io/Logging_1485/kartor/A 50274-2024 karta.png", "A 50274-2024")</f>
        <v/>
      </c>
      <c r="Y40">
        <f>HYPERLINK("https://klasma.github.io/Logging_1485/kartor_geotiff/A 50274-2024 georefererad karta.tif", "A 50274-2024")</f>
        <v/>
      </c>
      <c r="AA40">
        <f>HYPERLINK("https://klasma.github.io/Logging_1485/klagomål/A 50274-2024 FSC-klagomål.docx", "A 50274-2024")</f>
        <v/>
      </c>
      <c r="AB40">
        <f>HYPERLINK("https://klasma.github.io/Logging_1485/klagomålsmail/A 50274-2024 FSC-klagomål mail.docx", "A 50274-2024")</f>
        <v/>
      </c>
      <c r="AC40">
        <f>HYPERLINK("https://klasma.github.io/Logging_1485/tillsyn/A 50274-2024 tillsynsbegäran.docx", "A 50274-2024")</f>
        <v/>
      </c>
      <c r="AD40">
        <f>HYPERLINK("https://klasma.github.io/Logging_1485/tillsynsmail/A 50274-2024 tillsynsbegäran mail.docx", "A 50274-2024")</f>
        <v/>
      </c>
      <c r="AE40">
        <f>HYPERLINK("https://klasma.github.io/Logging_1485/fåglar/A 50274-2024 prioriterade fågelarter.docx", "A 50274-2024")</f>
        <v/>
      </c>
    </row>
    <row r="41" ht="15" customHeight="1">
      <c r="A41" t="inlineStr">
        <is>
          <t>A 2429-2026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46036</v>
      </c>
      <c r="E41" s="1" t="n">
        <v>46318</v>
      </c>
      <c r="F41" t="inlineStr">
        <is>
          <t>VÄSTRA GÖTALANDS LÄN</t>
        </is>
      </c>
      <c r="G41" t="inlineStr">
        <is>
          <t>UDDEVALLA</t>
        </is>
      </c>
      <c r="I41" t="n">
        <v>7.6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s="2" t="inlineStr">
        <is>
          <t>Slåttergubbe</t>
        </is>
      </c>
      <c r="W41">
        <f>HYPERLINK("https://klasma.github.io/Logging_1485/artfynd/A 2429-2026 artfynd.xlsx", "A 2429-2026")</f>
        <v/>
      </c>
      <c r="X41">
        <f>HYPERLINK("https://klasma.github.io/Logging_1485/kartor/A 2429-2026 karta.png", "A 2429-2026")</f>
        <v/>
      </c>
      <c r="Y41">
        <f>HYPERLINK("https://klasma.github.io/Logging_1485/kartor_geotiff/A 2429-2026 georefererad karta.tif", "A 2429-2026")</f>
        <v/>
      </c>
      <c r="AA41">
        <f>HYPERLINK("https://klasma.github.io/Logging_1485/klagomål/A 2429-2026 FSC-klagomål.docx", "A 2429-2026")</f>
        <v/>
      </c>
      <c r="AB41">
        <f>HYPERLINK("https://klasma.github.io/Logging_1485/klagomålsmail/A 2429-2026 FSC-klagomål mail.docx", "A 2429-2026")</f>
        <v/>
      </c>
      <c r="AC41">
        <f>HYPERLINK("https://klasma.github.io/Logging_1485/tillsyn/A 2429-2026 tillsynsbegäran.docx", "A 2429-2026")</f>
        <v/>
      </c>
      <c r="AD41">
        <f>HYPERLINK("https://klasma.github.io/Logging_1485/tillsynsmail/A 2429-2026 tillsynsbegäran mail.docx", "A 2429-2026")</f>
        <v/>
      </c>
    </row>
    <row r="42" ht="15" customHeight="1">
      <c r="A42" t="inlineStr">
        <is>
          <t>A 23322-2025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45791</v>
      </c>
      <c r="E42" s="1" t="n">
        <v>46318</v>
      </c>
      <c r="F42" t="inlineStr">
        <is>
          <t>VÄSTRA GÖTALANDS LÄN</t>
        </is>
      </c>
      <c r="G42" t="inlineStr">
        <is>
          <t>UDDEVALLA</t>
        </is>
      </c>
      <c r="I42" t="n">
        <v>2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Kungsörn</t>
        </is>
      </c>
      <c r="W42">
        <f>HYPERLINK("https://klasma.github.io/Logging_1485/artfynd/A 23322-2025 artfynd.xlsx", "A 23322-2025")</f>
        <v/>
      </c>
      <c r="X42">
        <f>HYPERLINK("https://klasma.github.io/Logging_1485/kartor/A 23322-2025 karta.png", "A 23322-2025")</f>
        <v/>
      </c>
      <c r="Y42">
        <f>HYPERLINK("https://klasma.github.io/Logging_1485/kartor_geotiff/A 23322-2025 georefererad karta.tif", "A 23322-2025")</f>
        <v/>
      </c>
      <c r="AA42">
        <f>HYPERLINK("https://klasma.github.io/Logging_1485/klagomål/A 23322-2025 FSC-klagomål.docx", "A 23322-2025")</f>
        <v/>
      </c>
      <c r="AB42">
        <f>HYPERLINK("https://klasma.github.io/Logging_1485/klagomålsmail/A 23322-2025 FSC-klagomål mail.docx", "A 23322-2025")</f>
        <v/>
      </c>
      <c r="AC42">
        <f>HYPERLINK("https://klasma.github.io/Logging_1485/tillsyn/A 23322-2025 tillsynsbegäran.docx", "A 23322-2025")</f>
        <v/>
      </c>
      <c r="AD42">
        <f>HYPERLINK("https://klasma.github.io/Logging_1485/tillsynsmail/A 23322-2025 tillsynsbegäran mail.docx", "A 23322-2025")</f>
        <v/>
      </c>
      <c r="AE42">
        <f>HYPERLINK("https://klasma.github.io/Logging_1485/fåglar/A 23322-2025 prioriterade fågelarter.docx", "A 23322-2025")</f>
        <v/>
      </c>
    </row>
    <row r="43" ht="15" customHeight="1">
      <c r="A43" t="inlineStr">
        <is>
          <t>A 7770-2024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45348</v>
      </c>
      <c r="E43" s="1" t="n">
        <v>46318</v>
      </c>
      <c r="F43" t="inlineStr">
        <is>
          <t>VÄSTRA GÖTALANDS LÄN</t>
        </is>
      </c>
      <c r="G43" t="inlineStr">
        <is>
          <t>UDDEVALLA</t>
        </is>
      </c>
      <c r="H43" t="inlineStr">
        <is>
          <t>Kyrkan</t>
        </is>
      </c>
      <c r="I43" t="n">
        <v>6.2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s="2" t="inlineStr">
        <is>
          <t>Blåsippa</t>
        </is>
      </c>
      <c r="W43">
        <f>HYPERLINK("https://klasma.github.io/Logging_1485/artfynd/A 7770-2024 artfynd.xlsx", "A 7770-2024")</f>
        <v/>
      </c>
      <c r="X43">
        <f>HYPERLINK("https://klasma.github.io/Logging_1485/kartor/A 7770-2024 karta.png", "A 7770-2024")</f>
        <v/>
      </c>
      <c r="Y43">
        <f>HYPERLINK("https://klasma.github.io/Logging_1485/kartor_geotiff/A 7770-2024 georefererad karta.tif", "A 7770-2024")</f>
        <v/>
      </c>
      <c r="AA43">
        <f>HYPERLINK("https://klasma.github.io/Logging_1485/klagomål/A 7770-2024 FSC-klagomål.docx", "A 7770-2024")</f>
        <v/>
      </c>
      <c r="AB43">
        <f>HYPERLINK("https://klasma.github.io/Logging_1485/klagomålsmail/A 7770-2024 FSC-klagomål mail.docx", "A 7770-2024")</f>
        <v/>
      </c>
      <c r="AC43">
        <f>HYPERLINK("https://klasma.github.io/Logging_1485/tillsyn/A 7770-2024 tillsynsbegäran.docx", "A 7770-2024")</f>
        <v/>
      </c>
      <c r="AD43">
        <f>HYPERLINK("https://klasma.github.io/Logging_1485/tillsynsmail/A 7770-2024 tillsynsbegäran mail.docx", "A 7770-2024")</f>
        <v/>
      </c>
    </row>
    <row r="44" ht="15" customHeight="1">
      <c r="A44" t="inlineStr">
        <is>
          <t>A 43847-2026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46316</v>
      </c>
      <c r="E44" s="1" t="n">
        <v>46318</v>
      </c>
      <c r="F44" t="inlineStr">
        <is>
          <t>VÄSTRA GÖTALANDS LÄN</t>
        </is>
      </c>
      <c r="G44" t="inlineStr">
        <is>
          <t>UDDEVALLA</t>
        </is>
      </c>
      <c r="I44" t="n">
        <v>2.1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s="2" t="inlineStr">
        <is>
          <t>Revlummer</t>
        </is>
      </c>
      <c r="W44">
        <f>HYPERLINK("https://klasma.github.io/Logging_1485/artfynd/A 43847-2026 artfynd.xlsx", "A 43847-2026")</f>
        <v/>
      </c>
      <c r="X44">
        <f>HYPERLINK("https://klasma.github.io/Logging_1485/kartor/A 43847-2026 karta.png", "A 43847-2026")</f>
        <v/>
      </c>
      <c r="Y44">
        <f>HYPERLINK("https://klasma.github.io/Logging_1485/kartor_geotiff/A 43847-2026 georefererad karta.tif", "A 43847-2026")</f>
        <v/>
      </c>
      <c r="AA44">
        <f>HYPERLINK("https://klasma.github.io/Logging_1485/klagomål/A 43847-2026 FSC-klagomål.docx", "A 43847-2026")</f>
        <v/>
      </c>
      <c r="AB44">
        <f>HYPERLINK("https://klasma.github.io/Logging_1485/klagomålsmail/A 43847-2026 FSC-klagomål mail.docx", "A 43847-2026")</f>
        <v/>
      </c>
      <c r="AC44">
        <f>HYPERLINK("https://klasma.github.io/Logging_1485/tillsyn/A 43847-2026 tillsynsbegäran.docx", "A 43847-2026")</f>
        <v/>
      </c>
      <c r="AD44">
        <f>HYPERLINK("https://klasma.github.io/Logging_1485/tillsynsmail/A 43847-2026 tillsynsbegäran mail.docx", "A 43847-2026")</f>
        <v/>
      </c>
    </row>
    <row r="45" ht="15" customHeight="1">
      <c r="A45" t="inlineStr">
        <is>
          <t>A 22603-2023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45071</v>
      </c>
      <c r="E45" s="1" t="n">
        <v>46318</v>
      </c>
      <c r="F45" t="inlineStr">
        <is>
          <t>VÄSTRA GÖTALANDS LÄN</t>
        </is>
      </c>
      <c r="G45" t="inlineStr">
        <is>
          <t>UDDEVALLA</t>
        </is>
      </c>
      <c r="I45" t="n">
        <v>2.7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s="2" t="inlineStr">
        <is>
          <t>Gröngöling</t>
        </is>
      </c>
      <c r="W45">
        <f>HYPERLINK("https://klasma.github.io/Logging_1485/artfynd/A 22603-2023 artfynd.xlsx", "A 22603-2023")</f>
        <v/>
      </c>
      <c r="X45">
        <f>HYPERLINK("https://klasma.github.io/Logging_1485/kartor/A 22603-2023 karta.png", "A 22603-2023")</f>
        <v/>
      </c>
      <c r="Y45">
        <f>HYPERLINK("https://klasma.github.io/Logging_1485/kartor_geotiff/A 22603-2023 georefererad karta.tif", "A 22603-2023")</f>
        <v/>
      </c>
      <c r="AA45">
        <f>HYPERLINK("https://klasma.github.io/Logging_1485/klagomål/A 22603-2023 FSC-klagomål.docx", "A 22603-2023")</f>
        <v/>
      </c>
      <c r="AB45">
        <f>HYPERLINK("https://klasma.github.io/Logging_1485/klagomålsmail/A 22603-2023 FSC-klagomål mail.docx", "A 22603-2023")</f>
        <v/>
      </c>
      <c r="AC45">
        <f>HYPERLINK("https://klasma.github.io/Logging_1485/tillsyn/A 22603-2023 tillsynsbegäran.docx", "A 22603-2023")</f>
        <v/>
      </c>
      <c r="AD45">
        <f>HYPERLINK("https://klasma.github.io/Logging_1485/tillsynsmail/A 22603-2023 tillsynsbegäran mail.docx", "A 22603-2023")</f>
        <v/>
      </c>
    </row>
    <row r="46" ht="15" customHeight="1">
      <c r="A46" t="inlineStr">
        <is>
          <t>A 9424-2026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46071</v>
      </c>
      <c r="E46" s="1" t="n">
        <v>46318</v>
      </c>
      <c r="F46" t="inlineStr">
        <is>
          <t>VÄSTRA GÖTALANDS LÄN</t>
        </is>
      </c>
      <c r="G46" t="inlineStr">
        <is>
          <t>UDDEVALLA</t>
        </is>
      </c>
      <c r="I46" t="n">
        <v>4.3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s="2" t="inlineStr">
        <is>
          <t>Flotagräs</t>
        </is>
      </c>
      <c r="W46">
        <f>HYPERLINK("https://klasma.github.io/Logging_1485/artfynd/A 9424-2026 artfynd.xlsx", "A 9424-2026")</f>
        <v/>
      </c>
      <c r="X46">
        <f>HYPERLINK("https://klasma.github.io/Logging_1485/kartor/A 9424-2026 karta.png", "A 9424-2026")</f>
        <v/>
      </c>
      <c r="Y46">
        <f>HYPERLINK("https://klasma.github.io/Logging_1485/kartor_geotiff/A 9424-2026 georefererad karta.tif", "A 9424-2026")</f>
        <v/>
      </c>
      <c r="AA46">
        <f>HYPERLINK("https://klasma.github.io/Logging_1485/klagomål/A 9424-2026 FSC-klagomål.docx", "A 9424-2026")</f>
        <v/>
      </c>
      <c r="AB46">
        <f>HYPERLINK("https://klasma.github.io/Logging_1485/klagomålsmail/A 9424-2026 FSC-klagomål mail.docx", "A 9424-2026")</f>
        <v/>
      </c>
      <c r="AC46">
        <f>HYPERLINK("https://klasma.github.io/Logging_1485/tillsyn/A 9424-2026 tillsynsbegäran.docx", "A 9424-2026")</f>
        <v/>
      </c>
      <c r="AD46">
        <f>HYPERLINK("https://klasma.github.io/Logging_1485/tillsynsmail/A 9424-2026 tillsynsbegäran mail.docx", "A 9424-2026")</f>
        <v/>
      </c>
    </row>
    <row r="47" ht="15" customHeight="1">
      <c r="A47" t="inlineStr">
        <is>
          <t>A 236-2023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44928</v>
      </c>
      <c r="E47" s="1" t="n">
        <v>46318</v>
      </c>
      <c r="F47" t="inlineStr">
        <is>
          <t>VÄSTRA GÖTALANDS LÄN</t>
        </is>
      </c>
      <c r="G47" t="inlineStr">
        <is>
          <t>UDDEVALLA</t>
        </is>
      </c>
      <c r="I47" t="n">
        <v>16.7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Rödgul trumpetsvamp</t>
        </is>
      </c>
      <c r="W47">
        <f>HYPERLINK("https://klasma.github.io/Logging_1485/artfynd/A 236-2023 artfynd.xlsx", "A 236-2023")</f>
        <v/>
      </c>
      <c r="X47">
        <f>HYPERLINK("https://klasma.github.io/Logging_1485/kartor/A 236-2023 karta.png", "A 236-2023")</f>
        <v/>
      </c>
      <c r="Y47">
        <f>HYPERLINK("https://klasma.github.io/Logging_1485/kartor_geotiff/A 236-2023 georefererad karta.tif", "A 236-2023")</f>
        <v/>
      </c>
      <c r="AA47">
        <f>HYPERLINK("https://klasma.github.io/Logging_1485/klagomål/A 236-2023 FSC-klagomål.docx", "A 236-2023")</f>
        <v/>
      </c>
      <c r="AB47">
        <f>HYPERLINK("https://klasma.github.io/Logging_1485/klagomålsmail/A 236-2023 FSC-klagomål mail.docx", "A 236-2023")</f>
        <v/>
      </c>
      <c r="AC47">
        <f>HYPERLINK("https://klasma.github.io/Logging_1485/tillsyn/A 236-2023 tillsynsbegäran.docx", "A 236-2023")</f>
        <v/>
      </c>
      <c r="AD47">
        <f>HYPERLINK("https://klasma.github.io/Logging_1485/tillsynsmail/A 236-2023 tillsynsbegäran mail.docx", "A 236-2023")</f>
        <v/>
      </c>
    </row>
    <row r="48" ht="15" customHeight="1">
      <c r="A48" t="inlineStr">
        <is>
          <t>A 10865-2022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44627</v>
      </c>
      <c r="E48" s="1" t="n">
        <v>46318</v>
      </c>
      <c r="F48" t="inlineStr">
        <is>
          <t>VÄSTRA GÖTALANDS LÄN</t>
        </is>
      </c>
      <c r="G48" t="inlineStr">
        <is>
          <t>UDDEVALLA</t>
        </is>
      </c>
      <c r="I48" t="n">
        <v>3.9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Revlummer</t>
        </is>
      </c>
      <c r="W48">
        <f>HYPERLINK("https://klasma.github.io/Logging_1485/artfynd/A 10865-2022 artfynd.xlsx", "A 10865-2022")</f>
        <v/>
      </c>
      <c r="X48">
        <f>HYPERLINK("https://klasma.github.io/Logging_1485/kartor/A 10865-2022 karta.png", "A 10865-2022")</f>
        <v/>
      </c>
      <c r="Y48">
        <f>HYPERLINK("https://klasma.github.io/Logging_1485/kartor_geotiff/A 10865-2022 georefererad karta.tif", "A 10865-2022")</f>
        <v/>
      </c>
      <c r="AA48">
        <f>HYPERLINK("https://klasma.github.io/Logging_1485/klagomål/A 10865-2022 FSC-klagomål.docx", "A 10865-2022")</f>
        <v/>
      </c>
      <c r="AB48">
        <f>HYPERLINK("https://klasma.github.io/Logging_1485/klagomålsmail/A 10865-2022 FSC-klagomål mail.docx", "A 10865-2022")</f>
        <v/>
      </c>
      <c r="AC48">
        <f>HYPERLINK("https://klasma.github.io/Logging_1485/tillsyn/A 10865-2022 tillsynsbegäran.docx", "A 10865-2022")</f>
        <v/>
      </c>
      <c r="AD48">
        <f>HYPERLINK("https://klasma.github.io/Logging_1485/tillsynsmail/A 10865-2022 tillsynsbegäran mail.docx", "A 10865-2022")</f>
        <v/>
      </c>
    </row>
    <row r="49" ht="15" customHeight="1">
      <c r="A49" t="inlineStr">
        <is>
          <t>A 39966-2026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46292</v>
      </c>
      <c r="E49" s="1" t="n">
        <v>46318</v>
      </c>
      <c r="F49" t="inlineStr">
        <is>
          <t>VÄSTRA GÖTALANDS LÄN</t>
        </is>
      </c>
      <c r="G49" t="inlineStr">
        <is>
          <t>UDDEVALLA</t>
        </is>
      </c>
      <c r="H49" t="inlineStr">
        <is>
          <t>Kommuner</t>
        </is>
      </c>
      <c r="I49" t="n">
        <v>4.4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Blåsippa</t>
        </is>
      </c>
      <c r="W49">
        <f>HYPERLINK("https://klasma.github.io/Logging_1485/artfynd/A 39966-2026 artfynd.xlsx", "A 39966-2026")</f>
        <v/>
      </c>
      <c r="X49">
        <f>HYPERLINK("https://klasma.github.io/Logging_1485/kartor/A 39966-2026 karta.png", "A 39966-2026")</f>
        <v/>
      </c>
      <c r="Y49">
        <f>HYPERLINK("https://klasma.github.io/Logging_1485/kartor_geotiff/A 39966-2026 georefererad karta.tif", "A 39966-2026")</f>
        <v/>
      </c>
      <c r="AA49">
        <f>HYPERLINK("https://klasma.github.io/Logging_1485/klagomål/A 39966-2026 FSC-klagomål.docx", "A 39966-2026")</f>
        <v/>
      </c>
      <c r="AB49">
        <f>HYPERLINK("https://klasma.github.io/Logging_1485/klagomålsmail/A 39966-2026 FSC-klagomål mail.docx", "A 39966-2026")</f>
        <v/>
      </c>
      <c r="AC49">
        <f>HYPERLINK("https://klasma.github.io/Logging_1485/tillsyn/A 39966-2026 tillsynsbegäran.docx", "A 39966-2026")</f>
        <v/>
      </c>
      <c r="AD49">
        <f>HYPERLINK("https://klasma.github.io/Logging_1485/tillsynsmail/A 39966-2026 tillsynsbegäran mail.docx", "A 39966-2026")</f>
        <v/>
      </c>
    </row>
    <row r="50" ht="15" customHeight="1">
      <c r="A50" t="inlineStr">
        <is>
          <t>A 55288-2023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45237</v>
      </c>
      <c r="E50" s="1" t="n">
        <v>46318</v>
      </c>
      <c r="F50" t="inlineStr">
        <is>
          <t>VÄSTRA GÖTALANDS LÄN</t>
        </is>
      </c>
      <c r="G50" t="inlineStr">
        <is>
          <t>UDDEVALLA</t>
        </is>
      </c>
      <c r="I50" t="n">
        <v>5.2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s="2" t="inlineStr">
        <is>
          <t>Revlummer</t>
        </is>
      </c>
      <c r="W50">
        <f>HYPERLINK("https://klasma.github.io/Logging_1485/artfynd/A 55288-2023 artfynd.xlsx", "A 55288-2023")</f>
        <v/>
      </c>
      <c r="X50">
        <f>HYPERLINK("https://klasma.github.io/Logging_1485/kartor/A 55288-2023 karta.png", "A 55288-2023")</f>
        <v/>
      </c>
      <c r="Y50">
        <f>HYPERLINK("https://klasma.github.io/Logging_1485/kartor_geotiff/A 55288-2023 georefererad karta.tif", "A 55288-2023")</f>
        <v/>
      </c>
      <c r="AA50">
        <f>HYPERLINK("https://klasma.github.io/Logging_1485/klagomål/A 55288-2023 FSC-klagomål.docx", "A 55288-2023")</f>
        <v/>
      </c>
      <c r="AB50">
        <f>HYPERLINK("https://klasma.github.io/Logging_1485/klagomålsmail/A 55288-2023 FSC-klagomål mail.docx", "A 55288-2023")</f>
        <v/>
      </c>
      <c r="AC50">
        <f>HYPERLINK("https://klasma.github.io/Logging_1485/tillsyn/A 55288-2023 tillsynsbegäran.docx", "A 55288-2023")</f>
        <v/>
      </c>
      <c r="AD50">
        <f>HYPERLINK("https://klasma.github.io/Logging_1485/tillsynsmail/A 55288-2023 tillsynsbegäran mail.docx", "A 55288-2023")</f>
        <v/>
      </c>
    </row>
    <row r="51" ht="15" customHeight="1">
      <c r="A51" t="inlineStr">
        <is>
          <t>A 33812-2026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46251</v>
      </c>
      <c r="E51" s="1" t="n">
        <v>46318</v>
      </c>
      <c r="F51" t="inlineStr">
        <is>
          <t>VÄSTRA GÖTALANDS LÄN</t>
        </is>
      </c>
      <c r="G51" t="inlineStr">
        <is>
          <t>UDDEVALLA</t>
        </is>
      </c>
      <c r="H51" t="inlineStr">
        <is>
          <t>Kyrkan</t>
        </is>
      </c>
      <c r="I51" t="n">
        <v>2.8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s="2" t="inlineStr">
        <is>
          <t>Skogsbräsma</t>
        </is>
      </c>
      <c r="W51">
        <f>HYPERLINK("https://klasma.github.io/Logging_1485/artfynd/A 33812-2026 artfynd.xlsx", "A 33812-2026")</f>
        <v/>
      </c>
      <c r="X51">
        <f>HYPERLINK("https://klasma.github.io/Logging_1485/kartor/A 33812-2026 karta.png", "A 33812-2026")</f>
        <v/>
      </c>
      <c r="Y51">
        <f>HYPERLINK("https://klasma.github.io/Logging_1485/kartor_geotiff/A 33812-2026 georefererad karta.tif", "A 33812-2026")</f>
        <v/>
      </c>
      <c r="AA51">
        <f>HYPERLINK("https://klasma.github.io/Logging_1485/klagomål/A 33812-2026 FSC-klagomål.docx", "A 33812-2026")</f>
        <v/>
      </c>
      <c r="AB51">
        <f>HYPERLINK("https://klasma.github.io/Logging_1485/klagomålsmail/A 33812-2026 FSC-klagomål mail.docx", "A 33812-2026")</f>
        <v/>
      </c>
      <c r="AC51">
        <f>HYPERLINK("https://klasma.github.io/Logging_1485/tillsyn/A 33812-2026 tillsynsbegäran.docx", "A 33812-2026")</f>
        <v/>
      </c>
      <c r="AD51">
        <f>HYPERLINK("https://klasma.github.io/Logging_1485/tillsynsmail/A 33812-2026 tillsynsbegäran mail.docx", "A 33812-2026")</f>
        <v/>
      </c>
    </row>
    <row r="52" ht="15" customHeight="1">
      <c r="A52" t="inlineStr">
        <is>
          <t>A 23401-2023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45076</v>
      </c>
      <c r="E52" s="1" t="n">
        <v>46318</v>
      </c>
      <c r="F52" t="inlineStr">
        <is>
          <t>VÄSTRA GÖTALANDS LÄN</t>
        </is>
      </c>
      <c r="G52" t="inlineStr">
        <is>
          <t>UDDEVALLA</t>
        </is>
      </c>
      <c r="I52" t="n">
        <v>3.3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s="2" t="inlineStr">
        <is>
          <t>Vedticka</t>
        </is>
      </c>
      <c r="W52">
        <f>HYPERLINK("https://klasma.github.io/Logging_1485/artfynd/A 23401-2023 artfynd.xlsx", "A 23401-2023")</f>
        <v/>
      </c>
      <c r="X52">
        <f>HYPERLINK("https://klasma.github.io/Logging_1485/kartor/A 23401-2023 karta.png", "A 23401-2023")</f>
        <v/>
      </c>
      <c r="Y52">
        <f>HYPERLINK("https://klasma.github.io/Logging_1485/kartor_geotiff/A 23401-2023 georefererad karta.tif", "A 23401-2023")</f>
        <v/>
      </c>
      <c r="AA52">
        <f>HYPERLINK("https://klasma.github.io/Logging_1485/klagomål/A 23401-2023 FSC-klagomål.docx", "A 23401-2023")</f>
        <v/>
      </c>
      <c r="AB52">
        <f>HYPERLINK("https://klasma.github.io/Logging_1485/klagomålsmail/A 23401-2023 FSC-klagomål mail.docx", "A 23401-2023")</f>
        <v/>
      </c>
      <c r="AC52">
        <f>HYPERLINK("https://klasma.github.io/Logging_1485/tillsyn/A 23401-2023 tillsynsbegäran.docx", "A 23401-2023")</f>
        <v/>
      </c>
      <c r="AD52">
        <f>HYPERLINK("https://klasma.github.io/Logging_1485/tillsynsmail/A 23401-2023 tillsynsbegäran mail.docx", "A 23401-2023")</f>
        <v/>
      </c>
    </row>
    <row r="53" ht="15" customHeight="1">
      <c r="A53" t="inlineStr">
        <is>
          <t>A 42008-2026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46303</v>
      </c>
      <c r="E53" s="1" t="n">
        <v>46318</v>
      </c>
      <c r="F53" t="inlineStr">
        <is>
          <t>VÄSTRA GÖTALANDS LÄN</t>
        </is>
      </c>
      <c r="G53" t="inlineStr">
        <is>
          <t>UDDEVALLA</t>
        </is>
      </c>
      <c r="I53" t="n">
        <v>12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Revlummer</t>
        </is>
      </c>
      <c r="W53">
        <f>HYPERLINK("https://klasma.github.io/Logging_1485/artfynd/A 42008-2026 artfynd.xlsx", "A 42008-2026")</f>
        <v/>
      </c>
      <c r="X53">
        <f>HYPERLINK("https://klasma.github.io/Logging_1485/kartor/A 42008-2026 karta.png", "A 42008-2026")</f>
        <v/>
      </c>
      <c r="Y53">
        <f>HYPERLINK("https://klasma.github.io/Logging_1485/kartor_geotiff/A 42008-2026 georefererad karta.tif", "A 42008-2026")</f>
        <v/>
      </c>
      <c r="AA53">
        <f>HYPERLINK("https://klasma.github.io/Logging_1485/klagomål/A 42008-2026 FSC-klagomål.docx", "A 42008-2026")</f>
        <v/>
      </c>
      <c r="AB53">
        <f>HYPERLINK("https://klasma.github.io/Logging_1485/klagomålsmail/A 42008-2026 FSC-klagomål mail.docx", "A 42008-2026")</f>
        <v/>
      </c>
      <c r="AC53">
        <f>HYPERLINK("https://klasma.github.io/Logging_1485/tillsyn/A 42008-2026 tillsynsbegäran.docx", "A 42008-2026")</f>
        <v/>
      </c>
      <c r="AD53">
        <f>HYPERLINK("https://klasma.github.io/Logging_1485/tillsynsmail/A 42008-2026 tillsynsbegäran mail.docx", "A 42008-2026")</f>
        <v/>
      </c>
    </row>
    <row r="54" ht="15" customHeight="1">
      <c r="A54" t="inlineStr">
        <is>
          <t>A 42009-2026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46303</v>
      </c>
      <c r="E54" s="1" t="n">
        <v>46318</v>
      </c>
      <c r="F54" t="inlineStr">
        <is>
          <t>VÄSTRA GÖTALANDS LÄN</t>
        </is>
      </c>
      <c r="G54" t="inlineStr">
        <is>
          <t>UDDEVALLA</t>
        </is>
      </c>
      <c r="I54" t="n">
        <v>2.4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s="2" t="inlineStr">
        <is>
          <t>Revlummer</t>
        </is>
      </c>
      <c r="W54">
        <f>HYPERLINK("https://klasma.github.io/Logging_1485/artfynd/A 42009-2026 artfynd.xlsx", "A 42009-2026")</f>
        <v/>
      </c>
      <c r="X54">
        <f>HYPERLINK("https://klasma.github.io/Logging_1485/kartor/A 42009-2026 karta.png", "A 42009-2026")</f>
        <v/>
      </c>
      <c r="Y54">
        <f>HYPERLINK("https://klasma.github.io/Logging_1485/kartor_geotiff/A 42009-2026 georefererad karta.tif", "A 42009-2026")</f>
        <v/>
      </c>
      <c r="AA54">
        <f>HYPERLINK("https://klasma.github.io/Logging_1485/klagomål/A 42009-2026 FSC-klagomål.docx", "A 42009-2026")</f>
        <v/>
      </c>
      <c r="AB54">
        <f>HYPERLINK("https://klasma.github.io/Logging_1485/klagomålsmail/A 42009-2026 FSC-klagomål mail.docx", "A 42009-2026")</f>
        <v/>
      </c>
      <c r="AC54">
        <f>HYPERLINK("https://klasma.github.io/Logging_1485/tillsyn/A 42009-2026 tillsynsbegäran.docx", "A 42009-2026")</f>
        <v/>
      </c>
      <c r="AD54">
        <f>HYPERLINK("https://klasma.github.io/Logging_1485/tillsynsmail/A 42009-2026 tillsynsbegäran mail.docx", "A 42009-2026")</f>
        <v/>
      </c>
    </row>
    <row r="55" ht="15" customHeight="1">
      <c r="A55" t="inlineStr">
        <is>
          <t>A 1293-2024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45303</v>
      </c>
      <c r="E55" s="1" t="n">
        <v>46318</v>
      </c>
      <c r="F55" t="inlineStr">
        <is>
          <t>VÄSTRA GÖTALANDS LÄN</t>
        </is>
      </c>
      <c r="G55" t="inlineStr">
        <is>
          <t>UDDEVALLA</t>
        </is>
      </c>
      <c r="I55" t="n">
        <v>2.2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s="2" t="inlineStr">
        <is>
          <t>Tornseglare</t>
        </is>
      </c>
      <c r="W55">
        <f>HYPERLINK("https://klasma.github.io/Logging_1485/artfynd/A 1293-2024 artfynd.xlsx", "A 1293-2024")</f>
        <v/>
      </c>
      <c r="X55">
        <f>HYPERLINK("https://klasma.github.io/Logging_1485/kartor/A 1293-2024 karta.png", "A 1293-2024")</f>
        <v/>
      </c>
      <c r="Y55">
        <f>HYPERLINK("https://klasma.github.io/Logging_1485/kartor_geotiff/A 1293-2024 georefererad karta.tif", "A 1293-2024")</f>
        <v/>
      </c>
      <c r="AA55">
        <f>HYPERLINK("https://klasma.github.io/Logging_1485/klagomål/A 1293-2024 FSC-klagomål.docx", "A 1293-2024")</f>
        <v/>
      </c>
      <c r="AB55">
        <f>HYPERLINK("https://klasma.github.io/Logging_1485/klagomålsmail/A 1293-2024 FSC-klagomål mail.docx", "A 1293-2024")</f>
        <v/>
      </c>
      <c r="AC55">
        <f>HYPERLINK("https://klasma.github.io/Logging_1485/tillsyn/A 1293-2024 tillsynsbegäran.docx", "A 1293-2024")</f>
        <v/>
      </c>
      <c r="AD55">
        <f>HYPERLINK("https://klasma.github.io/Logging_1485/tillsynsmail/A 1293-2024 tillsynsbegäran mail.docx", "A 1293-2024")</f>
        <v/>
      </c>
      <c r="AE55">
        <f>HYPERLINK("https://klasma.github.io/Logging_1485/fåglar/A 1293-2024 prioriterade fågelarter.docx", "A 1293-2024")</f>
        <v/>
      </c>
    </row>
    <row r="56" ht="15" customHeight="1">
      <c r="A56" t="inlineStr">
        <is>
          <t>S 337-2024</t>
        </is>
      </c>
      <c r="B56" t="inlineStr">
        <is>
          <t>samrådsanmälan</t>
        </is>
      </c>
      <c r="C56" t="inlineStr">
        <is>
          <t>Askåterföring</t>
        </is>
      </c>
      <c r="D56" s="1" t="n">
        <v>45328</v>
      </c>
      <c r="E56" s="1" t="n">
        <v>46318</v>
      </c>
      <c r="F56" t="inlineStr">
        <is>
          <t>VÄSTRA GÖTALANDS LÄN</t>
        </is>
      </c>
      <c r="G56" t="inlineStr">
        <is>
          <t>UDDEVALLA</t>
        </is>
      </c>
      <c r="I56" t="n">
        <v>38.5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s="2" t="inlineStr">
        <is>
          <t>Tjäder</t>
        </is>
      </c>
      <c r="W56">
        <f>HYPERLINK("https://klasma.github.io/Logging_1485/artfynd/S 337-2024 artfynd.xlsx", "S 337-2024")</f>
        <v/>
      </c>
      <c r="X56">
        <f>HYPERLINK("https://klasma.github.io/Logging_1485/kartor/S 337-2024 karta.png", "S 337-2024")</f>
        <v/>
      </c>
      <c r="Y56">
        <f>HYPERLINK("https://klasma.github.io/Logging_1485/kartor_geotiff/S 337-2024 georefererad karta.tif", "S 337-2024")</f>
        <v/>
      </c>
      <c r="AA56">
        <f>HYPERLINK("https://klasma.github.io/Logging_1485/klagomål/S 337-2024 FSC-klagomål.docx", "S 337-2024")</f>
        <v/>
      </c>
      <c r="AB56">
        <f>HYPERLINK("https://klasma.github.io/Logging_1485/klagomålsmail/S 337-2024 FSC-klagomål mail.docx", "S 337-2024")</f>
        <v/>
      </c>
      <c r="AC56">
        <f>HYPERLINK("https://klasma.github.io/Logging_1485/tillsyn/S 337-2024 tillsynsbegäran.docx", "S 337-2024")</f>
        <v/>
      </c>
      <c r="AD56">
        <f>HYPERLINK("https://klasma.github.io/Logging_1485/tillsynsmail/S 337-2024 tillsynsbegäran mail.docx", "S 337-2024")</f>
        <v/>
      </c>
      <c r="AE56">
        <f>HYPERLINK("https://klasma.github.io/Logging_1485/fåglar/S 337-2024 prioriterade fågelarter.docx", "S 337-2024")</f>
        <v/>
      </c>
    </row>
    <row r="57" ht="15" customHeight="1">
      <c r="A57" t="inlineStr">
        <is>
          <t>A 41964-2022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44830</v>
      </c>
      <c r="E57" s="1" t="n">
        <v>46318</v>
      </c>
      <c r="F57" t="inlineStr">
        <is>
          <t>VÄSTRA GÖTALANDS LÄN</t>
        </is>
      </c>
      <c r="G57" t="inlineStr">
        <is>
          <t>UDDEVALLA</t>
        </is>
      </c>
      <c r="I57" t="n">
        <v>0.6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3607-2022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44586</v>
      </c>
      <c r="E58" s="1" t="n">
        <v>46318</v>
      </c>
      <c r="F58" t="inlineStr">
        <is>
          <t>VÄSTRA GÖTALANDS LÄN</t>
        </is>
      </c>
      <c r="G58" t="inlineStr">
        <is>
          <t>UDDEVALLA</t>
        </is>
      </c>
      <c r="I58" t="n">
        <v>5.5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70494-2021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44536</v>
      </c>
      <c r="E59" s="1" t="n">
        <v>46318</v>
      </c>
      <c r="F59" t="inlineStr">
        <is>
          <t>VÄSTRA GÖTALANDS LÄN</t>
        </is>
      </c>
      <c r="G59" t="inlineStr">
        <is>
          <t>UDDEVALLA</t>
        </is>
      </c>
      <c r="I59" t="n">
        <v>0.9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25811-2022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44733</v>
      </c>
      <c r="E60" s="1" t="n">
        <v>46318</v>
      </c>
      <c r="F60" t="inlineStr">
        <is>
          <t>VÄSTRA GÖTALANDS LÄN</t>
        </is>
      </c>
      <c r="G60" t="inlineStr">
        <is>
          <t>UDDEVALLA</t>
        </is>
      </c>
      <c r="I60" t="n">
        <v>4.2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1861-2022</t>
        </is>
      </c>
      <c r="B61" t="inlineStr">
        <is>
          <t>avverkningsanmälan</t>
        </is>
      </c>
      <c r="C61" t="inlineStr">
        <is>
          <t>Avverkning för att bevara och utveckla /försöksver</t>
        </is>
      </c>
      <c r="D61" s="1" t="n">
        <v>44574</v>
      </c>
      <c r="E61" s="1" t="n">
        <v>46318</v>
      </c>
      <c r="F61" t="inlineStr">
        <is>
          <t>VÄSTRA GÖTALANDS LÄN</t>
        </is>
      </c>
      <c r="G61" t="inlineStr">
        <is>
          <t>UDDEVALLA</t>
        </is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67260-2021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44523</v>
      </c>
      <c r="E62" s="1" t="n">
        <v>46318</v>
      </c>
      <c r="F62" t="inlineStr">
        <is>
          <t>VÄSTRA GÖTALANDS LÄN</t>
        </is>
      </c>
      <c r="G62" t="inlineStr">
        <is>
          <t>UDDEVALLA</t>
        </is>
      </c>
      <c r="I62" t="n">
        <v>1.7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3562-2022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44585</v>
      </c>
      <c r="E63" s="1" t="n">
        <v>46318</v>
      </c>
      <c r="F63" t="inlineStr">
        <is>
          <t>VÄSTRA GÖTALANDS LÄN</t>
        </is>
      </c>
      <c r="G63" t="inlineStr">
        <is>
          <t>UDDEVALLA</t>
        </is>
      </c>
      <c r="I63" t="n">
        <v>2.8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25807-2022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44733</v>
      </c>
      <c r="E64" s="1" t="n">
        <v>46318</v>
      </c>
      <c r="F64" t="inlineStr">
        <is>
          <t>VÄSTRA GÖTALANDS LÄN</t>
        </is>
      </c>
      <c r="G64" t="inlineStr">
        <is>
          <t>UDDEVALLA</t>
        </is>
      </c>
      <c r="I64" t="n">
        <v>6.8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6063-2022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44599</v>
      </c>
      <c r="E65" s="1" t="n">
        <v>46318</v>
      </c>
      <c r="F65" t="inlineStr">
        <is>
          <t>VÄSTRA GÖTALANDS LÄN</t>
        </is>
      </c>
      <c r="G65" t="inlineStr">
        <is>
          <t>UDDEVALLA</t>
        </is>
      </c>
      <c r="I65" t="n">
        <v>14.4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68702-2021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44529</v>
      </c>
      <c r="E66" s="1" t="n">
        <v>46318</v>
      </c>
      <c r="F66" t="inlineStr">
        <is>
          <t>VÄSTRA GÖTALANDS LÄN</t>
        </is>
      </c>
      <c r="G66" t="inlineStr">
        <is>
          <t>UDDEVALLA</t>
        </is>
      </c>
      <c r="I66" t="n">
        <v>1.1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61904-2021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44502</v>
      </c>
      <c r="E67" s="1" t="n">
        <v>46318</v>
      </c>
      <c r="F67" t="inlineStr">
        <is>
          <t>VÄSTRA GÖTALANDS LÄN</t>
        </is>
      </c>
      <c r="G67" t="inlineStr">
        <is>
          <t>UDDEVALLA</t>
        </is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65457-2021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44516</v>
      </c>
      <c r="E68" s="1" t="n">
        <v>46318</v>
      </c>
      <c r="F68" t="inlineStr">
        <is>
          <t>VÄSTRA GÖTALANDS LÄN</t>
        </is>
      </c>
      <c r="G68" t="inlineStr">
        <is>
          <t>UDDEVALLA</t>
        </is>
      </c>
      <c r="I68" t="n">
        <v>8.5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59857-2021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44494</v>
      </c>
      <c r="E69" s="1" t="n">
        <v>46318</v>
      </c>
      <c r="F69" t="inlineStr">
        <is>
          <t>VÄSTRA GÖTALANDS LÄN</t>
        </is>
      </c>
      <c r="G69" t="inlineStr">
        <is>
          <t>UDDEVALLA</t>
        </is>
      </c>
      <c r="I69" t="n">
        <v>1.5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26916-2023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45093</v>
      </c>
      <c r="E70" s="1" t="n">
        <v>46318</v>
      </c>
      <c r="F70" t="inlineStr">
        <is>
          <t>VÄSTRA GÖTALANDS LÄN</t>
        </is>
      </c>
      <c r="G70" t="inlineStr">
        <is>
          <t>UDDEVALLA</t>
        </is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1156-2022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44572</v>
      </c>
      <c r="E71" s="1" t="n">
        <v>46318</v>
      </c>
      <c r="F71" t="inlineStr">
        <is>
          <t>VÄSTRA GÖTALANDS LÄN</t>
        </is>
      </c>
      <c r="G71" t="inlineStr">
        <is>
          <t>UDDEVALLA</t>
        </is>
      </c>
      <c r="H71" t="inlineStr">
        <is>
          <t>Kommuner</t>
        </is>
      </c>
      <c r="I71" t="n">
        <v>4.5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8899-2022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44614</v>
      </c>
      <c r="E72" s="1" t="n">
        <v>46318</v>
      </c>
      <c r="F72" t="inlineStr">
        <is>
          <t>VÄSTRA GÖTALANDS LÄN</t>
        </is>
      </c>
      <c r="G72" t="inlineStr">
        <is>
          <t>UDDEVALLA</t>
        </is>
      </c>
      <c r="I72" t="n">
        <v>0.4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8893-2024</t>
        </is>
      </c>
      <c r="B73" t="inlineStr">
        <is>
          <t>avverkningsanmälan</t>
        </is>
      </c>
      <c r="C73" t="inlineStr">
        <is>
          <t>Avverkning för annat ändamål</t>
        </is>
      </c>
      <c r="D73" s="1" t="n">
        <v>45355</v>
      </c>
      <c r="E73" s="1" t="n">
        <v>46318</v>
      </c>
      <c r="F73" t="inlineStr">
        <is>
          <t>VÄSTRA GÖTALANDS LÄN</t>
        </is>
      </c>
      <c r="G73" t="inlineStr">
        <is>
          <t>UDDEVALLA</t>
        </is>
      </c>
      <c r="H73" t="inlineStr">
        <is>
          <t>Kyrkan</t>
        </is>
      </c>
      <c r="I73" t="n">
        <v>1.6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58385-2024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45633</v>
      </c>
      <c r="E74" s="1" t="n">
        <v>46318</v>
      </c>
      <c r="F74" t="inlineStr">
        <is>
          <t>VÄSTRA GÖTALANDS LÄN</t>
        </is>
      </c>
      <c r="G74" t="inlineStr">
        <is>
          <t>UDDEVALLA</t>
        </is>
      </c>
      <c r="I74" t="n">
        <v>0.7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50879-2024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45602</v>
      </c>
      <c r="E75" s="1" t="n">
        <v>46318</v>
      </c>
      <c r="F75" t="inlineStr">
        <is>
          <t>VÄSTRA GÖTALANDS LÄN</t>
        </is>
      </c>
      <c r="G75" t="inlineStr">
        <is>
          <t>UDDEVALLA</t>
        </is>
      </c>
      <c r="I75" t="n">
        <v>2.5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49780-2023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45212</v>
      </c>
      <c r="E76" s="1" t="n">
        <v>46318</v>
      </c>
      <c r="F76" t="inlineStr">
        <is>
          <t>VÄSTRA GÖTALANDS LÄN</t>
        </is>
      </c>
      <c r="G76" t="inlineStr">
        <is>
          <t>UDDEVALLA</t>
        </is>
      </c>
      <c r="I76" t="n">
        <v>7.3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10684-2022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44624</v>
      </c>
      <c r="E77" s="1" t="n">
        <v>46318</v>
      </c>
      <c r="F77" t="inlineStr">
        <is>
          <t>VÄSTRA GÖTALANDS LÄN</t>
        </is>
      </c>
      <c r="G77" t="inlineStr">
        <is>
          <t>UDDEVALLA</t>
        </is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10900-2025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45722</v>
      </c>
      <c r="E78" s="1" t="n">
        <v>46318</v>
      </c>
      <c r="F78" t="inlineStr">
        <is>
          <t>VÄSTRA GÖTALANDS LÄN</t>
        </is>
      </c>
      <c r="G78" t="inlineStr">
        <is>
          <t>UDDEVALLA</t>
        </is>
      </c>
      <c r="I78" t="n">
        <v>1.2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2306-2022</t>
        </is>
      </c>
      <c r="B79" t="inlineStr">
        <is>
          <t>avverkningsanmälan</t>
        </is>
      </c>
      <c r="C79" t="inlineStr">
        <is>
          <t>Avverkning för annat ändamål</t>
        </is>
      </c>
      <c r="D79" s="1" t="n">
        <v>44578</v>
      </c>
      <c r="E79" s="1" t="n">
        <v>46318</v>
      </c>
      <c r="F79" t="inlineStr">
        <is>
          <t>VÄSTRA GÖTALANDS LÄN</t>
        </is>
      </c>
      <c r="G79" t="inlineStr">
        <is>
          <t>UDDEVALLA</t>
        </is>
      </c>
      <c r="I79" t="n">
        <v>2.4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39355-2024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45551</v>
      </c>
      <c r="E80" s="1" t="n">
        <v>46318</v>
      </c>
      <c r="F80" t="inlineStr">
        <is>
          <t>VÄSTRA GÖTALANDS LÄN</t>
        </is>
      </c>
      <c r="G80" t="inlineStr">
        <is>
          <t>UDDEVALLA</t>
        </is>
      </c>
      <c r="I80" t="n">
        <v>3.7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23895-2024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45455</v>
      </c>
      <c r="E81" s="1" t="n">
        <v>46318</v>
      </c>
      <c r="F81" t="inlineStr">
        <is>
          <t>VÄSTRA GÖTALANDS LÄN</t>
        </is>
      </c>
      <c r="G81" t="inlineStr">
        <is>
          <t>UDDEVALLA</t>
        </is>
      </c>
      <c r="I81" t="n">
        <v>1.5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59474-2022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44900</v>
      </c>
      <c r="E82" s="1" t="n">
        <v>46318</v>
      </c>
      <c r="F82" t="inlineStr">
        <is>
          <t>VÄSTRA GÖTALANDS LÄN</t>
        </is>
      </c>
      <c r="G82" t="inlineStr">
        <is>
          <t>UDDEVALLA</t>
        </is>
      </c>
      <c r="H82" t="inlineStr">
        <is>
          <t>Kyrkan</t>
        </is>
      </c>
      <c r="I82" t="n">
        <v>2.2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4037-2025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45684</v>
      </c>
      <c r="E83" s="1" t="n">
        <v>46318</v>
      </c>
      <c r="F83" t="inlineStr">
        <is>
          <t>VÄSTRA GÖTALANDS LÄN</t>
        </is>
      </c>
      <c r="G83" t="inlineStr">
        <is>
          <t>UDDEVALLA</t>
        </is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40297-2024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45554</v>
      </c>
      <c r="E84" s="1" t="n">
        <v>46318</v>
      </c>
      <c r="F84" t="inlineStr">
        <is>
          <t>VÄSTRA GÖTALANDS LÄN</t>
        </is>
      </c>
      <c r="G84" t="inlineStr">
        <is>
          <t>UDDEVALLA</t>
        </is>
      </c>
      <c r="I84" t="n">
        <v>6.7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11076-2025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45723</v>
      </c>
      <c r="E85" s="1" t="n">
        <v>46318</v>
      </c>
      <c r="F85" t="inlineStr">
        <is>
          <t>VÄSTRA GÖTALANDS LÄN</t>
        </is>
      </c>
      <c r="G85" t="inlineStr">
        <is>
          <t>UDDEVALLA</t>
        </is>
      </c>
      <c r="I85" t="n">
        <v>3.3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43271-2023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45183</v>
      </c>
      <c r="E86" s="1" t="n">
        <v>46318</v>
      </c>
      <c r="F86" t="inlineStr">
        <is>
          <t>VÄSTRA GÖTALANDS LÄN</t>
        </is>
      </c>
      <c r="G86" t="inlineStr">
        <is>
          <t>UDDEVALLA</t>
        </is>
      </c>
      <c r="I86" t="n">
        <v>1.6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25519-2023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45089</v>
      </c>
      <c r="E87" s="1" t="n">
        <v>46318</v>
      </c>
      <c r="F87" t="inlineStr">
        <is>
          <t>VÄSTRA GÖTALANDS LÄN</t>
        </is>
      </c>
      <c r="G87" t="inlineStr">
        <is>
          <t>UDDEVALLA</t>
        </is>
      </c>
      <c r="I87" t="n">
        <v>0.7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70491-2021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44536</v>
      </c>
      <c r="E88" s="1" t="n">
        <v>46318</v>
      </c>
      <c r="F88" t="inlineStr">
        <is>
          <t>VÄSTRA GÖTALANDS LÄN</t>
        </is>
      </c>
      <c r="G88" t="inlineStr">
        <is>
          <t>UDDEVALLA</t>
        </is>
      </c>
      <c r="I88" t="n">
        <v>0.3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39121-2024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45548</v>
      </c>
      <c r="E89" s="1" t="n">
        <v>46318</v>
      </c>
      <c r="F89" t="inlineStr">
        <is>
          <t>VÄSTRA GÖTALANDS LÄN</t>
        </is>
      </c>
      <c r="G89" t="inlineStr">
        <is>
          <t>UDDEVALLA</t>
        </is>
      </c>
      <c r="I89" t="n">
        <v>0.6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25469-2024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45463</v>
      </c>
      <c r="E90" s="1" t="n">
        <v>46318</v>
      </c>
      <c r="F90" t="inlineStr">
        <is>
          <t>VÄSTRA GÖTALANDS LÄN</t>
        </is>
      </c>
      <c r="G90" t="inlineStr">
        <is>
          <t>UDDEVALLA</t>
        </is>
      </c>
      <c r="I90" t="n">
        <v>0.6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33293-2025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45840</v>
      </c>
      <c r="E91" s="1" t="n">
        <v>46318</v>
      </c>
      <c r="F91" t="inlineStr">
        <is>
          <t>VÄSTRA GÖTALANDS LÄN</t>
        </is>
      </c>
      <c r="G91" t="inlineStr">
        <is>
          <t>UDDEVALLA</t>
        </is>
      </c>
      <c r="I91" t="n">
        <v>2.3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5557-2023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44960</v>
      </c>
      <c r="E92" s="1" t="n">
        <v>46318</v>
      </c>
      <c r="F92" t="inlineStr">
        <is>
          <t>VÄSTRA GÖTALANDS LÄN</t>
        </is>
      </c>
      <c r="G92" t="inlineStr">
        <is>
          <t>UDDEVALLA</t>
        </is>
      </c>
      <c r="I92" t="n">
        <v>5.2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10333-2024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45365</v>
      </c>
      <c r="E93" s="1" t="n">
        <v>46318</v>
      </c>
      <c r="F93" t="inlineStr">
        <is>
          <t>VÄSTRA GÖTALANDS LÄN</t>
        </is>
      </c>
      <c r="G93" t="inlineStr">
        <is>
          <t>UDDEVALLA</t>
        </is>
      </c>
      <c r="I93" t="n">
        <v>3.4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21581-2023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45063</v>
      </c>
      <c r="E94" s="1" t="n">
        <v>46318</v>
      </c>
      <c r="F94" t="inlineStr">
        <is>
          <t>VÄSTRA GÖTALANDS LÄN</t>
        </is>
      </c>
      <c r="G94" t="inlineStr">
        <is>
          <t>UDDEVALLA</t>
        </is>
      </c>
      <c r="I94" t="n">
        <v>0.4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38389-2023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45162</v>
      </c>
      <c r="E95" s="1" t="n">
        <v>46318</v>
      </c>
      <c r="F95" t="inlineStr">
        <is>
          <t>VÄSTRA GÖTALANDS LÄN</t>
        </is>
      </c>
      <c r="G95" t="inlineStr">
        <is>
          <t>UDDEVALLA</t>
        </is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43426-2024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45568</v>
      </c>
      <c r="E96" s="1" t="n">
        <v>46318</v>
      </c>
      <c r="F96" t="inlineStr">
        <is>
          <t>VÄSTRA GÖTALANDS LÄN</t>
        </is>
      </c>
      <c r="G96" t="inlineStr">
        <is>
          <t>UDDEVALLA</t>
        </is>
      </c>
      <c r="I96" t="n">
        <v>5.2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27524-2023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45097</v>
      </c>
      <c r="E97" s="1" t="n">
        <v>46318</v>
      </c>
      <c r="F97" t="inlineStr">
        <is>
          <t>VÄSTRA GÖTALANDS LÄN</t>
        </is>
      </c>
      <c r="G97" t="inlineStr">
        <is>
          <t>UDDEVALLA</t>
        </is>
      </c>
      <c r="I97" t="n">
        <v>0.7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7726-2024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45349</v>
      </c>
      <c r="E98" s="1" t="n">
        <v>46318</v>
      </c>
      <c r="F98" t="inlineStr">
        <is>
          <t>VÄSTRA GÖTALANDS LÄN</t>
        </is>
      </c>
      <c r="G98" t="inlineStr">
        <is>
          <t>UDDEVALLA</t>
        </is>
      </c>
      <c r="I98" t="n">
        <v>2.3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29928-2025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45826</v>
      </c>
      <c r="E99" s="1" t="n">
        <v>46318</v>
      </c>
      <c r="F99" t="inlineStr">
        <is>
          <t>VÄSTRA GÖTALANDS LÄN</t>
        </is>
      </c>
      <c r="G99" t="inlineStr">
        <is>
          <t>UDDEVALLA</t>
        </is>
      </c>
      <c r="I99" t="n">
        <v>3.4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29929-2025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45826</v>
      </c>
      <c r="E100" s="1" t="n">
        <v>46318</v>
      </c>
      <c r="F100" t="inlineStr">
        <is>
          <t>VÄSTRA GÖTALANDS LÄN</t>
        </is>
      </c>
      <c r="G100" t="inlineStr">
        <is>
          <t>UDDEVALLA</t>
        </is>
      </c>
      <c r="I100" t="n">
        <v>3.1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1346-2022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44572</v>
      </c>
      <c r="E101" s="1" t="n">
        <v>46318</v>
      </c>
      <c r="F101" t="inlineStr">
        <is>
          <t>VÄSTRA GÖTALANDS LÄN</t>
        </is>
      </c>
      <c r="G101" t="inlineStr">
        <is>
          <t>UDDEVALLA</t>
        </is>
      </c>
      <c r="I101" t="n">
        <v>0.9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29919-2025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45826</v>
      </c>
      <c r="E102" s="1" t="n">
        <v>46318</v>
      </c>
      <c r="F102" t="inlineStr">
        <is>
          <t>VÄSTRA GÖTALANDS LÄN</t>
        </is>
      </c>
      <c r="G102" t="inlineStr">
        <is>
          <t>UDDEVALLA</t>
        </is>
      </c>
      <c r="I102" t="n">
        <v>2.3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29921-2025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45826</v>
      </c>
      <c r="E103" s="1" t="n">
        <v>46318</v>
      </c>
      <c r="F103" t="inlineStr">
        <is>
          <t>VÄSTRA GÖTALANDS LÄN</t>
        </is>
      </c>
      <c r="G103" t="inlineStr">
        <is>
          <t>UDDEVALLA</t>
        </is>
      </c>
      <c r="I103" t="n">
        <v>0.9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39867-2023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45168</v>
      </c>
      <c r="E104" s="1" t="n">
        <v>46318</v>
      </c>
      <c r="F104" t="inlineStr">
        <is>
          <t>VÄSTRA GÖTALANDS LÄN</t>
        </is>
      </c>
      <c r="G104" t="inlineStr">
        <is>
          <t>UDDEVALLA</t>
        </is>
      </c>
      <c r="I104" t="n">
        <v>1.8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73437-2021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44551</v>
      </c>
      <c r="E105" s="1" t="n">
        <v>46318</v>
      </c>
      <c r="F105" t="inlineStr">
        <is>
          <t>VÄSTRA GÖTALANDS LÄN</t>
        </is>
      </c>
      <c r="G105" t="inlineStr">
        <is>
          <t>UDDEVALLA</t>
        </is>
      </c>
      <c r="I105" t="n">
        <v>8.1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27529-2023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45097</v>
      </c>
      <c r="E106" s="1" t="n">
        <v>46318</v>
      </c>
      <c r="F106" t="inlineStr">
        <is>
          <t>VÄSTRA GÖTALANDS LÄN</t>
        </is>
      </c>
      <c r="G106" t="inlineStr">
        <is>
          <t>UDDEVALLA</t>
        </is>
      </c>
      <c r="I106" t="n">
        <v>9.699999999999999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6364-2025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45699</v>
      </c>
      <c r="E107" s="1" t="n">
        <v>46318</v>
      </c>
      <c r="F107" t="inlineStr">
        <is>
          <t>VÄSTRA GÖTALANDS LÄN</t>
        </is>
      </c>
      <c r="G107" t="inlineStr">
        <is>
          <t>UDDEVALLA</t>
        </is>
      </c>
      <c r="I107" t="n">
        <v>5.8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4505-2023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44956</v>
      </c>
      <c r="E108" s="1" t="n">
        <v>46318</v>
      </c>
      <c r="F108" t="inlineStr">
        <is>
          <t>VÄSTRA GÖTALANDS LÄN</t>
        </is>
      </c>
      <c r="G108" t="inlineStr">
        <is>
          <t>UDDEVALLA</t>
        </is>
      </c>
      <c r="I108" t="n">
        <v>1.3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33996-2025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45843</v>
      </c>
      <c r="E109" s="1" t="n">
        <v>46318</v>
      </c>
      <c r="F109" t="inlineStr">
        <is>
          <t>VÄSTRA GÖTALANDS LÄN</t>
        </is>
      </c>
      <c r="G109" t="inlineStr">
        <is>
          <t>UDDEVALLA</t>
        </is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40331-2025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45895</v>
      </c>
      <c r="E110" s="1" t="n">
        <v>46318</v>
      </c>
      <c r="F110" t="inlineStr">
        <is>
          <t>VÄSTRA GÖTALANDS LÄN</t>
        </is>
      </c>
      <c r="G110" t="inlineStr">
        <is>
          <t>UDDEVALLA</t>
        </is>
      </c>
      <c r="I110" t="n">
        <v>1.1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17027-2025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45754</v>
      </c>
      <c r="E111" s="1" t="n">
        <v>46318</v>
      </c>
      <c r="F111" t="inlineStr">
        <is>
          <t>VÄSTRA GÖTALANDS LÄN</t>
        </is>
      </c>
      <c r="G111" t="inlineStr">
        <is>
          <t>UDDEVALLA</t>
        </is>
      </c>
      <c r="I111" t="n">
        <v>12.2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23210-2023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45071</v>
      </c>
      <c r="E112" s="1" t="n">
        <v>46318</v>
      </c>
      <c r="F112" t="inlineStr">
        <is>
          <t>VÄSTRA GÖTALANDS LÄN</t>
        </is>
      </c>
      <c r="G112" t="inlineStr">
        <is>
          <t>UDDEVALLA</t>
        </is>
      </c>
      <c r="I112" t="n">
        <v>4.8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11770-2022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44634</v>
      </c>
      <c r="E113" s="1" t="n">
        <v>46318</v>
      </c>
      <c r="F113" t="inlineStr">
        <is>
          <t>VÄSTRA GÖTALANDS LÄN</t>
        </is>
      </c>
      <c r="G113" t="inlineStr">
        <is>
          <t>UDDEVALLA</t>
        </is>
      </c>
      <c r="I113" t="n">
        <v>1.8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33092-2024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45517</v>
      </c>
      <c r="E114" s="1" t="n">
        <v>46318</v>
      </c>
      <c r="F114" t="inlineStr">
        <is>
          <t>VÄSTRA GÖTALANDS LÄN</t>
        </is>
      </c>
      <c r="G114" t="inlineStr">
        <is>
          <t>UDDEVALLA</t>
        </is>
      </c>
      <c r="I114" t="n">
        <v>3.6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25813-2022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44733</v>
      </c>
      <c r="E115" s="1" t="n">
        <v>46318</v>
      </c>
      <c r="F115" t="inlineStr">
        <is>
          <t>VÄSTRA GÖTALANDS LÄN</t>
        </is>
      </c>
      <c r="G115" t="inlineStr">
        <is>
          <t>UDDEVALLA</t>
        </is>
      </c>
      <c r="I115" t="n">
        <v>7.2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41576-2025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45901</v>
      </c>
      <c r="E116" s="1" t="n">
        <v>46318</v>
      </c>
      <c r="F116" t="inlineStr">
        <is>
          <t>VÄSTRA GÖTALANDS LÄN</t>
        </is>
      </c>
      <c r="G116" t="inlineStr">
        <is>
          <t>UDDEVALLA</t>
        </is>
      </c>
      <c r="I116" t="n">
        <v>2.2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47896-2024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45588</v>
      </c>
      <c r="E117" s="1" t="n">
        <v>46318</v>
      </c>
      <c r="F117" t="inlineStr">
        <is>
          <t>VÄSTRA GÖTALANDS LÄN</t>
        </is>
      </c>
      <c r="G117" t="inlineStr">
        <is>
          <t>UDDEVALLA</t>
        </is>
      </c>
      <c r="I117" t="n">
        <v>0.5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23806-2024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45455</v>
      </c>
      <c r="E118" s="1" t="n">
        <v>46318</v>
      </c>
      <c r="F118" t="inlineStr">
        <is>
          <t>VÄSTRA GÖTALANDS LÄN</t>
        </is>
      </c>
      <c r="G118" t="inlineStr">
        <is>
          <t>UDDEVALLA</t>
        </is>
      </c>
      <c r="I118" t="n">
        <v>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43552-2025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45911</v>
      </c>
      <c r="E119" s="1" t="n">
        <v>46318</v>
      </c>
      <c r="F119" t="inlineStr">
        <is>
          <t>VÄSTRA GÖTALANDS LÄN</t>
        </is>
      </c>
      <c r="G119" t="inlineStr">
        <is>
          <t>UDDEVALLA</t>
        </is>
      </c>
      <c r="I119" t="n">
        <v>2.9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44137-2025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45914</v>
      </c>
      <c r="E120" s="1" t="n">
        <v>46318</v>
      </c>
      <c r="F120" t="inlineStr">
        <is>
          <t>VÄSTRA GÖTALANDS LÄN</t>
        </is>
      </c>
      <c r="G120" t="inlineStr">
        <is>
          <t>UDDEVALLA</t>
        </is>
      </c>
      <c r="I120" t="n">
        <v>1.4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44086-2025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45914</v>
      </c>
      <c r="E121" s="1" t="n">
        <v>46318</v>
      </c>
      <c r="F121" t="inlineStr">
        <is>
          <t>VÄSTRA GÖTALANDS LÄN</t>
        </is>
      </c>
      <c r="G121" t="inlineStr">
        <is>
          <t>UDDEVALLA</t>
        </is>
      </c>
      <c r="I121" t="n">
        <v>2.5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45157-2025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45919</v>
      </c>
      <c r="E122" s="1" t="n">
        <v>46318</v>
      </c>
      <c r="F122" t="inlineStr">
        <is>
          <t>VÄSTRA GÖTALANDS LÄN</t>
        </is>
      </c>
      <c r="G122" t="inlineStr">
        <is>
          <t>UDDEVALLA</t>
        </is>
      </c>
      <c r="I122" t="n">
        <v>19.4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45567-2025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45922</v>
      </c>
      <c r="E123" s="1" t="n">
        <v>46318</v>
      </c>
      <c r="F123" t="inlineStr">
        <is>
          <t>VÄSTRA GÖTALANDS LÄN</t>
        </is>
      </c>
      <c r="G123" t="inlineStr">
        <is>
          <t>UDDEVALLA</t>
        </is>
      </c>
      <c r="I123" t="n">
        <v>3.1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38133-2025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45882</v>
      </c>
      <c r="E124" s="1" t="n">
        <v>46318</v>
      </c>
      <c r="F124" t="inlineStr">
        <is>
          <t>VÄSTRA GÖTALANDS LÄN</t>
        </is>
      </c>
      <c r="G124" t="inlineStr">
        <is>
          <t>UDDEVALLA</t>
        </is>
      </c>
      <c r="I124" t="n">
        <v>2.3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2115-2025</t>
        </is>
      </c>
      <c r="B125" t="inlineStr">
        <is>
          <t>avverkningsanmälan</t>
        </is>
      </c>
      <c r="C125" t="inlineStr">
        <is>
          <t>Avverkning för annat ändamål</t>
        </is>
      </c>
      <c r="D125" s="1" t="n">
        <v>45672</v>
      </c>
      <c r="E125" s="1" t="n">
        <v>46318</v>
      </c>
      <c r="F125" t="inlineStr">
        <is>
          <t>VÄSTRA GÖTALANDS LÄN</t>
        </is>
      </c>
      <c r="G125" t="inlineStr">
        <is>
          <t>UDDEVALLA</t>
        </is>
      </c>
      <c r="I125" t="n">
        <v>14.1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19849-2025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45771</v>
      </c>
      <c r="E126" s="1" t="n">
        <v>46318</v>
      </c>
      <c r="F126" t="inlineStr">
        <is>
          <t>VÄSTRA GÖTALANDS LÄN</t>
        </is>
      </c>
      <c r="G126" t="inlineStr">
        <is>
          <t>UDDEVALLA</t>
        </is>
      </c>
      <c r="I126" t="n">
        <v>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63878-2021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44509</v>
      </c>
      <c r="E127" s="1" t="n">
        <v>46318</v>
      </c>
      <c r="F127" t="inlineStr">
        <is>
          <t>VÄSTRA GÖTALANDS LÄN</t>
        </is>
      </c>
      <c r="G127" t="inlineStr">
        <is>
          <t>UDDEVALLA</t>
        </is>
      </c>
      <c r="I127" t="n">
        <v>1.1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38130-2025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45882</v>
      </c>
      <c r="E128" s="1" t="n">
        <v>46318</v>
      </c>
      <c r="F128" t="inlineStr">
        <is>
          <t>VÄSTRA GÖTALANDS LÄN</t>
        </is>
      </c>
      <c r="G128" t="inlineStr">
        <is>
          <t>UDDEVALLA</t>
        </is>
      </c>
      <c r="I128" t="n">
        <v>2.7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46304-2025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45925</v>
      </c>
      <c r="E129" s="1" t="n">
        <v>46318</v>
      </c>
      <c r="F129" t="inlineStr">
        <is>
          <t>VÄSTRA GÖTALANDS LÄN</t>
        </is>
      </c>
      <c r="G129" t="inlineStr">
        <is>
          <t>UDDEVALLA</t>
        </is>
      </c>
      <c r="I129" t="n">
        <v>1.1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47083-2025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45929</v>
      </c>
      <c r="E130" s="1" t="n">
        <v>46318</v>
      </c>
      <c r="F130" t="inlineStr">
        <is>
          <t>VÄSTRA GÖTALANDS LÄN</t>
        </is>
      </c>
      <c r="G130" t="inlineStr">
        <is>
          <t>UDDEVALLA</t>
        </is>
      </c>
      <c r="I130" t="n">
        <v>2.6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39431-2024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45551</v>
      </c>
      <c r="E131" s="1" t="n">
        <v>46318</v>
      </c>
      <c r="F131" t="inlineStr">
        <is>
          <t>VÄSTRA GÖTALANDS LÄN</t>
        </is>
      </c>
      <c r="G131" t="inlineStr">
        <is>
          <t>UDDEVALLA</t>
        </is>
      </c>
      <c r="I131" t="n">
        <v>2.2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49718-2024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45596</v>
      </c>
      <c r="E132" s="1" t="n">
        <v>46318</v>
      </c>
      <c r="F132" t="inlineStr">
        <is>
          <t>VÄSTRA GÖTALANDS LÄN</t>
        </is>
      </c>
      <c r="G132" t="inlineStr">
        <is>
          <t>UDDEVALLA</t>
        </is>
      </c>
      <c r="I132" t="n">
        <v>0.6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47103-2025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45929</v>
      </c>
      <c r="E133" s="1" t="n">
        <v>46318</v>
      </c>
      <c r="F133" t="inlineStr">
        <is>
          <t>VÄSTRA GÖTALANDS LÄN</t>
        </is>
      </c>
      <c r="G133" t="inlineStr">
        <is>
          <t>UDDEVALLA</t>
        </is>
      </c>
      <c r="I133" t="n">
        <v>0.4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45059-2025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45919</v>
      </c>
      <c r="E134" s="1" t="n">
        <v>46318</v>
      </c>
      <c r="F134" t="inlineStr">
        <is>
          <t>VÄSTRA GÖTALANDS LÄN</t>
        </is>
      </c>
      <c r="G134" t="inlineStr">
        <is>
          <t>UDDEVALLA</t>
        </is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47603-2025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45931</v>
      </c>
      <c r="E135" s="1" t="n">
        <v>46318</v>
      </c>
      <c r="F135" t="inlineStr">
        <is>
          <t>VÄSTRA GÖTALANDS LÄN</t>
        </is>
      </c>
      <c r="G135" t="inlineStr">
        <is>
          <t>UDDEVALLA</t>
        </is>
      </c>
      <c r="I135" t="n">
        <v>0.8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62037-2024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45656</v>
      </c>
      <c r="E136" s="1" t="n">
        <v>46318</v>
      </c>
      <c r="F136" t="inlineStr">
        <is>
          <t>VÄSTRA GÖTALANDS LÄN</t>
        </is>
      </c>
      <c r="G136" t="inlineStr">
        <is>
          <t>UDDEVALLA</t>
        </is>
      </c>
      <c r="H136" t="inlineStr">
        <is>
          <t>Kommuner</t>
        </is>
      </c>
      <c r="I136" t="n">
        <v>1.6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62055-2024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45656</v>
      </c>
      <c r="E137" s="1" t="n">
        <v>46318</v>
      </c>
      <c r="F137" t="inlineStr">
        <is>
          <t>VÄSTRA GÖTALANDS LÄN</t>
        </is>
      </c>
      <c r="G137" t="inlineStr">
        <is>
          <t>UDDEVALLA</t>
        </is>
      </c>
      <c r="H137" t="inlineStr">
        <is>
          <t>Kommuner</t>
        </is>
      </c>
      <c r="I137" t="n">
        <v>3.6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21332-2024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45440</v>
      </c>
      <c r="E138" s="1" t="n">
        <v>46318</v>
      </c>
      <c r="F138" t="inlineStr">
        <is>
          <t>VÄSTRA GÖTALANDS LÄN</t>
        </is>
      </c>
      <c r="G138" t="inlineStr">
        <is>
          <t>UDDEVALLA</t>
        </is>
      </c>
      <c r="I138" t="n">
        <v>3.3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62073-2024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45656</v>
      </c>
      <c r="E139" s="1" t="n">
        <v>46318</v>
      </c>
      <c r="F139" t="inlineStr">
        <is>
          <t>VÄSTRA GÖTALANDS LÄN</t>
        </is>
      </c>
      <c r="G139" t="inlineStr">
        <is>
          <t>UDDEVALLA</t>
        </is>
      </c>
      <c r="H139" t="inlineStr">
        <is>
          <t>Kommuner</t>
        </is>
      </c>
      <c r="I139" t="n">
        <v>0.9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62074-2024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45656</v>
      </c>
      <c r="E140" s="1" t="n">
        <v>46318</v>
      </c>
      <c r="F140" t="inlineStr">
        <is>
          <t>VÄSTRA GÖTALANDS LÄN</t>
        </is>
      </c>
      <c r="G140" t="inlineStr">
        <is>
          <t>UDDEVALLA</t>
        </is>
      </c>
      <c r="H140" t="inlineStr">
        <is>
          <t>Kommuner</t>
        </is>
      </c>
      <c r="I140" t="n">
        <v>0.6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62077-2024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45656</v>
      </c>
      <c r="E141" s="1" t="n">
        <v>46318</v>
      </c>
      <c r="F141" t="inlineStr">
        <is>
          <t>VÄSTRA GÖTALANDS LÄN</t>
        </is>
      </c>
      <c r="G141" t="inlineStr">
        <is>
          <t>UDDEVALLA</t>
        </is>
      </c>
      <c r="H141" t="inlineStr">
        <is>
          <t>Kommuner</t>
        </is>
      </c>
      <c r="I141" t="n">
        <v>2.7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61629-2024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45646</v>
      </c>
      <c r="E142" s="1" t="n">
        <v>46318</v>
      </c>
      <c r="F142" t="inlineStr">
        <is>
          <t>VÄSTRA GÖTALANDS LÄN</t>
        </is>
      </c>
      <c r="G142" t="inlineStr">
        <is>
          <t>UDDEVALLA</t>
        </is>
      </c>
      <c r="I142" t="n">
        <v>0.6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60241-2024</t>
        </is>
      </c>
      <c r="B143" t="inlineStr">
        <is>
          <t>avverkningsanmälan</t>
        </is>
      </c>
      <c r="C143" t="inlineStr">
        <is>
          <t>Avverkning för att bevara och utveckla /försöksver</t>
        </is>
      </c>
      <c r="D143" s="1" t="n">
        <v>45642</v>
      </c>
      <c r="E143" s="1" t="n">
        <v>46318</v>
      </c>
      <c r="F143" t="inlineStr">
        <is>
          <t>VÄSTRA GÖTALANDS LÄN</t>
        </is>
      </c>
      <c r="G143" t="inlineStr">
        <is>
          <t>UDDEVALLA</t>
        </is>
      </c>
      <c r="I143" t="n">
        <v>1.6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26847-2024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45470</v>
      </c>
      <c r="E144" s="1" t="n">
        <v>46318</v>
      </c>
      <c r="F144" t="inlineStr">
        <is>
          <t>VÄSTRA GÖTALANDS LÄN</t>
        </is>
      </c>
      <c r="G144" t="inlineStr">
        <is>
          <t>UDDEVALLA</t>
        </is>
      </c>
      <c r="H144" t="inlineStr">
        <is>
          <t>Kommuner</t>
        </is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62075-2024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45656</v>
      </c>
      <c r="E145" s="1" t="n">
        <v>46318</v>
      </c>
      <c r="F145" t="inlineStr">
        <is>
          <t>VÄSTRA GÖTALANDS LÄN</t>
        </is>
      </c>
      <c r="G145" t="inlineStr">
        <is>
          <t>UDDEVALLA</t>
        </is>
      </c>
      <c r="H145" t="inlineStr">
        <is>
          <t>Kommuner</t>
        </is>
      </c>
      <c r="I145" t="n">
        <v>1.5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42658-2025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45907</v>
      </c>
      <c r="E146" s="1" t="n">
        <v>46318</v>
      </c>
      <c r="F146" t="inlineStr">
        <is>
          <t>VÄSTRA GÖTALANDS LÄN</t>
        </is>
      </c>
      <c r="G146" t="inlineStr">
        <is>
          <t>UDDEVALLA</t>
        </is>
      </c>
      <c r="I146" t="n">
        <v>4.6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39084-2022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44817</v>
      </c>
      <c r="E147" s="1" t="n">
        <v>46318</v>
      </c>
      <c r="F147" t="inlineStr">
        <is>
          <t>VÄSTRA GÖTALANDS LÄN</t>
        </is>
      </c>
      <c r="G147" t="inlineStr">
        <is>
          <t>UDDEVALLA</t>
        </is>
      </c>
      <c r="I147" t="n">
        <v>2.8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6875-2022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44602</v>
      </c>
      <c r="E148" s="1" t="n">
        <v>46318</v>
      </c>
      <c r="F148" t="inlineStr">
        <is>
          <t>VÄSTRA GÖTALANDS LÄN</t>
        </is>
      </c>
      <c r="G148" t="inlineStr">
        <is>
          <t>UDDEVALLA</t>
        </is>
      </c>
      <c r="I148" t="n">
        <v>9.6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52889-2023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45226</v>
      </c>
      <c r="E149" s="1" t="n">
        <v>46318</v>
      </c>
      <c r="F149" t="inlineStr">
        <is>
          <t>VÄSTRA GÖTALANDS LÄN</t>
        </is>
      </c>
      <c r="G149" t="inlineStr">
        <is>
          <t>UDDEVALLA</t>
        </is>
      </c>
      <c r="I149" t="n">
        <v>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64083-2023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45279</v>
      </c>
      <c r="E150" s="1" t="n">
        <v>46318</v>
      </c>
      <c r="F150" t="inlineStr">
        <is>
          <t>VÄSTRA GÖTALANDS LÄN</t>
        </is>
      </c>
      <c r="G150" t="inlineStr">
        <is>
          <t>UDDEVALLA</t>
        </is>
      </c>
      <c r="I150" t="n">
        <v>8.6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49721-2025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45939</v>
      </c>
      <c r="E151" s="1" t="n">
        <v>46318</v>
      </c>
      <c r="F151" t="inlineStr">
        <is>
          <t>VÄSTRA GÖTALANDS LÄN</t>
        </is>
      </c>
      <c r="G151" t="inlineStr">
        <is>
          <t>UDDEVALLA</t>
        </is>
      </c>
      <c r="I151" t="n">
        <v>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17378-2026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46119</v>
      </c>
      <c r="E152" s="1" t="n">
        <v>46318</v>
      </c>
      <c r="F152" t="inlineStr">
        <is>
          <t>VÄSTRA GÖTALANDS LÄN</t>
        </is>
      </c>
      <c r="G152" t="inlineStr">
        <is>
          <t>UDDEVALLA</t>
        </is>
      </c>
      <c r="I152" t="n">
        <v>1.2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50609-2025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45945</v>
      </c>
      <c r="E153" s="1" t="n">
        <v>46318</v>
      </c>
      <c r="F153" t="inlineStr">
        <is>
          <t>VÄSTRA GÖTALANDS LÄN</t>
        </is>
      </c>
      <c r="G153" t="inlineStr">
        <is>
          <t>UDDEVALLA</t>
        </is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50617-2025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45945</v>
      </c>
      <c r="E154" s="1" t="n">
        <v>46318</v>
      </c>
      <c r="F154" t="inlineStr">
        <is>
          <t>VÄSTRA GÖTALANDS LÄN</t>
        </is>
      </c>
      <c r="G154" t="inlineStr">
        <is>
          <t>UDDEVALLA</t>
        </is>
      </c>
      <c r="I154" t="n">
        <v>2.3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50580-2025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45945</v>
      </c>
      <c r="E155" s="1" t="n">
        <v>46318</v>
      </c>
      <c r="F155" t="inlineStr">
        <is>
          <t>VÄSTRA GÖTALANDS LÄN</t>
        </is>
      </c>
      <c r="G155" t="inlineStr">
        <is>
          <t>UDDEVALLA</t>
        </is>
      </c>
      <c r="I155" t="n">
        <v>3.6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62041-2024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45656</v>
      </c>
      <c r="E156" s="1" t="n">
        <v>46318</v>
      </c>
      <c r="F156" t="inlineStr">
        <is>
          <t>VÄSTRA GÖTALANDS LÄN</t>
        </is>
      </c>
      <c r="G156" t="inlineStr">
        <is>
          <t>UDDEVALLA</t>
        </is>
      </c>
      <c r="H156" t="inlineStr">
        <is>
          <t>Kommuner</t>
        </is>
      </c>
      <c r="I156" t="n">
        <v>1.1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17240-2023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45035</v>
      </c>
      <c r="E157" s="1" t="n">
        <v>46318</v>
      </c>
      <c r="F157" t="inlineStr">
        <is>
          <t>VÄSTRA GÖTALANDS LÄN</t>
        </is>
      </c>
      <c r="G157" t="inlineStr">
        <is>
          <t>UDDEVALLA</t>
        </is>
      </c>
      <c r="I157" t="n">
        <v>0.7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17242-2023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45035</v>
      </c>
      <c r="E158" s="1" t="n">
        <v>46318</v>
      </c>
      <c r="F158" t="inlineStr">
        <is>
          <t>VÄSTRA GÖTALANDS LÄN</t>
        </is>
      </c>
      <c r="G158" t="inlineStr">
        <is>
          <t>UDDEVALLA</t>
        </is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50586-2025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45945</v>
      </c>
      <c r="E159" s="1" t="n">
        <v>46318</v>
      </c>
      <c r="F159" t="inlineStr">
        <is>
          <t>VÄSTRA GÖTALANDS LÄN</t>
        </is>
      </c>
      <c r="G159" t="inlineStr">
        <is>
          <t>UDDEVALLA</t>
        </is>
      </c>
      <c r="I159" t="n">
        <v>11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50611-2025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45945</v>
      </c>
      <c r="E160" s="1" t="n">
        <v>46318</v>
      </c>
      <c r="F160" t="inlineStr">
        <is>
          <t>VÄSTRA GÖTALANDS LÄN</t>
        </is>
      </c>
      <c r="G160" t="inlineStr">
        <is>
          <t>UDDEVALLA</t>
        </is>
      </c>
      <c r="I160" t="n">
        <v>5.1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41579-2025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45901</v>
      </c>
      <c r="E161" s="1" t="n">
        <v>46318</v>
      </c>
      <c r="F161" t="inlineStr">
        <is>
          <t>VÄSTRA GÖTALANDS LÄN</t>
        </is>
      </c>
      <c r="G161" t="inlineStr">
        <is>
          <t>UDDEVALLA</t>
        </is>
      </c>
      <c r="I161" t="n">
        <v>1.5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10286-2024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45365</v>
      </c>
      <c r="E162" s="1" t="n">
        <v>46318</v>
      </c>
      <c r="F162" t="inlineStr">
        <is>
          <t>VÄSTRA GÖTALANDS LÄN</t>
        </is>
      </c>
      <c r="G162" t="inlineStr">
        <is>
          <t>UDDEVALLA</t>
        </is>
      </c>
      <c r="I162" t="n">
        <v>0.9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49737-2025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45940</v>
      </c>
      <c r="E163" s="1" t="n">
        <v>46318</v>
      </c>
      <c r="F163" t="inlineStr">
        <is>
          <t>VÄSTRA GÖTALANDS LÄN</t>
        </is>
      </c>
      <c r="G163" t="inlineStr">
        <is>
          <t>UDDEVALLA</t>
        </is>
      </c>
      <c r="I163" t="n">
        <v>1.3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59139-2023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45251</v>
      </c>
      <c r="E164" s="1" t="n">
        <v>46318</v>
      </c>
      <c r="F164" t="inlineStr">
        <is>
          <t>VÄSTRA GÖTALANDS LÄN</t>
        </is>
      </c>
      <c r="G164" t="inlineStr">
        <is>
          <t>UDDEVALLA</t>
        </is>
      </c>
      <c r="H164" t="inlineStr">
        <is>
          <t>Kyrkan</t>
        </is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39395-2025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45889</v>
      </c>
      <c r="E165" s="1" t="n">
        <v>46318</v>
      </c>
      <c r="F165" t="inlineStr">
        <is>
          <t>VÄSTRA GÖTALANDS LÄN</t>
        </is>
      </c>
      <c r="G165" t="inlineStr">
        <is>
          <t>UDDEVALLA</t>
        </is>
      </c>
      <c r="I165" t="n">
        <v>1.1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1147-2024</t>
        </is>
      </c>
      <c r="B166" t="inlineStr">
        <is>
          <t>avverkningsanmälan</t>
        </is>
      </c>
      <c r="C166" t="inlineStr">
        <is>
          <t>Avverkning för annat ändamål</t>
        </is>
      </c>
      <c r="D166" s="1" t="n">
        <v>45302</v>
      </c>
      <c r="E166" s="1" t="n">
        <v>46318</v>
      </c>
      <c r="F166" t="inlineStr">
        <is>
          <t>VÄSTRA GÖTALANDS LÄN</t>
        </is>
      </c>
      <c r="G166" t="inlineStr">
        <is>
          <t>UDDEVALLA</t>
        </is>
      </c>
      <c r="I166" t="n">
        <v>1.6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50023-2023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45215</v>
      </c>
      <c r="E167" s="1" t="n">
        <v>46318</v>
      </c>
      <c r="F167" t="inlineStr">
        <is>
          <t>VÄSTRA GÖTALANDS LÄN</t>
        </is>
      </c>
      <c r="G167" t="inlineStr">
        <is>
          <t>UDDEVALLA</t>
        </is>
      </c>
      <c r="I167" t="n">
        <v>2.8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46899-2024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45583</v>
      </c>
      <c r="E168" s="1" t="n">
        <v>46318</v>
      </c>
      <c r="F168" t="inlineStr">
        <is>
          <t>VÄSTRA GÖTALANDS LÄN</t>
        </is>
      </c>
      <c r="G168" t="inlineStr">
        <is>
          <t>UDDEVALLA</t>
        </is>
      </c>
      <c r="I168" t="n">
        <v>2.8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17058-2025</t>
        </is>
      </c>
      <c r="B169" t="inlineStr">
        <is>
          <t>avverkningsanmälan</t>
        </is>
      </c>
      <c r="C169" t="inlineStr">
        <is>
          <t>Avverkning för annat ändamål</t>
        </is>
      </c>
      <c r="D169" s="1" t="n">
        <v>45754</v>
      </c>
      <c r="E169" s="1" t="n">
        <v>46318</v>
      </c>
      <c r="F169" t="inlineStr">
        <is>
          <t>VÄSTRA GÖTALANDS LÄN</t>
        </is>
      </c>
      <c r="G169" t="inlineStr">
        <is>
          <t>UDDEVALLA</t>
        </is>
      </c>
      <c r="I169" t="n">
        <v>2.2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58625-2024</t>
        </is>
      </c>
      <c r="B170" t="inlineStr">
        <is>
          <t>avverkningsanmälan</t>
        </is>
      </c>
      <c r="C170" t="inlineStr">
        <is>
          <t>Avverkning för annat ändamål</t>
        </is>
      </c>
      <c r="D170" s="1" t="n">
        <v>45635</v>
      </c>
      <c r="E170" s="1" t="n">
        <v>46318</v>
      </c>
      <c r="F170" t="inlineStr">
        <is>
          <t>VÄSTRA GÖTALANDS LÄN</t>
        </is>
      </c>
      <c r="G170" t="inlineStr">
        <is>
          <t>UDDEVALLA</t>
        </is>
      </c>
      <c r="I170" t="n">
        <v>14.9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17824-2025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45758</v>
      </c>
      <c r="E171" s="1" t="n">
        <v>46318</v>
      </c>
      <c r="F171" t="inlineStr">
        <is>
          <t>VÄSTRA GÖTALANDS LÄN</t>
        </is>
      </c>
      <c r="G171" t="inlineStr">
        <is>
          <t>UDDEVALLA</t>
        </is>
      </c>
      <c r="I171" t="n">
        <v>0.7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54491-2025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45965</v>
      </c>
      <c r="E172" s="1" t="n">
        <v>46318</v>
      </c>
      <c r="F172" t="inlineStr">
        <is>
          <t>VÄSTRA GÖTALANDS LÄN</t>
        </is>
      </c>
      <c r="G172" t="inlineStr">
        <is>
          <t>UDDEVALLA</t>
        </is>
      </c>
      <c r="I172" t="n">
        <v>1.2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20401-2026</t>
        </is>
      </c>
      <c r="B173" t="inlineStr">
        <is>
          <t>avverkningsanmälan</t>
        </is>
      </c>
      <c r="C173" t="inlineStr">
        <is>
          <t>Avverkning för annat ändamål</t>
        </is>
      </c>
      <c r="D173" s="1" t="n">
        <v>46139</v>
      </c>
      <c r="E173" s="1" t="n">
        <v>46318</v>
      </c>
      <c r="F173" t="inlineStr">
        <is>
          <t>VÄSTRA GÖTALANDS LÄN</t>
        </is>
      </c>
      <c r="G173" t="inlineStr">
        <is>
          <t>UDDEVALLA</t>
        </is>
      </c>
      <c r="I173" t="n">
        <v>0.3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52905-2023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45226</v>
      </c>
      <c r="E174" s="1" t="n">
        <v>46318</v>
      </c>
      <c r="F174" t="inlineStr">
        <is>
          <t>VÄSTRA GÖTALANDS LÄN</t>
        </is>
      </c>
      <c r="G174" t="inlineStr">
        <is>
          <t>UDDEVALLA</t>
        </is>
      </c>
      <c r="I174" t="n">
        <v>5.8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39088-2022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44817</v>
      </c>
      <c r="E175" s="1" t="n">
        <v>46318</v>
      </c>
      <c r="F175" t="inlineStr">
        <is>
          <t>VÄSTRA GÖTALANDS LÄN</t>
        </is>
      </c>
      <c r="G175" t="inlineStr">
        <is>
          <t>UDDEVALLA</t>
        </is>
      </c>
      <c r="I175" t="n">
        <v>1.4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23887-2024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45455</v>
      </c>
      <c r="E176" s="1" t="n">
        <v>46318</v>
      </c>
      <c r="F176" t="inlineStr">
        <is>
          <t>VÄSTRA GÖTALANDS LÄN</t>
        </is>
      </c>
      <c r="G176" t="inlineStr">
        <is>
          <t>UDDEVALLA</t>
        </is>
      </c>
      <c r="I176" t="n">
        <v>0.6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39621-2023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45167</v>
      </c>
      <c r="E177" s="1" t="n">
        <v>46318</v>
      </c>
      <c r="F177" t="inlineStr">
        <is>
          <t>VÄSTRA GÖTALANDS LÄN</t>
        </is>
      </c>
      <c r="G177" t="inlineStr">
        <is>
          <t>UDDEVALLA</t>
        </is>
      </c>
      <c r="I177" t="n">
        <v>1.5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55723-2025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45972</v>
      </c>
      <c r="E178" s="1" t="n">
        <v>46318</v>
      </c>
      <c r="F178" t="inlineStr">
        <is>
          <t>VÄSTRA GÖTALANDS LÄN</t>
        </is>
      </c>
      <c r="G178" t="inlineStr">
        <is>
          <t>UDDEVALLA</t>
        </is>
      </c>
      <c r="I178" t="n">
        <v>2.3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59144-2023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45251</v>
      </c>
      <c r="E179" s="1" t="n">
        <v>46318</v>
      </c>
      <c r="F179" t="inlineStr">
        <is>
          <t>VÄSTRA GÖTALANDS LÄN</t>
        </is>
      </c>
      <c r="G179" t="inlineStr">
        <is>
          <t>UDDEVALLA</t>
        </is>
      </c>
      <c r="H179" t="inlineStr">
        <is>
          <t>Kyrkan</t>
        </is>
      </c>
      <c r="I179" t="n">
        <v>1.8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73007-2021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44550</v>
      </c>
      <c r="E180" s="1" t="n">
        <v>46318</v>
      </c>
      <c r="F180" t="inlineStr">
        <is>
          <t>VÄSTRA GÖTALANDS LÄN</t>
        </is>
      </c>
      <c r="G180" t="inlineStr">
        <is>
          <t>UDDEVALLA</t>
        </is>
      </c>
      <c r="I180" t="n">
        <v>1.6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56585-2025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45975</v>
      </c>
      <c r="E181" s="1" t="n">
        <v>46318</v>
      </c>
      <c r="F181" t="inlineStr">
        <is>
          <t>VÄSTRA GÖTALANDS LÄN</t>
        </is>
      </c>
      <c r="G181" t="inlineStr">
        <is>
          <t>UDDEVALLA</t>
        </is>
      </c>
      <c r="I181" t="n">
        <v>3.3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14604-2022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44655</v>
      </c>
      <c r="E182" s="1" t="n">
        <v>46318</v>
      </c>
      <c r="F182" t="inlineStr">
        <is>
          <t>VÄSTRA GÖTALANDS LÄN</t>
        </is>
      </c>
      <c r="G182" t="inlineStr">
        <is>
          <t>UDDEVALLA</t>
        </is>
      </c>
      <c r="I182" t="n">
        <v>1.6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55416-2023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45238</v>
      </c>
      <c r="E183" s="1" t="n">
        <v>46318</v>
      </c>
      <c r="F183" t="inlineStr">
        <is>
          <t>VÄSTRA GÖTALANDS LÄN</t>
        </is>
      </c>
      <c r="G183" t="inlineStr">
        <is>
          <t>UDDEVALLA</t>
        </is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19982-2025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45771</v>
      </c>
      <c r="E184" s="1" t="n">
        <v>46318</v>
      </c>
      <c r="F184" t="inlineStr">
        <is>
          <t>VÄSTRA GÖTALANDS LÄN</t>
        </is>
      </c>
      <c r="G184" t="inlineStr">
        <is>
          <t>UDDEVALLA</t>
        </is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23395-2023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45076</v>
      </c>
      <c r="E185" s="1" t="n">
        <v>46318</v>
      </c>
      <c r="F185" t="inlineStr">
        <is>
          <t>VÄSTRA GÖTALANDS LÄN</t>
        </is>
      </c>
      <c r="G185" t="inlineStr">
        <is>
          <t>UDDEVALLA</t>
        </is>
      </c>
      <c r="I185" t="n">
        <v>12.2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9797-2023</t>
        </is>
      </c>
      <c r="B186" t="inlineStr">
        <is>
          <t>avverkningsanmälan</t>
        </is>
      </c>
      <c r="C186" t="inlineStr">
        <is>
          <t>Avverkning för annat ändamål</t>
        </is>
      </c>
      <c r="D186" s="1" t="n">
        <v>44984</v>
      </c>
      <c r="E186" s="1" t="n">
        <v>46318</v>
      </c>
      <c r="F186" t="inlineStr">
        <is>
          <t>VÄSTRA GÖTALANDS LÄN</t>
        </is>
      </c>
      <c r="G186" t="inlineStr">
        <is>
          <t>UDDEVALLA</t>
        </is>
      </c>
      <c r="I186" t="n">
        <v>2.5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17139-2023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45034</v>
      </c>
      <c r="E187" s="1" t="n">
        <v>46318</v>
      </c>
      <c r="F187" t="inlineStr">
        <is>
          <t>VÄSTRA GÖTALANDS LÄN</t>
        </is>
      </c>
      <c r="G187" t="inlineStr">
        <is>
          <t>UDDEVALLA</t>
        </is>
      </c>
      <c r="I187" t="n">
        <v>5.8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21390-2026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46147</v>
      </c>
      <c r="E188" s="1" t="n">
        <v>46318</v>
      </c>
      <c r="F188" t="inlineStr">
        <is>
          <t>VÄSTRA GÖTALANDS LÄN</t>
        </is>
      </c>
      <c r="G188" t="inlineStr">
        <is>
          <t>UDDEVALLA</t>
        </is>
      </c>
      <c r="H188" t="inlineStr">
        <is>
          <t>Kommuner</t>
        </is>
      </c>
      <c r="I188" t="n">
        <v>0.6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4639-2022</t>
        </is>
      </c>
      <c r="B189" t="inlineStr">
        <is>
          <t>avverkningsanmälan</t>
        </is>
      </c>
      <c r="C189" t="inlineStr">
        <is>
          <t>Avverkning för annat ändamål</t>
        </is>
      </c>
      <c r="D189" s="1" t="n">
        <v>44592</v>
      </c>
      <c r="E189" s="1" t="n">
        <v>46318</v>
      </c>
      <c r="F189" t="inlineStr">
        <is>
          <t>VÄSTRA GÖTALANDS LÄN</t>
        </is>
      </c>
      <c r="G189" t="inlineStr">
        <is>
          <t>UDDEVALLA</t>
        </is>
      </c>
      <c r="I189" t="n">
        <v>2.2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58416-2025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45985</v>
      </c>
      <c r="E190" s="1" t="n">
        <v>46318</v>
      </c>
      <c r="F190" t="inlineStr">
        <is>
          <t>VÄSTRA GÖTALANDS LÄN</t>
        </is>
      </c>
      <c r="G190" t="inlineStr">
        <is>
          <t>UDDEVALLA</t>
        </is>
      </c>
      <c r="I190" t="n">
        <v>0.6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26940-2023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45093</v>
      </c>
      <c r="E191" s="1" t="n">
        <v>46318</v>
      </c>
      <c r="F191" t="inlineStr">
        <is>
          <t>VÄSTRA GÖTALANDS LÄN</t>
        </is>
      </c>
      <c r="G191" t="inlineStr">
        <is>
          <t>UDDEVALLA</t>
        </is>
      </c>
      <c r="I191" t="n">
        <v>1.7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58563-2025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45986</v>
      </c>
      <c r="E192" s="1" t="n">
        <v>46318</v>
      </c>
      <c r="F192" t="inlineStr">
        <is>
          <t>VÄSTRA GÖTALANDS LÄN</t>
        </is>
      </c>
      <c r="G192" t="inlineStr">
        <is>
          <t>UDDEVALLA</t>
        </is>
      </c>
      <c r="I192" t="n">
        <v>2.3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27869-2024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45475</v>
      </c>
      <c r="E193" s="1" t="n">
        <v>46318</v>
      </c>
      <c r="F193" t="inlineStr">
        <is>
          <t>VÄSTRA GÖTALANDS LÄN</t>
        </is>
      </c>
      <c r="G193" t="inlineStr">
        <is>
          <t>UDDEVALLA</t>
        </is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69198-2021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44531</v>
      </c>
      <c r="E194" s="1" t="n">
        <v>46318</v>
      </c>
      <c r="F194" t="inlineStr">
        <is>
          <t>VÄSTRA GÖTALANDS LÄN</t>
        </is>
      </c>
      <c r="G194" t="inlineStr">
        <is>
          <t>UDDEVALLA</t>
        </is>
      </c>
      <c r="I194" t="n">
        <v>0.7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40121-2024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45554</v>
      </c>
      <c r="E195" s="1" t="n">
        <v>46318</v>
      </c>
      <c r="F195" t="inlineStr">
        <is>
          <t>VÄSTRA GÖTALANDS LÄN</t>
        </is>
      </c>
      <c r="G195" t="inlineStr">
        <is>
          <t>UDDEVALLA</t>
        </is>
      </c>
      <c r="I195" t="n">
        <v>1.4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16205-2023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45028</v>
      </c>
      <c r="E196" s="1" t="n">
        <v>46318</v>
      </c>
      <c r="F196" t="inlineStr">
        <is>
          <t>VÄSTRA GÖTALANDS LÄN</t>
        </is>
      </c>
      <c r="G196" t="inlineStr">
        <is>
          <t>UDDEVALLA</t>
        </is>
      </c>
      <c r="I196" t="n">
        <v>1.8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59674-2023</t>
        </is>
      </c>
      <c r="B197" t="inlineStr">
        <is>
          <t>avverkningsanmälan</t>
        </is>
      </c>
      <c r="C197" t="inlineStr">
        <is>
          <t>Avverkning för annat ändamål</t>
        </is>
      </c>
      <c r="D197" s="1" t="n">
        <v>45255</v>
      </c>
      <c r="E197" s="1" t="n">
        <v>46318</v>
      </c>
      <c r="F197" t="inlineStr">
        <is>
          <t>VÄSTRA GÖTALANDS LÄN</t>
        </is>
      </c>
      <c r="G197" t="inlineStr">
        <is>
          <t>UDDEVALLA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32531-2023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45121</v>
      </c>
      <c r="E198" s="1" t="n">
        <v>46318</v>
      </c>
      <c r="F198" t="inlineStr">
        <is>
          <t>VÄSTRA GÖTALANDS LÄN</t>
        </is>
      </c>
      <c r="G198" t="inlineStr">
        <is>
          <t>UDDEVALLA</t>
        </is>
      </c>
      <c r="I198" t="n">
        <v>1.9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59801-2025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45992</v>
      </c>
      <c r="E199" s="1" t="n">
        <v>46318</v>
      </c>
      <c r="F199" t="inlineStr">
        <is>
          <t>VÄSTRA GÖTALANDS LÄN</t>
        </is>
      </c>
      <c r="G199" t="inlineStr">
        <is>
          <t>UDDEVALLA</t>
        </is>
      </c>
      <c r="I199" t="n">
        <v>1.6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10585-2024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45366</v>
      </c>
      <c r="E200" s="1" t="n">
        <v>46318</v>
      </c>
      <c r="F200" t="inlineStr">
        <is>
          <t>VÄSTRA GÖTALANDS LÄN</t>
        </is>
      </c>
      <c r="G200" t="inlineStr">
        <is>
          <t>UDDEVALLA</t>
        </is>
      </c>
      <c r="I200" t="n">
        <v>3.9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60989-2025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45999</v>
      </c>
      <c r="E201" s="1" t="n">
        <v>46318</v>
      </c>
      <c r="F201" t="inlineStr">
        <is>
          <t>VÄSTRA GÖTALANDS LÄN</t>
        </is>
      </c>
      <c r="G201" t="inlineStr">
        <is>
          <t>UDDEVALLA</t>
        </is>
      </c>
      <c r="I201" t="n">
        <v>4.4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48132-2023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45205</v>
      </c>
      <c r="E202" s="1" t="n">
        <v>46318</v>
      </c>
      <c r="F202" t="inlineStr">
        <is>
          <t>VÄSTRA GÖTALANDS LÄN</t>
        </is>
      </c>
      <c r="G202" t="inlineStr">
        <is>
          <t>UDDEVALLA</t>
        </is>
      </c>
      <c r="I202" t="n">
        <v>1.7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60143-2025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45994</v>
      </c>
      <c r="E203" s="1" t="n">
        <v>46318</v>
      </c>
      <c r="F203" t="inlineStr">
        <is>
          <t>VÄSTRA GÖTALANDS LÄN</t>
        </is>
      </c>
      <c r="G203" t="inlineStr">
        <is>
          <t>UDDEVALLA</t>
        </is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18806-2024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45426</v>
      </c>
      <c r="E204" s="1" t="n">
        <v>46318</v>
      </c>
      <c r="F204" t="inlineStr">
        <is>
          <t>VÄSTRA GÖTALANDS LÄN</t>
        </is>
      </c>
      <c r="G204" t="inlineStr">
        <is>
          <t>UDDEVALLA</t>
        </is>
      </c>
      <c r="I204" t="n">
        <v>1.4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2099-2024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45309</v>
      </c>
      <c r="E205" s="1" t="n">
        <v>46318</v>
      </c>
      <c r="F205" t="inlineStr">
        <is>
          <t>VÄSTRA GÖTALANDS LÄN</t>
        </is>
      </c>
      <c r="G205" t="inlineStr">
        <is>
          <t>UDDEVALLA</t>
        </is>
      </c>
      <c r="I205" t="n">
        <v>1.5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62365-2025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46007</v>
      </c>
      <c r="E206" s="1" t="n">
        <v>46318</v>
      </c>
      <c r="F206" t="inlineStr">
        <is>
          <t>VÄSTRA GÖTALANDS LÄN</t>
        </is>
      </c>
      <c r="G206" t="inlineStr">
        <is>
          <t>UDDEVALLA</t>
        </is>
      </c>
      <c r="I206" t="n">
        <v>4.4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29526-2024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45484</v>
      </c>
      <c r="E207" s="1" t="n">
        <v>46318</v>
      </c>
      <c r="F207" t="inlineStr">
        <is>
          <t>VÄSTRA GÖTALANDS LÄN</t>
        </is>
      </c>
      <c r="G207" t="inlineStr">
        <is>
          <t>UDDEVALLA</t>
        </is>
      </c>
      <c r="I207" t="n">
        <v>3.3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7770-2023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44973</v>
      </c>
      <c r="E208" s="1" t="n">
        <v>46318</v>
      </c>
      <c r="F208" t="inlineStr">
        <is>
          <t>VÄSTRA GÖTALANDS LÄN</t>
        </is>
      </c>
      <c r="G208" t="inlineStr">
        <is>
          <t>UDDEVALLA</t>
        </is>
      </c>
      <c r="I208" t="n">
        <v>1.5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18811-2024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45426</v>
      </c>
      <c r="E209" s="1" t="n">
        <v>46318</v>
      </c>
      <c r="F209" t="inlineStr">
        <is>
          <t>VÄSTRA GÖTALANDS LÄN</t>
        </is>
      </c>
      <c r="G209" t="inlineStr">
        <is>
          <t>UDDEVALLA</t>
        </is>
      </c>
      <c r="I209" t="n">
        <v>0.4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29516-2026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46198</v>
      </c>
      <c r="E210" s="1" t="n">
        <v>46318</v>
      </c>
      <c r="F210" t="inlineStr">
        <is>
          <t>VÄSTRA GÖTALANDS LÄN</t>
        </is>
      </c>
      <c r="G210" t="inlineStr">
        <is>
          <t>UDDEVALLA</t>
        </is>
      </c>
      <c r="H210" t="inlineStr">
        <is>
          <t>Övriga statliga verk och myndigheter</t>
        </is>
      </c>
      <c r="I210" t="n">
        <v>5.7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6887-2023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44967</v>
      </c>
      <c r="E211" s="1" t="n">
        <v>46318</v>
      </c>
      <c r="F211" t="inlineStr">
        <is>
          <t>VÄSTRA GÖTALANDS LÄN</t>
        </is>
      </c>
      <c r="G211" t="inlineStr">
        <is>
          <t>UDDEVALLA</t>
        </is>
      </c>
      <c r="I211" t="n">
        <v>5.3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23751-2026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46164</v>
      </c>
      <c r="E212" s="1" t="n">
        <v>46318</v>
      </c>
      <c r="F212" t="inlineStr">
        <is>
          <t>VÄSTRA GÖTALANDS LÄN</t>
        </is>
      </c>
      <c r="G212" t="inlineStr">
        <is>
          <t>UDDEVALLA</t>
        </is>
      </c>
      <c r="I212" t="n">
        <v>1.6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15716-2025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45748</v>
      </c>
      <c r="E213" s="1" t="n">
        <v>46318</v>
      </c>
      <c r="F213" t="inlineStr">
        <is>
          <t>VÄSTRA GÖTALANDS LÄN</t>
        </is>
      </c>
      <c r="G213" t="inlineStr">
        <is>
          <t>UDDEVALLA</t>
        </is>
      </c>
      <c r="I213" t="n">
        <v>1.6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34555-2022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44794</v>
      </c>
      <c r="E214" s="1" t="n">
        <v>46318</v>
      </c>
      <c r="F214" t="inlineStr">
        <is>
          <t>VÄSTRA GÖTALANDS LÄN</t>
        </is>
      </c>
      <c r="G214" t="inlineStr">
        <is>
          <t>UDDEVALLA</t>
        </is>
      </c>
      <c r="I214" t="n">
        <v>5.9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209-2026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46026</v>
      </c>
      <c r="E215" s="1" t="n">
        <v>46318</v>
      </c>
      <c r="F215" t="inlineStr">
        <is>
          <t>VÄSTRA GÖTALANDS LÄN</t>
        </is>
      </c>
      <c r="G215" t="inlineStr">
        <is>
          <t>UDDEVALLA</t>
        </is>
      </c>
      <c r="I215" t="n">
        <v>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385-2026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46027</v>
      </c>
      <c r="E216" s="1" t="n">
        <v>46318</v>
      </c>
      <c r="F216" t="inlineStr">
        <is>
          <t>VÄSTRA GÖTALANDS LÄN</t>
        </is>
      </c>
      <c r="G216" t="inlineStr">
        <is>
          <t>UDDEVALLA</t>
        </is>
      </c>
      <c r="I216" t="n">
        <v>4.6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30639-2024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45495</v>
      </c>
      <c r="E217" s="1" t="n">
        <v>46318</v>
      </c>
      <c r="F217" t="inlineStr">
        <is>
          <t>VÄSTRA GÖTALANDS LÄN</t>
        </is>
      </c>
      <c r="G217" t="inlineStr">
        <is>
          <t>UDDEVALLA</t>
        </is>
      </c>
      <c r="I217" t="n">
        <v>2.9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25060-2026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46174</v>
      </c>
      <c r="E218" s="1" t="n">
        <v>46318</v>
      </c>
      <c r="F218" t="inlineStr">
        <is>
          <t>VÄSTRA GÖTALANDS LÄN</t>
        </is>
      </c>
      <c r="G218" t="inlineStr">
        <is>
          <t>UDDEVALLA</t>
        </is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57824-2024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45631</v>
      </c>
      <c r="E219" s="1" t="n">
        <v>46318</v>
      </c>
      <c r="F219" t="inlineStr">
        <is>
          <t>VÄSTRA GÖTALANDS LÄN</t>
        </is>
      </c>
      <c r="G219" t="inlineStr">
        <is>
          <t>UDDEVALLA</t>
        </is>
      </c>
      <c r="I219" t="n">
        <v>2.5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44325-2023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45188</v>
      </c>
      <c r="E220" s="1" t="n">
        <v>46318</v>
      </c>
      <c r="F220" t="inlineStr">
        <is>
          <t>VÄSTRA GÖTALANDS LÄN</t>
        </is>
      </c>
      <c r="G220" t="inlineStr">
        <is>
          <t>UDDEVALLA</t>
        </is>
      </c>
      <c r="I220" t="n">
        <v>2.3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46480-2023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45197</v>
      </c>
      <c r="E221" s="1" t="n">
        <v>46318</v>
      </c>
      <c r="F221" t="inlineStr">
        <is>
          <t>VÄSTRA GÖTALANDS LÄN</t>
        </is>
      </c>
      <c r="G221" t="inlineStr">
        <is>
          <t>UDDEVALLA</t>
        </is>
      </c>
      <c r="I221" t="n">
        <v>1.1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3077-2022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44582</v>
      </c>
      <c r="E222" s="1" t="n">
        <v>46318</v>
      </c>
      <c r="F222" t="inlineStr">
        <is>
          <t>VÄSTRA GÖTALANDS LÄN</t>
        </is>
      </c>
      <c r="G222" t="inlineStr">
        <is>
          <t>UDDEVALLA</t>
        </is>
      </c>
      <c r="H222" t="inlineStr">
        <is>
          <t>Kyrkan</t>
        </is>
      </c>
      <c r="I222" t="n">
        <v>1.5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29642-2024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45484</v>
      </c>
      <c r="E223" s="1" t="n">
        <v>46318</v>
      </c>
      <c r="F223" t="inlineStr">
        <is>
          <t>VÄSTRA GÖTALANDS LÄN</t>
        </is>
      </c>
      <c r="G223" t="inlineStr">
        <is>
          <t>UDDEVALLA</t>
        </is>
      </c>
      <c r="I223" t="n">
        <v>2.9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2424-2026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46036</v>
      </c>
      <c r="E224" s="1" t="n">
        <v>46318</v>
      </c>
      <c r="F224" t="inlineStr">
        <is>
          <t>VÄSTRA GÖTALANDS LÄN</t>
        </is>
      </c>
      <c r="G224" t="inlineStr">
        <is>
          <t>UDDEVALLA</t>
        </is>
      </c>
      <c r="I224" t="n">
        <v>6.4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2308-2026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46036</v>
      </c>
      <c r="E225" s="1" t="n">
        <v>46318</v>
      </c>
      <c r="F225" t="inlineStr">
        <is>
          <t>VÄSTRA GÖTALANDS LÄN</t>
        </is>
      </c>
      <c r="G225" t="inlineStr">
        <is>
          <t>UDDEVALLA</t>
        </is>
      </c>
      <c r="I225" t="n">
        <v>1.9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2327-2026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46036</v>
      </c>
      <c r="E226" s="1" t="n">
        <v>46318</v>
      </c>
      <c r="F226" t="inlineStr">
        <is>
          <t>VÄSTRA GÖTALANDS LÄN</t>
        </is>
      </c>
      <c r="G226" t="inlineStr">
        <is>
          <t>UDDEVALLA</t>
        </is>
      </c>
      <c r="I226" t="n">
        <v>2.6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10426-2023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44981</v>
      </c>
      <c r="E227" s="1" t="n">
        <v>46318</v>
      </c>
      <c r="F227" t="inlineStr">
        <is>
          <t>VÄSTRA GÖTALANDS LÄN</t>
        </is>
      </c>
      <c r="G227" t="inlineStr">
        <is>
          <t>UDDEVALLA</t>
        </is>
      </c>
      <c r="H227" t="inlineStr">
        <is>
          <t>Kyrkan</t>
        </is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44056-2025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45915</v>
      </c>
      <c r="E228" s="1" t="n">
        <v>46318</v>
      </c>
      <c r="F228" t="inlineStr">
        <is>
          <t>VÄSTRA GÖTALANDS LÄN</t>
        </is>
      </c>
      <c r="G228" t="inlineStr">
        <is>
          <t>UDDEVALLA</t>
        </is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2287-2026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46036</v>
      </c>
      <c r="E229" s="1" t="n">
        <v>46318</v>
      </c>
      <c r="F229" t="inlineStr">
        <is>
          <t>VÄSTRA GÖTALANDS LÄN</t>
        </is>
      </c>
      <c r="G229" t="inlineStr">
        <is>
          <t>UDDEVALLA</t>
        </is>
      </c>
      <c r="I229" t="n">
        <v>2.2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13527-2024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45387</v>
      </c>
      <c r="E230" s="1" t="n">
        <v>46318</v>
      </c>
      <c r="F230" t="inlineStr">
        <is>
          <t>VÄSTRA GÖTALANDS LÄN</t>
        </is>
      </c>
      <c r="G230" t="inlineStr">
        <is>
          <t>UDDEVALLA</t>
        </is>
      </c>
      <c r="I230" t="n">
        <v>1.2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23462-2024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45453</v>
      </c>
      <c r="E231" s="1" t="n">
        <v>46318</v>
      </c>
      <c r="F231" t="inlineStr">
        <is>
          <t>VÄSTRA GÖTALANDS LÄN</t>
        </is>
      </c>
      <c r="G231" t="inlineStr">
        <is>
          <t>UDDEVALLA</t>
        </is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19847-2025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45771</v>
      </c>
      <c r="E232" s="1" t="n">
        <v>46318</v>
      </c>
      <c r="F232" t="inlineStr">
        <is>
          <t>VÄSTRA GÖTALANDS LÄN</t>
        </is>
      </c>
      <c r="G232" t="inlineStr">
        <is>
          <t>UDDEVALLA</t>
        </is>
      </c>
      <c r="I232" t="n">
        <v>0.5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25607-2026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46177</v>
      </c>
      <c r="E233" s="1" t="n">
        <v>46318</v>
      </c>
      <c r="F233" t="inlineStr">
        <is>
          <t>VÄSTRA GÖTALANDS LÄN</t>
        </is>
      </c>
      <c r="G233" t="inlineStr">
        <is>
          <t>UDDEVALLA</t>
        </is>
      </c>
      <c r="I233" t="n">
        <v>7.4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40027-2024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45553</v>
      </c>
      <c r="E234" s="1" t="n">
        <v>46318</v>
      </c>
      <c r="F234" t="inlineStr">
        <is>
          <t>VÄSTRA GÖTALANDS LÄN</t>
        </is>
      </c>
      <c r="G234" t="inlineStr">
        <is>
          <t>UDDEVALLA</t>
        </is>
      </c>
      <c r="I234" t="n">
        <v>2.3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4117-2026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46044</v>
      </c>
      <c r="E235" s="1" t="n">
        <v>46318</v>
      </c>
      <c r="F235" t="inlineStr">
        <is>
          <t>VÄSTRA GÖTALANDS LÄN</t>
        </is>
      </c>
      <c r="G235" t="inlineStr">
        <is>
          <t>UDDEVALLA</t>
        </is>
      </c>
      <c r="I235" t="n">
        <v>3.4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5433-2023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44959</v>
      </c>
      <c r="E236" s="1" t="n">
        <v>46318</v>
      </c>
      <c r="F236" t="inlineStr">
        <is>
          <t>VÄSTRA GÖTALANDS LÄN</t>
        </is>
      </c>
      <c r="G236" t="inlineStr">
        <is>
          <t>UDDEVALLA</t>
        </is>
      </c>
      <c r="I236" t="n">
        <v>2.2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25613-2026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46177</v>
      </c>
      <c r="E237" s="1" t="n">
        <v>46318</v>
      </c>
      <c r="F237" t="inlineStr">
        <is>
          <t>VÄSTRA GÖTALANDS LÄN</t>
        </is>
      </c>
      <c r="G237" t="inlineStr">
        <is>
          <t>UDDEVALLA</t>
        </is>
      </c>
      <c r="I237" t="n">
        <v>0.9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40571-2022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44823</v>
      </c>
      <c r="E238" s="1" t="n">
        <v>46318</v>
      </c>
      <c r="F238" t="inlineStr">
        <is>
          <t>VÄSTRA GÖTALANDS LÄN</t>
        </is>
      </c>
      <c r="G238" t="inlineStr">
        <is>
          <t>UDDEVALLA</t>
        </is>
      </c>
      <c r="I238" t="n">
        <v>0.9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39991-2022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44820</v>
      </c>
      <c r="E239" s="1" t="n">
        <v>46318</v>
      </c>
      <c r="F239" t="inlineStr">
        <is>
          <t>VÄSTRA GÖTALANDS LÄN</t>
        </is>
      </c>
      <c r="G239" t="inlineStr">
        <is>
          <t>UDDEVALLA</t>
        </is>
      </c>
      <c r="I239" t="n">
        <v>7.7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25792-2026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46178</v>
      </c>
      <c r="E240" s="1" t="n">
        <v>46318</v>
      </c>
      <c r="F240" t="inlineStr">
        <is>
          <t>VÄSTRA GÖTALANDS LÄN</t>
        </is>
      </c>
      <c r="G240" t="inlineStr">
        <is>
          <t>UDDEVALLA</t>
        </is>
      </c>
      <c r="I240" t="n">
        <v>1.3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25611-2026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46177</v>
      </c>
      <c r="E241" s="1" t="n">
        <v>46318</v>
      </c>
      <c r="F241" t="inlineStr">
        <is>
          <t>VÄSTRA GÖTALANDS LÄN</t>
        </is>
      </c>
      <c r="G241" t="inlineStr">
        <is>
          <t>UDDEVALLA</t>
        </is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60819-2024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45644</v>
      </c>
      <c r="E242" s="1" t="n">
        <v>46318</v>
      </c>
      <c r="F242" t="inlineStr">
        <is>
          <t>VÄSTRA GÖTALANDS LÄN</t>
        </is>
      </c>
      <c r="G242" t="inlineStr">
        <is>
          <t>UDDEVALLA</t>
        </is>
      </c>
      <c r="I242" t="n">
        <v>1.1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21102-2025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45777</v>
      </c>
      <c r="E243" s="1" t="n">
        <v>46318</v>
      </c>
      <c r="F243" t="inlineStr">
        <is>
          <t>VÄSTRA GÖTALANDS LÄN</t>
        </is>
      </c>
      <c r="G243" t="inlineStr">
        <is>
          <t>UDDEVALLA</t>
        </is>
      </c>
      <c r="I243" t="n">
        <v>12.9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44133-2024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45572</v>
      </c>
      <c r="E244" s="1" t="n">
        <v>46318</v>
      </c>
      <c r="F244" t="inlineStr">
        <is>
          <t>VÄSTRA GÖTALANDS LÄN</t>
        </is>
      </c>
      <c r="G244" t="inlineStr">
        <is>
          <t>UDDEVALLA</t>
        </is>
      </c>
      <c r="I244" t="n">
        <v>4.4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6650-2025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45700</v>
      </c>
      <c r="E245" s="1" t="n">
        <v>46318</v>
      </c>
      <c r="F245" t="inlineStr">
        <is>
          <t>VÄSTRA GÖTALANDS LÄN</t>
        </is>
      </c>
      <c r="G245" t="inlineStr">
        <is>
          <t>UDDEVALLA</t>
        </is>
      </c>
      <c r="I245" t="n">
        <v>2.1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7868-2026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46062</v>
      </c>
      <c r="E246" s="1" t="n">
        <v>46318</v>
      </c>
      <c r="F246" t="inlineStr">
        <is>
          <t>VÄSTRA GÖTALANDS LÄN</t>
        </is>
      </c>
      <c r="G246" t="inlineStr">
        <is>
          <t>UDDEVALLA</t>
        </is>
      </c>
      <c r="I246" t="n">
        <v>3.1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7870-2026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46062</v>
      </c>
      <c r="E247" s="1" t="n">
        <v>46318</v>
      </c>
      <c r="F247" t="inlineStr">
        <is>
          <t>VÄSTRA GÖTALANDS LÄN</t>
        </is>
      </c>
      <c r="G247" t="inlineStr">
        <is>
          <t>UDDEVALLA</t>
        </is>
      </c>
      <c r="I247" t="n">
        <v>3.7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11021-2023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44991</v>
      </c>
      <c r="E248" s="1" t="n">
        <v>46318</v>
      </c>
      <c r="F248" t="inlineStr">
        <is>
          <t>VÄSTRA GÖTALANDS LÄN</t>
        </is>
      </c>
      <c r="G248" t="inlineStr">
        <is>
          <t>UDDEVALLA</t>
        </is>
      </c>
      <c r="I248" t="n">
        <v>0.6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49145-2024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45594</v>
      </c>
      <c r="E249" s="1" t="n">
        <v>46318</v>
      </c>
      <c r="F249" t="inlineStr">
        <is>
          <t>VÄSTRA GÖTALANDS LÄN</t>
        </is>
      </c>
      <c r="G249" t="inlineStr">
        <is>
          <t>UDDEVALLA</t>
        </is>
      </c>
      <c r="I249" t="n">
        <v>0.7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1051-2023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44935</v>
      </c>
      <c r="E250" s="1" t="n">
        <v>46318</v>
      </c>
      <c r="F250" t="inlineStr">
        <is>
          <t>VÄSTRA GÖTALANDS LÄN</t>
        </is>
      </c>
      <c r="G250" t="inlineStr">
        <is>
          <t>UDDEVALLA</t>
        </is>
      </c>
      <c r="I250" t="n">
        <v>2.1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9574-2026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46071</v>
      </c>
      <c r="E251" s="1" t="n">
        <v>46318</v>
      </c>
      <c r="F251" t="inlineStr">
        <is>
          <t>VÄSTRA GÖTALANDS LÄN</t>
        </is>
      </c>
      <c r="G251" t="inlineStr">
        <is>
          <t>UDDEVALLA</t>
        </is>
      </c>
      <c r="I251" t="n">
        <v>5.9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14021-2025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45740</v>
      </c>
      <c r="E252" s="1" t="n">
        <v>46318</v>
      </c>
      <c r="F252" t="inlineStr">
        <is>
          <t>VÄSTRA GÖTALANDS LÄN</t>
        </is>
      </c>
      <c r="G252" t="inlineStr">
        <is>
          <t>UDDEVALLA</t>
        </is>
      </c>
      <c r="I252" t="n">
        <v>0.4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14066-2025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45740</v>
      </c>
      <c r="E253" s="1" t="n">
        <v>46318</v>
      </c>
      <c r="F253" t="inlineStr">
        <is>
          <t>VÄSTRA GÖTALANDS LÄN</t>
        </is>
      </c>
      <c r="G253" t="inlineStr">
        <is>
          <t>UDDEVALLA</t>
        </is>
      </c>
      <c r="I253" t="n">
        <v>7.5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10436-2026</t>
        </is>
      </c>
      <c r="B254" t="inlineStr">
        <is>
          <t>avverkningsanmälan</t>
        </is>
      </c>
      <c r="C254" t="inlineStr">
        <is>
          <t>Avverkning för annat ändamål</t>
        </is>
      </c>
      <c r="D254" s="1" t="n">
        <v>46076</v>
      </c>
      <c r="E254" s="1" t="n">
        <v>46318</v>
      </c>
      <c r="F254" t="inlineStr">
        <is>
          <t>VÄSTRA GÖTALANDS LÄN</t>
        </is>
      </c>
      <c r="G254" t="inlineStr">
        <is>
          <t>UDDEVALLA</t>
        </is>
      </c>
      <c r="I254" t="n">
        <v>0.7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11465-2026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46083</v>
      </c>
      <c r="E255" s="1" t="n">
        <v>46318</v>
      </c>
      <c r="F255" t="inlineStr">
        <is>
          <t>VÄSTRA GÖTALANDS LÄN</t>
        </is>
      </c>
      <c r="G255" t="inlineStr">
        <is>
          <t>UDDEVALLA</t>
        </is>
      </c>
      <c r="H255" t="inlineStr">
        <is>
          <t>Kyrkan</t>
        </is>
      </c>
      <c r="I255" t="n">
        <v>2.7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36562-2024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45537</v>
      </c>
      <c r="E256" s="1" t="n">
        <v>46318</v>
      </c>
      <c r="F256" t="inlineStr">
        <is>
          <t>VÄSTRA GÖTALANDS LÄN</t>
        </is>
      </c>
      <c r="G256" t="inlineStr">
        <is>
          <t>UDDEVALLA</t>
        </is>
      </c>
      <c r="I256" t="n">
        <v>3.6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52289-2025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45953</v>
      </c>
      <c r="E257" s="1" t="n">
        <v>46318</v>
      </c>
      <c r="F257" t="inlineStr">
        <is>
          <t>VÄSTRA GÖTALANDS LÄN</t>
        </is>
      </c>
      <c r="G257" t="inlineStr">
        <is>
          <t>UDDEVALLA</t>
        </is>
      </c>
      <c r="H257" t="inlineStr">
        <is>
          <t>Kyrkan</t>
        </is>
      </c>
      <c r="I257" t="n">
        <v>2.1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12555-2026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46090</v>
      </c>
      <c r="E258" s="1" t="n">
        <v>46318</v>
      </c>
      <c r="F258" t="inlineStr">
        <is>
          <t>VÄSTRA GÖTALANDS LÄN</t>
        </is>
      </c>
      <c r="G258" t="inlineStr">
        <is>
          <t>UDDEVALLA</t>
        </is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55542-2025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45971</v>
      </c>
      <c r="E259" s="1" t="n">
        <v>46318</v>
      </c>
      <c r="F259" t="inlineStr">
        <is>
          <t>VÄSTRA GÖTALANDS LÄN</t>
        </is>
      </c>
      <c r="G259" t="inlineStr">
        <is>
          <t>UDDEVALLA</t>
        </is>
      </c>
      <c r="H259" t="inlineStr">
        <is>
          <t>Kyrkan</t>
        </is>
      </c>
      <c r="I259" t="n">
        <v>16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59606-2025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45992</v>
      </c>
      <c r="E260" s="1" t="n">
        <v>46318</v>
      </c>
      <c r="F260" t="inlineStr">
        <is>
          <t>VÄSTRA GÖTALANDS LÄN</t>
        </is>
      </c>
      <c r="G260" t="inlineStr">
        <is>
          <t>UDDEVALLA</t>
        </is>
      </c>
      <c r="H260" t="inlineStr">
        <is>
          <t>Kyrkan</t>
        </is>
      </c>
      <c r="I260" t="n">
        <v>1.4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15334-2024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45400</v>
      </c>
      <c r="E261" s="1" t="n">
        <v>46318</v>
      </c>
      <c r="F261" t="inlineStr">
        <is>
          <t>VÄSTRA GÖTALANDS LÄN</t>
        </is>
      </c>
      <c r="G261" t="inlineStr">
        <is>
          <t>UDDEVALLA</t>
        </is>
      </c>
      <c r="H261" t="inlineStr">
        <is>
          <t>Kyrkan</t>
        </is>
      </c>
      <c r="I261" t="n">
        <v>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37427-2024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45540</v>
      </c>
      <c r="E262" s="1" t="n">
        <v>46318</v>
      </c>
      <c r="F262" t="inlineStr">
        <is>
          <t>VÄSTRA GÖTALANDS LÄN</t>
        </is>
      </c>
      <c r="G262" t="inlineStr">
        <is>
          <t>UDDEVALLA</t>
        </is>
      </c>
      <c r="H262" t="inlineStr">
        <is>
          <t>Kyrkan</t>
        </is>
      </c>
      <c r="I262" t="n">
        <v>2.9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57762-2025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45981</v>
      </c>
      <c r="E263" s="1" t="n">
        <v>46318</v>
      </c>
      <c r="F263" t="inlineStr">
        <is>
          <t>VÄSTRA GÖTALANDS LÄN</t>
        </is>
      </c>
      <c r="G263" t="inlineStr">
        <is>
          <t>UDDEVALLA</t>
        </is>
      </c>
      <c r="H263" t="inlineStr">
        <is>
          <t>Kyrkan</t>
        </is>
      </c>
      <c r="I263" t="n">
        <v>1.3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12533-2026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46090</v>
      </c>
      <c r="E264" s="1" t="n">
        <v>46318</v>
      </c>
      <c r="F264" t="inlineStr">
        <is>
          <t>VÄSTRA GÖTALANDS LÄN</t>
        </is>
      </c>
      <c r="G264" t="inlineStr">
        <is>
          <t>UDDEVALLA</t>
        </is>
      </c>
      <c r="I264" t="n">
        <v>3.9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36136-2026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46267</v>
      </c>
      <c r="E265" s="1" t="n">
        <v>46318</v>
      </c>
      <c r="F265" t="inlineStr">
        <is>
          <t>VÄSTRA GÖTALANDS LÄN</t>
        </is>
      </c>
      <c r="G265" t="inlineStr">
        <is>
          <t>UDDEVALLA</t>
        </is>
      </c>
      <c r="H265" t="inlineStr">
        <is>
          <t>Kyrkan</t>
        </is>
      </c>
      <c r="I265" t="n">
        <v>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36150-2026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46267</v>
      </c>
      <c r="E266" s="1" t="n">
        <v>46318</v>
      </c>
      <c r="F266" t="inlineStr">
        <is>
          <t>VÄSTRA GÖTALANDS LÄN</t>
        </is>
      </c>
      <c r="G266" t="inlineStr">
        <is>
          <t>UDDEVALLA</t>
        </is>
      </c>
      <c r="H266" t="inlineStr">
        <is>
          <t>Kyrkan</t>
        </is>
      </c>
      <c r="I266" t="n">
        <v>6.2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36176-2026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46267</v>
      </c>
      <c r="E267" s="1" t="n">
        <v>46318</v>
      </c>
      <c r="F267" t="inlineStr">
        <is>
          <t>VÄSTRA GÖTALANDS LÄN</t>
        </is>
      </c>
      <c r="G267" t="inlineStr">
        <is>
          <t>UDDEVALLA</t>
        </is>
      </c>
      <c r="H267" t="inlineStr">
        <is>
          <t>Kyrkan</t>
        </is>
      </c>
      <c r="I267" t="n">
        <v>1.6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41817-2026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46303</v>
      </c>
      <c r="E268" s="1" t="n">
        <v>46318</v>
      </c>
      <c r="F268" t="inlineStr">
        <is>
          <t>VÄSTRA GÖTALANDS LÄN</t>
        </is>
      </c>
      <c r="G268" t="inlineStr">
        <is>
          <t>UDDEVALLA</t>
        </is>
      </c>
      <c r="I268" t="n">
        <v>1.2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35947-2026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46266</v>
      </c>
      <c r="E269" s="1" t="n">
        <v>46318</v>
      </c>
      <c r="F269" t="inlineStr">
        <is>
          <t>VÄSTRA GÖTALANDS LÄN</t>
        </is>
      </c>
      <c r="G269" t="inlineStr">
        <is>
          <t>UDDEVALLA</t>
        </is>
      </c>
      <c r="I269" t="n">
        <v>2.2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43845-2026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46316</v>
      </c>
      <c r="E270" s="1" t="n">
        <v>46318</v>
      </c>
      <c r="F270" t="inlineStr">
        <is>
          <t>VÄSTRA GÖTALANDS LÄN</t>
        </is>
      </c>
      <c r="G270" t="inlineStr">
        <is>
          <t>UDDEVALLA</t>
        </is>
      </c>
      <c r="I270" t="n">
        <v>1.9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15674-2026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46106</v>
      </c>
      <c r="E271" s="1" t="n">
        <v>46318</v>
      </c>
      <c r="F271" t="inlineStr">
        <is>
          <t>VÄSTRA GÖTALANDS LÄN</t>
        </is>
      </c>
      <c r="G271" t="inlineStr">
        <is>
          <t>UDDEVALLA</t>
        </is>
      </c>
      <c r="I271" t="n">
        <v>5.1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16819-2026</t>
        </is>
      </c>
      <c r="B272" t="inlineStr">
        <is>
          <t>avverkningsanmälan</t>
        </is>
      </c>
      <c r="C272" t="inlineStr">
        <is>
          <t>Avverkning för annat ändamål</t>
        </is>
      </c>
      <c r="D272" s="1" t="n">
        <v>46113</v>
      </c>
      <c r="E272" s="1" t="n">
        <v>46318</v>
      </c>
      <c r="F272" t="inlineStr">
        <is>
          <t>VÄSTRA GÖTALANDS LÄN</t>
        </is>
      </c>
      <c r="G272" t="inlineStr">
        <is>
          <t>UDDEVALLA</t>
        </is>
      </c>
      <c r="I272" t="n">
        <v>6.9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30203-2026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46206</v>
      </c>
      <c r="E273" s="1" t="n">
        <v>46318</v>
      </c>
      <c r="F273" t="inlineStr">
        <is>
          <t>VÄSTRA GÖTALANDS LÄN</t>
        </is>
      </c>
      <c r="G273" t="inlineStr">
        <is>
          <t>UDDEVALLA</t>
        </is>
      </c>
      <c r="I273" t="n">
        <v>1.3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17244-2026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46119</v>
      </c>
      <c r="E274" s="1" t="n">
        <v>46318</v>
      </c>
      <c r="F274" t="inlineStr">
        <is>
          <t>VÄSTRA GÖTALANDS LÄN</t>
        </is>
      </c>
      <c r="G274" t="inlineStr">
        <is>
          <t>UDDEVALLA</t>
        </is>
      </c>
      <c r="I274" t="n">
        <v>4.4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17526-2026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46120</v>
      </c>
      <c r="E275" s="1" t="n">
        <v>46318</v>
      </c>
      <c r="F275" t="inlineStr">
        <is>
          <t>VÄSTRA GÖTALANDS LÄN</t>
        </is>
      </c>
      <c r="G275" t="inlineStr">
        <is>
          <t>UDDEVALLA</t>
        </is>
      </c>
      <c r="I275" t="n">
        <v>0.8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17729-2026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46121</v>
      </c>
      <c r="E276" s="1" t="n">
        <v>46318</v>
      </c>
      <c r="F276" t="inlineStr">
        <is>
          <t>VÄSTRA GÖTALANDS LÄN</t>
        </is>
      </c>
      <c r="G276" t="inlineStr">
        <is>
          <t>UDDEVALLA</t>
        </is>
      </c>
      <c r="I276" t="n">
        <v>1.7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18123-2026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46125</v>
      </c>
      <c r="E277" s="1" t="n">
        <v>46318</v>
      </c>
      <c r="F277" t="inlineStr">
        <is>
          <t>VÄSTRA GÖTALANDS LÄN</t>
        </is>
      </c>
      <c r="G277" t="inlineStr">
        <is>
          <t>UDDEVALLA</t>
        </is>
      </c>
      <c r="H277" t="inlineStr">
        <is>
          <t>Kommuner</t>
        </is>
      </c>
      <c r="I277" t="n">
        <v>4.5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18207-2026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46125</v>
      </c>
      <c r="E278" s="1" t="n">
        <v>46318</v>
      </c>
      <c r="F278" t="inlineStr">
        <is>
          <t>VÄSTRA GÖTALANDS LÄN</t>
        </is>
      </c>
      <c r="G278" t="inlineStr">
        <is>
          <t>UDDEVALLA</t>
        </is>
      </c>
      <c r="I278" t="n">
        <v>1.6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30517-2026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46210</v>
      </c>
      <c r="E279" s="1" t="n">
        <v>46318</v>
      </c>
      <c r="F279" t="inlineStr">
        <is>
          <t>VÄSTRA GÖTALANDS LÄN</t>
        </is>
      </c>
      <c r="G279" t="inlineStr">
        <is>
          <t>UDDEVALLA</t>
        </is>
      </c>
      <c r="H279" t="inlineStr">
        <is>
          <t>Kommuner</t>
        </is>
      </c>
      <c r="I279" t="n">
        <v>2.2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30536-2026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46210</v>
      </c>
      <c r="E280" s="1" t="n">
        <v>46318</v>
      </c>
      <c r="F280" t="inlineStr">
        <is>
          <t>VÄSTRA GÖTALANDS LÄN</t>
        </is>
      </c>
      <c r="G280" t="inlineStr">
        <is>
          <t>UDDEVALLA</t>
        </is>
      </c>
      <c r="H280" t="inlineStr">
        <is>
          <t>Kommuner</t>
        </is>
      </c>
      <c r="I280" t="n">
        <v>0.7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30815-2026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46212</v>
      </c>
      <c r="E281" s="1" t="n">
        <v>46318</v>
      </c>
      <c r="F281" t="inlineStr">
        <is>
          <t>VÄSTRA GÖTALANDS LÄN</t>
        </is>
      </c>
      <c r="G281" t="inlineStr">
        <is>
          <t>UDDEVALLA</t>
        </is>
      </c>
      <c r="H281" t="inlineStr">
        <is>
          <t>Kyrkan</t>
        </is>
      </c>
      <c r="I281" t="n">
        <v>2.2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18767-2026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46128</v>
      </c>
      <c r="E282" s="1" t="n">
        <v>46318</v>
      </c>
      <c r="F282" t="inlineStr">
        <is>
          <t>VÄSTRA GÖTALANDS LÄN</t>
        </is>
      </c>
      <c r="G282" t="inlineStr">
        <is>
          <t>UDDEVALLA</t>
        </is>
      </c>
      <c r="I282" t="n">
        <v>0.8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20137-2025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45772</v>
      </c>
      <c r="E283" s="1" t="n">
        <v>46318</v>
      </c>
      <c r="F283" t="inlineStr">
        <is>
          <t>VÄSTRA GÖTALANDS LÄN</t>
        </is>
      </c>
      <c r="G283" t="inlineStr">
        <is>
          <t>UDDEVALLA</t>
        </is>
      </c>
      <c r="I283" t="n">
        <v>1.8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18821-2026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46128</v>
      </c>
      <c r="E284" s="1" t="n">
        <v>46318</v>
      </c>
      <c r="F284" t="inlineStr">
        <is>
          <t>VÄSTRA GÖTALANDS LÄN</t>
        </is>
      </c>
      <c r="G284" t="inlineStr">
        <is>
          <t>UDDEVALLA</t>
        </is>
      </c>
      <c r="I284" t="n">
        <v>2.2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31481-2026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46222</v>
      </c>
      <c r="E285" s="1" t="n">
        <v>46318</v>
      </c>
      <c r="F285" t="inlineStr">
        <is>
          <t>VÄSTRA GÖTALANDS LÄN</t>
        </is>
      </c>
      <c r="G285" t="inlineStr">
        <is>
          <t>UDDEVALLA</t>
        </is>
      </c>
      <c r="H285" t="inlineStr">
        <is>
          <t>Kommuner</t>
        </is>
      </c>
      <c r="I285" t="n">
        <v>4.6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63397-2021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44508</v>
      </c>
      <c r="E286" s="1" t="n">
        <v>46318</v>
      </c>
      <c r="F286" t="inlineStr">
        <is>
          <t>VÄSTRA GÖTALANDS LÄN</t>
        </is>
      </c>
      <c r="G286" t="inlineStr">
        <is>
          <t>UDDEVALLA</t>
        </is>
      </c>
      <c r="I286" t="n">
        <v>1.3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34493-2025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45847</v>
      </c>
      <c r="E287" s="1" t="n">
        <v>46318</v>
      </c>
      <c r="F287" t="inlineStr">
        <is>
          <t>VÄSTRA GÖTALANDS LÄN</t>
        </is>
      </c>
      <c r="G287" t="inlineStr">
        <is>
          <t>UDDEVALLA</t>
        </is>
      </c>
      <c r="I287" t="n">
        <v>3.7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36236-2023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45150</v>
      </c>
      <c r="E288" s="1" t="n">
        <v>46318</v>
      </c>
      <c r="F288" t="inlineStr">
        <is>
          <t>VÄSTRA GÖTALANDS LÄN</t>
        </is>
      </c>
      <c r="G288" t="inlineStr">
        <is>
          <t>UDDEVALLA</t>
        </is>
      </c>
      <c r="I288" t="n">
        <v>5.2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20790-2026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46141</v>
      </c>
      <c r="E289" s="1" t="n">
        <v>46318</v>
      </c>
      <c r="F289" t="inlineStr">
        <is>
          <t>VÄSTRA GÖTALANDS LÄN</t>
        </is>
      </c>
      <c r="G289" t="inlineStr">
        <is>
          <t>UDDEVALLA</t>
        </is>
      </c>
      <c r="I289" t="n">
        <v>2.3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43276-2022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44834</v>
      </c>
      <c r="E290" s="1" t="n">
        <v>46318</v>
      </c>
      <c r="F290" t="inlineStr">
        <is>
          <t>VÄSTRA GÖTALANDS LÄN</t>
        </is>
      </c>
      <c r="G290" t="inlineStr">
        <is>
          <t>UDDEVALLA</t>
        </is>
      </c>
      <c r="I290" t="n">
        <v>1.6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2426-2026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46036</v>
      </c>
      <c r="E291" s="1" t="n">
        <v>46318</v>
      </c>
      <c r="F291" t="inlineStr">
        <is>
          <t>VÄSTRA GÖTALANDS LÄN</t>
        </is>
      </c>
      <c r="G291" t="inlineStr">
        <is>
          <t>UDDEVALLA</t>
        </is>
      </c>
      <c r="I291" t="n">
        <v>3.3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39463-2026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46288</v>
      </c>
      <c r="E292" s="1" t="n">
        <v>46318</v>
      </c>
      <c r="F292" t="inlineStr">
        <is>
          <t>VÄSTRA GÖTALANDS LÄN</t>
        </is>
      </c>
      <c r="G292" t="inlineStr">
        <is>
          <t>UDDEVALLA</t>
        </is>
      </c>
      <c r="I292" t="n">
        <v>3.3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41511-2024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45560</v>
      </c>
      <c r="E293" s="1" t="n">
        <v>46318</v>
      </c>
      <c r="F293" t="inlineStr">
        <is>
          <t>VÄSTRA GÖTALANDS LÄN</t>
        </is>
      </c>
      <c r="G293" t="inlineStr">
        <is>
          <t>UDDEVALLA</t>
        </is>
      </c>
      <c r="I293" t="n">
        <v>1.3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33865-2026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46251</v>
      </c>
      <c r="E294" s="1" t="n">
        <v>46318</v>
      </c>
      <c r="F294" t="inlineStr">
        <is>
          <t>VÄSTRA GÖTALANDS LÄN</t>
        </is>
      </c>
      <c r="G294" t="inlineStr">
        <is>
          <t>UDDEVALLA</t>
        </is>
      </c>
      <c r="I294" t="n">
        <v>1.1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32846-2023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45112</v>
      </c>
      <c r="E295" s="1" t="n">
        <v>46318</v>
      </c>
      <c r="F295" t="inlineStr">
        <is>
          <t>VÄSTRA GÖTALANDS LÄN</t>
        </is>
      </c>
      <c r="G295" t="inlineStr">
        <is>
          <t>UDDEVALLA</t>
        </is>
      </c>
      <c r="I295" t="n">
        <v>4.9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22923-2022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44715</v>
      </c>
      <c r="E296" s="1" t="n">
        <v>46318</v>
      </c>
      <c r="F296" t="inlineStr">
        <is>
          <t>VÄSTRA GÖTALANDS LÄN</t>
        </is>
      </c>
      <c r="G296" t="inlineStr">
        <is>
          <t>UDDEVALLA</t>
        </is>
      </c>
      <c r="I296" t="n">
        <v>3.4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40023-2026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46293</v>
      </c>
      <c r="E297" s="1" t="n">
        <v>46318</v>
      </c>
      <c r="F297" t="inlineStr">
        <is>
          <t>VÄSTRA GÖTALANDS LÄN</t>
        </is>
      </c>
      <c r="G297" t="inlineStr">
        <is>
          <t>UDDEVALLA</t>
        </is>
      </c>
      <c r="I297" t="n">
        <v>4.3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12169-2023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44998</v>
      </c>
      <c r="E298" s="1" t="n">
        <v>46318</v>
      </c>
      <c r="F298" t="inlineStr">
        <is>
          <t>VÄSTRA GÖTALANDS LÄN</t>
        </is>
      </c>
      <c r="G298" t="inlineStr">
        <is>
          <t>UDDEVALLA</t>
        </is>
      </c>
      <c r="I298" t="n">
        <v>2.5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45902-2024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45580</v>
      </c>
      <c r="E299" s="1" t="n">
        <v>46318</v>
      </c>
      <c r="F299" t="inlineStr">
        <is>
          <t>VÄSTRA GÖTALANDS LÄN</t>
        </is>
      </c>
      <c r="G299" t="inlineStr">
        <is>
          <t>UDDEVALLA</t>
        </is>
      </c>
      <c r="I299" t="n">
        <v>3.6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59513-2024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45638</v>
      </c>
      <c r="E300" s="1" t="n">
        <v>46318</v>
      </c>
      <c r="F300" t="inlineStr">
        <is>
          <t>VÄSTRA GÖTALANDS LÄN</t>
        </is>
      </c>
      <c r="G300" t="inlineStr">
        <is>
          <t>UDDEVALLA</t>
        </is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19980-2025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45771</v>
      </c>
      <c r="E301" s="1" t="n">
        <v>46318</v>
      </c>
      <c r="F301" t="inlineStr">
        <is>
          <t>VÄSTRA GÖTALANDS LÄN</t>
        </is>
      </c>
      <c r="G301" t="inlineStr">
        <is>
          <t>UDDEVALLA</t>
        </is>
      </c>
      <c r="I301" t="n">
        <v>5.4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33205-2023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45127</v>
      </c>
      <c r="E302" s="1" t="n">
        <v>46318</v>
      </c>
      <c r="F302" t="inlineStr">
        <is>
          <t>VÄSTRA GÖTALANDS LÄN</t>
        </is>
      </c>
      <c r="G302" t="inlineStr">
        <is>
          <t>UDDEVALLA</t>
        </is>
      </c>
      <c r="I302" t="n">
        <v>6.1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45149-2024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45575</v>
      </c>
      <c r="E303" s="1" t="n">
        <v>46318</v>
      </c>
      <c r="F303" t="inlineStr">
        <is>
          <t>VÄSTRA GÖTALANDS LÄN</t>
        </is>
      </c>
      <c r="G303" t="inlineStr">
        <is>
          <t>UDDEVALLA</t>
        </is>
      </c>
      <c r="I303" t="n">
        <v>1.9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40026-2024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45553</v>
      </c>
      <c r="E304" s="1" t="n">
        <v>46318</v>
      </c>
      <c r="F304" t="inlineStr">
        <is>
          <t>VÄSTRA GÖTALANDS LÄN</t>
        </is>
      </c>
      <c r="G304" t="inlineStr">
        <is>
          <t>UDDEVALLA</t>
        </is>
      </c>
      <c r="I304" t="n">
        <v>1.3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34671-2026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46258</v>
      </c>
      <c r="E305" s="1" t="n">
        <v>46318</v>
      </c>
      <c r="F305" t="inlineStr">
        <is>
          <t>VÄSTRA GÖTALANDS LÄN</t>
        </is>
      </c>
      <c r="G305" t="inlineStr">
        <is>
          <t>UDDEVALLA</t>
        </is>
      </c>
      <c r="I305" t="n">
        <v>1.5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59829-2023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45257</v>
      </c>
      <c r="E306" s="1" t="n">
        <v>46318</v>
      </c>
      <c r="F306" t="inlineStr">
        <is>
          <t>VÄSTRA GÖTALANDS LÄN</t>
        </is>
      </c>
      <c r="G306" t="inlineStr">
        <is>
          <t>UDDEVALLA</t>
        </is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19981-2025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45771</v>
      </c>
      <c r="E307" s="1" t="n">
        <v>46318</v>
      </c>
      <c r="F307" t="inlineStr">
        <is>
          <t>VÄSTRA GÖTALANDS LÄN</t>
        </is>
      </c>
      <c r="G307" t="inlineStr">
        <is>
          <t>UDDEVALLA</t>
        </is>
      </c>
      <c r="I307" t="n">
        <v>4.9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17964-2022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44683</v>
      </c>
      <c r="E308" s="1" t="n">
        <v>46318</v>
      </c>
      <c r="F308" t="inlineStr">
        <is>
          <t>VÄSTRA GÖTALANDS LÄN</t>
        </is>
      </c>
      <c r="G308" t="inlineStr">
        <is>
          <t>UDDEVALLA</t>
        </is>
      </c>
      <c r="I308" t="n">
        <v>1.3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55254-2023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45237</v>
      </c>
      <c r="E309" s="1" t="n">
        <v>46318</v>
      </c>
      <c r="F309" t="inlineStr">
        <is>
          <t>VÄSTRA GÖTALANDS LÄN</t>
        </is>
      </c>
      <c r="G309" t="inlineStr">
        <is>
          <t>UDDEVALLA</t>
        </is>
      </c>
      <c r="I309" t="n">
        <v>1.1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21491-2026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46148</v>
      </c>
      <c r="E310" s="1" t="n">
        <v>46318</v>
      </c>
      <c r="F310" t="inlineStr">
        <is>
          <t>VÄSTRA GÖTALANDS LÄN</t>
        </is>
      </c>
      <c r="G310" t="inlineStr">
        <is>
          <t>UDDEVALLA</t>
        </is>
      </c>
      <c r="I310" t="n">
        <v>3.3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1331-2025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45667</v>
      </c>
      <c r="E311" s="1" t="n">
        <v>46318</v>
      </c>
      <c r="F311" t="inlineStr">
        <is>
          <t>VÄSTRA GÖTALANDS LÄN</t>
        </is>
      </c>
      <c r="G311" t="inlineStr">
        <is>
          <t>UDDEVALLA</t>
        </is>
      </c>
      <c r="I311" t="n">
        <v>3.1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25061-2026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46174</v>
      </c>
      <c r="E312" s="1" t="n">
        <v>46318</v>
      </c>
      <c r="F312" t="inlineStr">
        <is>
          <t>VÄSTRA GÖTALANDS LÄN</t>
        </is>
      </c>
      <c r="G312" t="inlineStr">
        <is>
          <t>UDDEVALLA</t>
        </is>
      </c>
      <c r="I312" t="n">
        <v>1.1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41692-2026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46302</v>
      </c>
      <c r="E313" s="1" t="n">
        <v>46318</v>
      </c>
      <c r="F313" t="inlineStr">
        <is>
          <t>VÄSTRA GÖTALANDS LÄN</t>
        </is>
      </c>
      <c r="G313" t="inlineStr">
        <is>
          <t>UDDEVALLA</t>
        </is>
      </c>
      <c r="I313" t="n">
        <v>3.1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41806-2026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46303</v>
      </c>
      <c r="E314" s="1" t="n">
        <v>46318</v>
      </c>
      <c r="F314" t="inlineStr">
        <is>
          <t>VÄSTRA GÖTALANDS LÄN</t>
        </is>
      </c>
      <c r="G314" t="inlineStr">
        <is>
          <t>UDDEVALLA</t>
        </is>
      </c>
      <c r="I314" t="n">
        <v>1.4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39559-2023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45167</v>
      </c>
      <c r="E315" s="1" t="n">
        <v>46318</v>
      </c>
      <c r="F315" t="inlineStr">
        <is>
          <t>VÄSTRA GÖTALANDS LÄN</t>
        </is>
      </c>
      <c r="G315" t="inlineStr">
        <is>
          <t>UDDEVALLA</t>
        </is>
      </c>
      <c r="I315" t="n">
        <v>1.3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2047-2025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45672</v>
      </c>
      <c r="E316" s="1" t="n">
        <v>46318</v>
      </c>
      <c r="F316" t="inlineStr">
        <is>
          <t>VÄSTRA GÖTALANDS LÄN</t>
        </is>
      </c>
      <c r="G316" t="inlineStr">
        <is>
          <t>UDDEVALLA</t>
        </is>
      </c>
      <c r="I316" t="n">
        <v>1.8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659-2025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45664</v>
      </c>
      <c r="E317" s="1" t="n">
        <v>46318</v>
      </c>
      <c r="F317" t="inlineStr">
        <is>
          <t>VÄSTRA GÖTALANDS LÄN</t>
        </is>
      </c>
      <c r="G317" t="inlineStr">
        <is>
          <t>UDDEVALLA</t>
        </is>
      </c>
      <c r="I317" t="n">
        <v>3.5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7771-2023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44973</v>
      </c>
      <c r="E318" s="1" t="n">
        <v>46318</v>
      </c>
      <c r="F318" t="inlineStr">
        <is>
          <t>VÄSTRA GÖTALANDS LÄN</t>
        </is>
      </c>
      <c r="G318" t="inlineStr">
        <is>
          <t>UDDEVALLA</t>
        </is>
      </c>
      <c r="I318" t="n">
        <v>1.2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18916-2025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45764</v>
      </c>
      <c r="E319" s="1" t="n">
        <v>46318</v>
      </c>
      <c r="F319" t="inlineStr">
        <is>
          <t>VÄSTRA GÖTALANDS LÄN</t>
        </is>
      </c>
      <c r="G319" t="inlineStr">
        <is>
          <t>UDDEVALLA</t>
        </is>
      </c>
      <c r="I319" t="n">
        <v>0.8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36105-2026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46267</v>
      </c>
      <c r="E320" s="1" t="n">
        <v>46318</v>
      </c>
      <c r="F320" t="inlineStr">
        <is>
          <t>VÄSTRA GÖTALANDS LÄN</t>
        </is>
      </c>
      <c r="G320" t="inlineStr">
        <is>
          <t>UDDEVALLA</t>
        </is>
      </c>
      <c r="I320" t="n">
        <v>0.7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2647-2024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45314</v>
      </c>
      <c r="E321" s="1" t="n">
        <v>46318</v>
      </c>
      <c r="F321" t="inlineStr">
        <is>
          <t>VÄSTRA GÖTALANDS LÄN</t>
        </is>
      </c>
      <c r="G321" t="inlineStr">
        <is>
          <t>UDDEVALLA</t>
        </is>
      </c>
      <c r="I321" t="n">
        <v>4.2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30744-2026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46211</v>
      </c>
      <c r="E322" s="1" t="n">
        <v>46318</v>
      </c>
      <c r="F322" t="inlineStr">
        <is>
          <t>VÄSTRA GÖTALANDS LÄN</t>
        </is>
      </c>
      <c r="G322" t="inlineStr">
        <is>
          <t>UDDEVALLA</t>
        </is>
      </c>
      <c r="I322" t="n">
        <v>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43067-2026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46311</v>
      </c>
      <c r="E323" s="1" t="n">
        <v>46318</v>
      </c>
      <c r="F323" t="inlineStr">
        <is>
          <t>VÄSTRA GÖTALANDS LÄN</t>
        </is>
      </c>
      <c r="G323" t="inlineStr">
        <is>
          <t>UDDEVALLA</t>
        </is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11788-2024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45374</v>
      </c>
      <c r="E324" s="1" t="n">
        <v>46318</v>
      </c>
      <c r="F324" t="inlineStr">
        <is>
          <t>VÄSTRA GÖTALANDS LÄN</t>
        </is>
      </c>
      <c r="G324" t="inlineStr">
        <is>
          <t>UDDEVALLA</t>
        </is>
      </c>
      <c r="I324" t="n">
        <v>8.5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240-2023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44928</v>
      </c>
      <c r="E325" s="1" t="n">
        <v>46318</v>
      </c>
      <c r="F325" t="inlineStr">
        <is>
          <t>VÄSTRA GÖTALANDS LÄN</t>
        </is>
      </c>
      <c r="G325" t="inlineStr">
        <is>
          <t>UDDEVALLA</t>
        </is>
      </c>
      <c r="I325" t="n">
        <v>0.7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24081-2024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45456</v>
      </c>
      <c r="E326" s="1" t="n">
        <v>46318</v>
      </c>
      <c r="F326" t="inlineStr">
        <is>
          <t>VÄSTRA GÖTALANDS LÄN</t>
        </is>
      </c>
      <c r="G326" t="inlineStr">
        <is>
          <t>UDDEVALLA</t>
        </is>
      </c>
      <c r="I326" t="n">
        <v>1.7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38557-2022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44813</v>
      </c>
      <c r="E327" s="1" t="n">
        <v>46318</v>
      </c>
      <c r="F327" t="inlineStr">
        <is>
          <t>VÄSTRA GÖTALANDS LÄN</t>
        </is>
      </c>
      <c r="G327" t="inlineStr">
        <is>
          <t>UDDEVALLA</t>
        </is>
      </c>
      <c r="I327" t="n">
        <v>0.9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15634-2023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45021</v>
      </c>
      <c r="E328" s="1" t="n">
        <v>46318</v>
      </c>
      <c r="F328" t="inlineStr">
        <is>
          <t>VÄSTRA GÖTALANDS LÄN</t>
        </is>
      </c>
      <c r="G328" t="inlineStr">
        <is>
          <t>UDDEVALLA</t>
        </is>
      </c>
      <c r="I328" t="n">
        <v>1.6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55731-2023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45239</v>
      </c>
      <c r="E329" s="1" t="n">
        <v>46318</v>
      </c>
      <c r="F329" t="inlineStr">
        <is>
          <t>VÄSTRA GÖTALANDS LÄN</t>
        </is>
      </c>
      <c r="G329" t="inlineStr">
        <is>
          <t>UDDEVALLA</t>
        </is>
      </c>
      <c r="I329" t="n">
        <v>1.5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73437-2021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44551</v>
      </c>
      <c r="E330" s="1" t="n">
        <v>46318</v>
      </c>
      <c r="F330" t="inlineStr">
        <is>
          <t>VÄSTRA GÖTALANDS LÄN</t>
        </is>
      </c>
      <c r="G330" t="inlineStr">
        <is>
          <t>UDDEVALLA</t>
        </is>
      </c>
      <c r="I330" t="n">
        <v>8.1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1956-2023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44924</v>
      </c>
      <c r="E331" s="1" t="n">
        <v>46318</v>
      </c>
      <c r="F331" t="inlineStr">
        <is>
          <t>VÄSTRA GÖTALANDS LÄN</t>
        </is>
      </c>
      <c r="G331" t="inlineStr">
        <is>
          <t>UDDEVALLA</t>
        </is>
      </c>
      <c r="I331" t="n">
        <v>2.4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34792-2023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45141</v>
      </c>
      <c r="E332" s="1" t="n">
        <v>46318</v>
      </c>
      <c r="F332" t="inlineStr">
        <is>
          <t>VÄSTRA GÖTALANDS LÄN</t>
        </is>
      </c>
      <c r="G332" t="inlineStr">
        <is>
          <t>UDDEVALLA</t>
        </is>
      </c>
      <c r="I332" t="n">
        <v>1.5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33761-2023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45133</v>
      </c>
      <c r="E333" s="1" t="n">
        <v>46318</v>
      </c>
      <c r="F333" t="inlineStr">
        <is>
          <t>VÄSTRA GÖTALANDS LÄN</t>
        </is>
      </c>
      <c r="G333" t="inlineStr">
        <is>
          <t>UDDEVALLA</t>
        </is>
      </c>
      <c r="I333" t="n">
        <v>0.4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S 342-2024</t>
        </is>
      </c>
      <c r="B334" t="inlineStr">
        <is>
          <t>samrådsanmälan</t>
        </is>
      </c>
      <c r="C334" t="inlineStr">
        <is>
          <t>Stubbskörd</t>
        </is>
      </c>
      <c r="D334" s="1" t="n">
        <v>45328</v>
      </c>
      <c r="E334" s="1" t="n">
        <v>46318</v>
      </c>
      <c r="F334" t="inlineStr">
        <is>
          <t>VÄSTRA GÖTALANDS LÄN</t>
        </is>
      </c>
      <c r="G334" t="inlineStr">
        <is>
          <t>UDDEVALLA</t>
        </is>
      </c>
      <c r="I334" t="n">
        <v>2.3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S 3240-2024</t>
        </is>
      </c>
      <c r="B335" t="inlineStr">
        <is>
          <t>samrådsanmälan</t>
        </is>
      </c>
      <c r="C335" t="inlineStr">
        <is>
          <t>Stubbskörd</t>
        </is>
      </c>
      <c r="D335" s="1" t="n">
        <v>45526</v>
      </c>
      <c r="E335" s="1" t="n">
        <v>46318</v>
      </c>
      <c r="F335" t="inlineStr">
        <is>
          <t>VÄSTRA GÖTALANDS LÄN</t>
        </is>
      </c>
      <c r="G335" t="inlineStr">
        <is>
          <t>UDDEVALLA</t>
        </is>
      </c>
      <c r="I335" t="n">
        <v>4.5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>
      <c r="A336" t="inlineStr">
        <is>
          <t>S 1088-2026</t>
        </is>
      </c>
      <c r="B336" t="inlineStr">
        <is>
          <t>samrådsanmälan</t>
        </is>
      </c>
      <c r="C336" t="inlineStr">
        <is>
          <t>Annan skogsbruksåtgärd</t>
        </is>
      </c>
      <c r="D336" s="1" t="n">
        <v>46129</v>
      </c>
      <c r="E336" s="1" t="n">
        <v>46318</v>
      </c>
      <c r="F336" t="inlineStr">
        <is>
          <t>VÄSTRA GÖTALANDS LÄN</t>
        </is>
      </c>
      <c r="G336" t="inlineStr">
        <is>
          <t>UDDEVALLA</t>
        </is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2026-10-23T02:03:41Z</dcterms:created>
  <dcterms:modified xmlns:dcterms="http://purl.org/dc/terms/" xmlns:xsi="http://www.w3.org/2001/XMLSchema-instance" xsi:type="dcterms:W3CDTF">2026-10-23T02:03:42Z</dcterms:modified>
</cp:coreProperties>
</file>