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45660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45660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45660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45660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45660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45660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45660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45660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45660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45660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45660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969-2024</t>
        </is>
      </c>
      <c r="B13" s="1" t="n">
        <v>45301</v>
      </c>
      <c r="C13" s="1" t="n">
        <v>45660</v>
      </c>
      <c r="D13" t="inlineStr">
        <is>
          <t>VÄSTRA GÖTALANDS LÄN</t>
        </is>
      </c>
      <c r="E13" t="inlineStr">
        <is>
          <t>UDDEVALLA</t>
        </is>
      </c>
      <c r="G13" t="n">
        <v>17.4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HYPERLINK("https://klasma.github.io/Logging_1485/artfynd/A 969-2024 artfynd.xlsx", "A 969-2024")</f>
        <v/>
      </c>
      <c r="T13">
        <f>HYPERLINK("https://klasma.github.io/Logging_1485/kartor/A 969-2024 karta.png", "A 969-2024")</f>
        <v/>
      </c>
      <c r="V13">
        <f>HYPERLINK("https://klasma.github.io/Logging_1485/klagomål/A 969-2024 FSC-klagomål.docx", "A 969-2024")</f>
        <v/>
      </c>
      <c r="W13">
        <f>HYPERLINK("https://klasma.github.io/Logging_1485/klagomålsmail/A 969-2024 FSC-klagomål mail.docx", "A 969-2024")</f>
        <v/>
      </c>
      <c r="X13">
        <f>HYPERLINK("https://klasma.github.io/Logging_1485/tillsyn/A 969-2024 tillsynsbegäran.docx", "A 969-2024")</f>
        <v/>
      </c>
      <c r="Y13">
        <f>HYPERLINK("https://klasma.github.io/Logging_1485/tillsynsmail/A 969-2024 tillsynsbegäran mail.docx", "A 969-2024")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45660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45660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45660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45660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45660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62048-2024</t>
        </is>
      </c>
      <c r="B19" s="1" t="n">
        <v>45656</v>
      </c>
      <c r="C19" s="1" t="n">
        <v>45660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3.8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HYPERLINK("https://klasma.github.io/Logging_1485/artfynd/A 62048-2024 artfynd.xlsx", "A 62048-2024")</f>
        <v/>
      </c>
      <c r="T19">
        <f>HYPERLINK("https://klasma.github.io/Logging_1485/kartor/A 62048-2024 karta.png", "A 62048-2024")</f>
        <v/>
      </c>
      <c r="V19">
        <f>HYPERLINK("https://klasma.github.io/Logging_1485/klagomål/A 62048-2024 FSC-klagomål.docx", "A 62048-2024")</f>
        <v/>
      </c>
      <c r="W19">
        <f>HYPERLINK("https://klasma.github.io/Logging_1485/klagomålsmail/A 62048-2024 FSC-klagomål mail.docx", "A 62048-2024")</f>
        <v/>
      </c>
      <c r="X19">
        <f>HYPERLINK("https://klasma.github.io/Logging_1485/tillsyn/A 62048-2024 tillsynsbegäran.docx", "A 62048-2024")</f>
        <v/>
      </c>
      <c r="Y19">
        <f>HYPERLINK("https://klasma.github.io/Logging_1485/tillsynsmail/A 62048-2024 tillsynsbegäran mail.docx", "A 62048-2024")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45660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45660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45660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45660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45660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45660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45660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45660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45660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45660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45660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45660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45660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45660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7725-2024</t>
        </is>
      </c>
      <c r="B34" s="1" t="n">
        <v>45349</v>
      </c>
      <c r="C34" s="1" t="n">
        <v>45660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7725-2024 artfynd.xlsx", "A 7725-2024")</f>
        <v/>
      </c>
      <c r="T34">
        <f>HYPERLINK("https://klasma.github.io/Logging_1485/kartor/A 7725-2024 karta.png", "A 7725-2024")</f>
        <v/>
      </c>
      <c r="V34">
        <f>HYPERLINK("https://klasma.github.io/Logging_1485/klagomål/A 7725-2024 FSC-klagomål.docx", "A 7725-2024")</f>
        <v/>
      </c>
      <c r="W34">
        <f>HYPERLINK("https://klasma.github.io/Logging_1485/klagomålsmail/A 7725-2024 FSC-klagomål mail.docx", "A 7725-2024")</f>
        <v/>
      </c>
      <c r="X34">
        <f>HYPERLINK("https://klasma.github.io/Logging_1485/tillsyn/A 7725-2024 tillsynsbegäran.docx", "A 7725-2024")</f>
        <v/>
      </c>
      <c r="Y34">
        <f>HYPERLINK("https://klasma.github.io/Logging_1485/tillsynsmail/A 7725-2024 tillsynsbegäran mail.docx", "A 7725-2024")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45660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45660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45660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45660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45660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45660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45660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45660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45660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45660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45660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45660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45660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45660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45660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45660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45660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45660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45660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45660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45660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45660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45660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45660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45660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45660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45660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45660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45660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45660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45660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45660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45660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45660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45660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45660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45660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45660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45660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45660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45660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45660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45660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45660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45660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45660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45660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45660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45660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45660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45660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45660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45660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45660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45660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45660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45660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45660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45660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45660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45660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45660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45660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45660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45660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45660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45660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45660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45660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45660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45660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45660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45660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45660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45660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45660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45660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45660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45660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45660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45660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45660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45660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45660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45660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45660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45660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45660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45660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45660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45660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45660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45660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45660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45660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45660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45660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45660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45660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45660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45660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45660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45660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45660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45660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45660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45660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45660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45660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45660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45660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45660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45660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45660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45660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45660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45660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45660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45660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45660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45660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45660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45660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45660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45660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45660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45660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45660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45660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45660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45660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45660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45660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45660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45660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45660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45660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45660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45660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45660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45660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45660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45660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45660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45660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45660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45660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45660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45660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45660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45660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45660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45660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45660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45660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45660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45660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45660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45660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45660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45660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45660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45660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45660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45660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45660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45660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45660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45660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45660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45660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45660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45660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45660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45660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45660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45660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45660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45660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45660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45660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45660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45660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45660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45660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45660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45660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45660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45660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45660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45660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45660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45660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45660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45660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45660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45660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45660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45660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45660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45660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45660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45660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45660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45660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45660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45660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45660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45660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45660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45660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45660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45660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45660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45660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45660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45660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45660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45660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45660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45660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45660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45660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45660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45660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45660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45660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45660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45660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45660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45660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45660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45660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45660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45660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45660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45660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45660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45660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45660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45660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45660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45660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45660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45660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45660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45660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45660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45660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45660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45660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45660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45660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45660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45660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45660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45660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45660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45660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45660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45660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45660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45660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45660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45660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45660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45660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45660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45660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45660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45660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45660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45660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45660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45660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45660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45660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45660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45660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45660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45660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45660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45660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45660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45660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45660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45660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45660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45660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45660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45660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45660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45660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45660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45660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45660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45660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45660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45660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45660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45660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45660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45660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45660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45660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45660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45660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45660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45660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45660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45660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45660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45660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45660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45660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45660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45660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45660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45660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45660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45660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45660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45660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45660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45660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45660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45660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45660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45660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45660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45660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45660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45660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45660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45660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45660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45660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45660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45660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45660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45660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45660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45660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45660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45660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45660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45660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45660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45660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45660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45660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45660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45660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45660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45660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45660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45660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45660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45660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45660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45660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45660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45660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45660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45660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45660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45660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45660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45660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45660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45660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45660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45660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45660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45660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45660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45660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45660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45660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45660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45660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45660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45660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45660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45660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45660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45660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45660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45660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45660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45660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45660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45660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45660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45660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45660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45660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45660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45660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45660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45660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45660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45660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45660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45660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45660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45660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45660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45660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45660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45660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45660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45660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45660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45660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45660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45660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45660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45660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45660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45660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45660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45660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45660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45660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45660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45660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45660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45660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45660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45660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45660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45660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45660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45660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45660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45660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45660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45660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45660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45660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45660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45660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45660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45660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45660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45660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45660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59476-2024</t>
        </is>
      </c>
      <c r="B483" s="1" t="n">
        <v>45638</v>
      </c>
      <c r="C483" s="1" t="n">
        <v>45660</v>
      </c>
      <c r="D483" t="inlineStr">
        <is>
          <t>VÄSTRA GÖTALANDS LÄN</t>
        </is>
      </c>
      <c r="E483" t="inlineStr">
        <is>
          <t>UDDEVALLA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45660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60241-2024</t>
        </is>
      </c>
      <c r="B485" s="1" t="n">
        <v>45642</v>
      </c>
      <c r="C485" s="1" t="n">
        <v>45660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60245-2024</t>
        </is>
      </c>
      <c r="B486" s="1" t="n">
        <v>45642</v>
      </c>
      <c r="C486" s="1" t="n">
        <v>45660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60247-2024</t>
        </is>
      </c>
      <c r="B487" s="1" t="n">
        <v>45642</v>
      </c>
      <c r="C487" s="1" t="n">
        <v>45660</v>
      </c>
      <c r="D487" t="inlineStr">
        <is>
          <t>VÄSTRA GÖTALANDS LÄN</t>
        </is>
      </c>
      <c r="E487" t="inlineStr">
        <is>
          <t>UDDEVALLA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60251-2024</t>
        </is>
      </c>
      <c r="B488" s="1" t="n">
        <v>45642</v>
      </c>
      <c r="C488" s="1" t="n">
        <v>45660</v>
      </c>
      <c r="D488" t="inlineStr">
        <is>
          <t>VÄSTRA GÖTALANDS LÄN</t>
        </is>
      </c>
      <c r="E488" t="inlineStr">
        <is>
          <t>UDDEVALLA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60242-2024</t>
        </is>
      </c>
      <c r="B489" s="1" t="n">
        <v>45642</v>
      </c>
      <c r="C489" s="1" t="n">
        <v>45660</v>
      </c>
      <c r="D489" t="inlineStr">
        <is>
          <t>VÄSTRA GÖTALANDS LÄN</t>
        </is>
      </c>
      <c r="E489" t="inlineStr">
        <is>
          <t>UDDEVALLA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60250-2024</t>
        </is>
      </c>
      <c r="B490" s="1" t="n">
        <v>45642</v>
      </c>
      <c r="C490" s="1" t="n">
        <v>45660</v>
      </c>
      <c r="D490" t="inlineStr">
        <is>
          <t>VÄSTRA GÖTALANDS LÄN</t>
        </is>
      </c>
      <c r="E490" t="inlineStr">
        <is>
          <t>UDDEVALLA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45660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45660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45660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62036-2024</t>
        </is>
      </c>
      <c r="B494" s="1" t="n">
        <v>45656</v>
      </c>
      <c r="C494" s="1" t="n">
        <v>45660</v>
      </c>
      <c r="D494" t="inlineStr">
        <is>
          <t>VÄSTRA GÖTALANDS LÄN</t>
        </is>
      </c>
      <c r="E494" t="inlineStr">
        <is>
          <t>UDDEVALLA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62040-2024</t>
        </is>
      </c>
      <c r="B495" s="1" t="n">
        <v>45656</v>
      </c>
      <c r="C495" s="1" t="n">
        <v>45660</v>
      </c>
      <c r="D495" t="inlineStr">
        <is>
          <t>VÄSTRA GÖTALANDS LÄN</t>
        </is>
      </c>
      <c r="E495" t="inlineStr">
        <is>
          <t>UDDEVALLA</t>
        </is>
      </c>
      <c r="F495" t="inlineStr">
        <is>
          <t>Kommuner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62037-2024</t>
        </is>
      </c>
      <c r="B496" s="1" t="n">
        <v>45656</v>
      </c>
      <c r="C496" s="1" t="n">
        <v>45660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62041-2024</t>
        </is>
      </c>
      <c r="B497" s="1" t="n">
        <v>45656</v>
      </c>
      <c r="C497" s="1" t="n">
        <v>45660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62045-2024</t>
        </is>
      </c>
      <c r="B498" s="1" t="n">
        <v>45656</v>
      </c>
      <c r="C498" s="1" t="n">
        <v>45660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62053-2024</t>
        </is>
      </c>
      <c r="B499" s="1" t="n">
        <v>45656</v>
      </c>
      <c r="C499" s="1" t="n">
        <v>45660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62073-2024</t>
        </is>
      </c>
      <c r="B500" s="1" t="n">
        <v>45656</v>
      </c>
      <c r="C500" s="1" t="n">
        <v>45660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62077-2024</t>
        </is>
      </c>
      <c r="B501" s="1" t="n">
        <v>45656</v>
      </c>
      <c r="C501" s="1" t="n">
        <v>45660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62068-2024</t>
        </is>
      </c>
      <c r="B502" s="1" t="n">
        <v>45656</v>
      </c>
      <c r="C502" s="1" t="n">
        <v>45660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62072-2024</t>
        </is>
      </c>
      <c r="B503" s="1" t="n">
        <v>45656</v>
      </c>
      <c r="C503" s="1" t="n">
        <v>45660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62098-2024</t>
        </is>
      </c>
      <c r="B504" s="1" t="n">
        <v>45656</v>
      </c>
      <c r="C504" s="1" t="n">
        <v>45660</v>
      </c>
      <c r="D504" t="inlineStr">
        <is>
          <t>VÄSTRA GÖTALANDS LÄN</t>
        </is>
      </c>
      <c r="E504" t="inlineStr">
        <is>
          <t>UDDEVALLA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62042-2024</t>
        </is>
      </c>
      <c r="B505" s="1" t="n">
        <v>45656</v>
      </c>
      <c r="C505" s="1" t="n">
        <v>45660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62043-2024</t>
        </is>
      </c>
      <c r="B506" s="1" t="n">
        <v>45656</v>
      </c>
      <c r="C506" s="1" t="n">
        <v>45660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62051-2024</t>
        </is>
      </c>
      <c r="B507" s="1" t="n">
        <v>45656</v>
      </c>
      <c r="C507" s="1" t="n">
        <v>45660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45660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45660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62075-2024</t>
        </is>
      </c>
      <c r="B510" s="1" t="n">
        <v>45656</v>
      </c>
      <c r="C510" s="1" t="n">
        <v>45660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62106-2024</t>
        </is>
      </c>
      <c r="B511" s="1" t="n">
        <v>45656</v>
      </c>
      <c r="C511" s="1" t="n">
        <v>45660</v>
      </c>
      <c r="D511" t="inlineStr">
        <is>
          <t>VÄSTRA GÖTALANDS LÄN</t>
        </is>
      </c>
      <c r="E511" t="inlineStr">
        <is>
          <t>UDDEVALLA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62074-2024</t>
        </is>
      </c>
      <c r="B512" s="1" t="n">
        <v>45656</v>
      </c>
      <c r="C512" s="1" t="n">
        <v>45660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2025-01-03T15:41:44Z</dcterms:created>
  <dcterms:modified xmlns:dcterms="http://purl.org/dc/terms/" xmlns:xsi="http://www.w3.org/2001/XMLSchema-instance" xsi:type="dcterms:W3CDTF">2025-01-03T15:41:45Z</dcterms:modified>
</cp:coreProperties>
</file>