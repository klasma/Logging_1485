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46222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46222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46222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46222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s="2" t="inlineStr">
        <is>
          <t>Grönhjon
Klippfrullania
Stor revmossa
Västlig hakmossa
Spillkråka
Revlummer</t>
        </is>
      </c>
      <c r="V6">
        <f>HYPERLINK("https://klasma.github.io/Logging_1485/artfynd/A 3427-2024 artfynd.xlsx", "A 3427-2024")</f>
        <v/>
      </c>
      <c r="W6">
        <f>HYPERLINK("https://klasma.github.io/Logging_1485/kartor/A 3427-2024 karta.png", "A 3427-2024")</f>
        <v/>
      </c>
      <c r="Y6">
        <f>HYPERLINK("https://klasma.github.io/Logging_1485/klagomål/A 3427-2024 FSC-klagomål.docx", "A 3427-2024")</f>
        <v/>
      </c>
      <c r="Z6">
        <f>HYPERLINK("https://klasma.github.io/Logging_1485/klagomålsmail/A 3427-2024 FSC-klagomål mail.docx", "A 3427-2024")</f>
        <v/>
      </c>
      <c r="AA6">
        <f>HYPERLINK("https://klasma.github.io/Logging_1485/tillsyn/A 3427-2024 tillsynsbegäran.docx", "A 3427-2024")</f>
        <v/>
      </c>
      <c r="AB6">
        <f>HYPERLINK("https://klasma.github.io/Logging_1485/tillsynsmail/A 3427-2024 tillsynsbegäran mail.docx", "A 3427-2024")</f>
        <v/>
      </c>
      <c r="AC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46222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Y7">
        <f>HYPERLINK("https://klasma.github.io/Logging_1485/klagomål/A 29688-2023 FSC-klagomål.docx", "A 29688-2023")</f>
        <v/>
      </c>
      <c r="Z7">
        <f>HYPERLINK("https://klasma.github.io/Logging_1485/klagomålsmail/A 29688-2023 FSC-klagomål mail.docx", "A 29688-2023")</f>
        <v/>
      </c>
      <c r="AA7">
        <f>HYPERLINK("https://klasma.github.io/Logging_1485/tillsyn/A 29688-2023 tillsynsbegäran.docx", "A 29688-2023")</f>
        <v/>
      </c>
      <c r="AB7">
        <f>HYPERLINK("https://klasma.github.io/Logging_1485/tillsynsmail/A 29688-2023 tillsynsbegäran mail.docx", "A 29688-2023")</f>
        <v/>
      </c>
      <c r="AC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46222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Y8">
        <f>HYPERLINK("https://klasma.github.io/Logging_1485/klagomål/A 11824-2025 FSC-klagomål.docx", "A 11824-2025")</f>
        <v/>
      </c>
      <c r="Z8">
        <f>HYPERLINK("https://klasma.github.io/Logging_1485/klagomålsmail/A 11824-2025 FSC-klagomål mail.docx", "A 11824-2025")</f>
        <v/>
      </c>
      <c r="AA8">
        <f>HYPERLINK("https://klasma.github.io/Logging_1485/tillsyn/A 11824-2025 tillsynsbegäran.docx", "A 11824-2025")</f>
        <v/>
      </c>
      <c r="AB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46222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46222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46222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25010-2025 artfynd.xlsx", "A 25010-2025")</f>
        <v/>
      </c>
      <c r="W12">
        <f>HYPERLINK("https://klasma.github.io/Logging_1485/kartor/A 25010-2025 karta.png", "A 25010-2025")</f>
        <v/>
      </c>
      <c r="Y12">
        <f>HYPERLINK("https://klasma.github.io/Logging_1485/klagomål/A 25010-2025 FSC-klagomål.docx", "A 25010-2025")</f>
        <v/>
      </c>
      <c r="Z12">
        <f>HYPERLINK("https://klasma.github.io/Logging_1485/klagomålsmail/A 25010-2025 FSC-klagomål mail.docx", "A 25010-2025")</f>
        <v/>
      </c>
      <c r="AA12">
        <f>HYPERLINK("https://klasma.github.io/Logging_1485/tillsyn/A 25010-2025 tillsynsbegäran.docx", "A 25010-2025")</f>
        <v/>
      </c>
      <c r="AB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46222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62065-2024 artfynd.xlsx", "A 62065-2024")</f>
        <v/>
      </c>
      <c r="W13">
        <f>HYPERLINK("https://klasma.github.io/Logging_1485/kartor/A 62065-2024 karta.png", "A 62065-2024")</f>
        <v/>
      </c>
      <c r="Y13">
        <f>HYPERLINK("https://klasma.github.io/Logging_1485/klagomål/A 62065-2024 FSC-klagomål.docx", "A 62065-2024")</f>
        <v/>
      </c>
      <c r="Z13">
        <f>HYPERLINK("https://klasma.github.io/Logging_1485/klagomålsmail/A 62065-2024 FSC-klagomål mail.docx", "A 62065-2024")</f>
        <v/>
      </c>
      <c r="AA13">
        <f>HYPERLINK("https://klasma.github.io/Logging_1485/tillsyn/A 62065-2024 tillsynsbegäran.docx", "A 62065-2024")</f>
        <v/>
      </c>
      <c r="AB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46222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46222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Blåmossa
Västlig hakmossa
Spillkråka</t>
        </is>
      </c>
      <c r="V15">
        <f>HYPERLINK("https://klasma.github.io/Logging_1485/artfynd/A 3435-2024 artfynd.xlsx", "A 3435-2024")</f>
        <v/>
      </c>
      <c r="W15">
        <f>HYPERLINK("https://klasma.github.io/Logging_1485/kartor/A 3435-2024 karta.png", "A 3435-2024")</f>
        <v/>
      </c>
      <c r="Y15">
        <f>HYPERLINK("https://klasma.github.io/Logging_1485/klagomål/A 3435-2024 FSC-klagomål.docx", "A 3435-2024")</f>
        <v/>
      </c>
      <c r="Z15">
        <f>HYPERLINK("https://klasma.github.io/Logging_1485/klagomålsmail/A 3435-2024 FSC-klagomål mail.docx", "A 3435-2024")</f>
        <v/>
      </c>
      <c r="AA15">
        <f>HYPERLINK("https://klasma.github.io/Logging_1485/tillsyn/A 3435-2024 tillsynsbegäran.docx", "A 3435-2024")</f>
        <v/>
      </c>
      <c r="AB15">
        <f>HYPERLINK("https://klasma.github.io/Logging_1485/tillsynsmail/A 3435-2024 tillsynsbegäran mail.docx", "A 3435-2024")</f>
        <v/>
      </c>
      <c r="AC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Kråka
Gullviva
Revlummer</t>
        </is>
      </c>
      <c r="V16">
        <f>HYPERLINK("https://klasma.github.io/Logging_1485/artfynd/A 24986-2026 artfynd.xlsx", "A 24986-2026")</f>
        <v/>
      </c>
      <c r="W16">
        <f>HYPERLINK("https://klasma.github.io/Logging_1485/kartor/A 24986-2026 karta.png", "A 24986-2026")</f>
        <v/>
      </c>
      <c r="Y16">
        <f>HYPERLINK("https://klasma.github.io/Logging_1485/klagomål/A 24986-2026 FSC-klagomål.docx", "A 24986-2026")</f>
        <v/>
      </c>
      <c r="Z16">
        <f>HYPERLINK("https://klasma.github.io/Logging_1485/klagomålsmail/A 24986-2026 FSC-klagomål mail.docx", "A 24986-2026")</f>
        <v/>
      </c>
      <c r="AA16">
        <f>HYPERLINK("https://klasma.github.io/Logging_1485/tillsyn/A 24986-2026 tillsynsbegäran.docx", "A 24986-2026")</f>
        <v/>
      </c>
      <c r="AB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46222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46222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Kambräken
Kopparödla</t>
        </is>
      </c>
      <c r="V18">
        <f>HYPERLINK("https://klasma.github.io/Logging_1485/artfynd/A 16863-2025 artfynd.xlsx", "A 16863-2025")</f>
        <v/>
      </c>
      <c r="W18">
        <f>HYPERLINK("https://klasma.github.io/Logging_1485/kartor/A 16863-2025 karta.png", "A 16863-2025")</f>
        <v/>
      </c>
      <c r="Y18">
        <f>HYPERLINK("https://klasma.github.io/Logging_1485/klagomål/A 16863-2025 FSC-klagomål.docx", "A 16863-2025")</f>
        <v/>
      </c>
      <c r="Z18">
        <f>HYPERLINK("https://klasma.github.io/Logging_1485/klagomålsmail/A 16863-2025 FSC-klagomål mail.docx", "A 16863-2025")</f>
        <v/>
      </c>
      <c r="AA18">
        <f>HYPERLINK("https://klasma.github.io/Logging_1485/tillsyn/A 16863-2025 tillsynsbegäran.docx", "A 16863-2025")</f>
        <v/>
      </c>
      <c r="AB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46222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Ask
Entita</t>
        </is>
      </c>
      <c r="V19">
        <f>HYPERLINK("https://klasma.github.io/Logging_1485/artfynd/A 41292-2022 artfynd.xlsx", "A 41292-2022")</f>
        <v/>
      </c>
      <c r="W19">
        <f>HYPERLINK("https://klasma.github.io/Logging_1485/kartor/A 41292-2022 karta.png", "A 41292-2022")</f>
        <v/>
      </c>
      <c r="Y19">
        <f>HYPERLINK("https://klasma.github.io/Logging_1485/klagomål/A 41292-2022 FSC-klagomål.docx", "A 41292-2022")</f>
        <v/>
      </c>
      <c r="Z19">
        <f>HYPERLINK("https://klasma.github.io/Logging_1485/klagomålsmail/A 41292-2022 FSC-klagomål mail.docx", "A 41292-2022")</f>
        <v/>
      </c>
      <c r="AA19">
        <f>HYPERLINK("https://klasma.github.io/Logging_1485/tillsyn/A 41292-2022 tillsynsbegäran.docx", "A 41292-2022")</f>
        <v/>
      </c>
      <c r="AB19">
        <f>HYPERLINK("https://klasma.github.io/Logging_1485/tillsynsmail/A 41292-2022 tillsynsbegäran mail.docx", "A 41292-2022")</f>
        <v/>
      </c>
      <c r="AC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46222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Brunpudrad nållav
Blåmossa</t>
        </is>
      </c>
      <c r="V20">
        <f>HYPERLINK("https://klasma.github.io/Logging_1485/artfynd/A 266-2025 artfynd.xlsx", "A 266-2025")</f>
        <v/>
      </c>
      <c r="W20">
        <f>HYPERLINK("https://klasma.github.io/Logging_1485/kartor/A 266-2025 karta.png", "A 266-2025")</f>
        <v/>
      </c>
      <c r="Y20">
        <f>HYPERLINK("https://klasma.github.io/Logging_1485/klagomål/A 266-2025 FSC-klagomål.docx", "A 266-2025")</f>
        <v/>
      </c>
      <c r="Z20">
        <f>HYPERLINK("https://klasma.github.io/Logging_1485/klagomålsmail/A 266-2025 FSC-klagomål mail.docx", "A 266-2025")</f>
        <v/>
      </c>
      <c r="AA20">
        <f>HYPERLINK("https://klasma.github.io/Logging_1485/tillsyn/A 266-2025 tillsynsbegäran.docx", "A 266-2025")</f>
        <v/>
      </c>
      <c r="AB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Lundvårlök</t>
        </is>
      </c>
      <c r="V21">
        <f>HYPERLINK("https://klasma.github.io/Logging_1485/artfynd/A 57654-2025 artfynd.xlsx", "A 57654-2025")</f>
        <v/>
      </c>
      <c r="W21">
        <f>HYPERLINK("https://klasma.github.io/Logging_1485/kartor/A 57654-2025 karta.png", "A 57654-2025")</f>
        <v/>
      </c>
      <c r="Y21">
        <f>HYPERLINK("https://klasma.github.io/Logging_1485/klagomål/A 57654-2025 FSC-klagomål.docx", "A 57654-2025")</f>
        <v/>
      </c>
      <c r="Z21">
        <f>HYPERLINK("https://klasma.github.io/Logging_1485/klagomålsmail/A 57654-2025 FSC-klagomål mail.docx", "A 57654-2025")</f>
        <v/>
      </c>
      <c r="AA21">
        <f>HYPERLINK("https://klasma.github.io/Logging_1485/tillsyn/A 57654-2025 tillsynsbegäran.docx", "A 57654-2025")</f>
        <v/>
      </c>
      <c r="AB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46222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Iller
Svinrot</t>
        </is>
      </c>
      <c r="V22">
        <f>HYPERLINK("https://klasma.github.io/Logging_1485/artfynd/A 16882-2026 artfynd.xlsx", "A 16882-2026")</f>
        <v/>
      </c>
      <c r="W22">
        <f>HYPERLINK("https://klasma.github.io/Logging_1485/kartor/A 16882-2026 karta.png", "A 16882-2026")</f>
        <v/>
      </c>
      <c r="Y22">
        <f>HYPERLINK("https://klasma.github.io/Logging_1485/klagomål/A 16882-2026 FSC-klagomål.docx", "A 16882-2026")</f>
        <v/>
      </c>
      <c r="Z22">
        <f>HYPERLINK("https://klasma.github.io/Logging_1485/klagomålsmail/A 16882-2026 FSC-klagomål mail.docx", "A 16882-2026")</f>
        <v/>
      </c>
      <c r="AA22">
        <f>HYPERLINK("https://klasma.github.io/Logging_1485/tillsyn/A 16882-2026 tillsynsbegäran.docx", "A 16882-2026")</f>
        <v/>
      </c>
      <c r="AB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46222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Spillkråka
Revlummer</t>
        </is>
      </c>
      <c r="V23">
        <f>HYPERLINK("https://klasma.github.io/Logging_1485/artfynd/A 17995-2026 artfynd.xlsx", "A 17995-2026")</f>
        <v/>
      </c>
      <c r="W23">
        <f>HYPERLINK("https://klasma.github.io/Logging_1485/kartor/A 17995-2026 karta.png", "A 17995-2026")</f>
        <v/>
      </c>
      <c r="Y23">
        <f>HYPERLINK("https://klasma.github.io/Logging_1485/klagomål/A 17995-2026 FSC-klagomål.docx", "A 17995-2026")</f>
        <v/>
      </c>
      <c r="Z23">
        <f>HYPERLINK("https://klasma.github.io/Logging_1485/klagomålsmail/A 17995-2026 FSC-klagomål mail.docx", "A 17995-2026")</f>
        <v/>
      </c>
      <c r="AA23">
        <f>HYPERLINK("https://klasma.github.io/Logging_1485/tillsyn/A 17995-2026 tillsynsbegäran.docx", "A 17995-2026")</f>
        <v/>
      </c>
      <c r="AB23">
        <f>HYPERLINK("https://klasma.github.io/Logging_1485/tillsynsmail/A 17995-2026 tillsynsbegäran mail.docx", "A 17995-2026")</f>
        <v/>
      </c>
      <c r="AC23">
        <f>HYPERLINK("https://klasma.github.io/Logging_1485/fåglar/A 17995-2026 prioriterade fågelarter.docx", "A 17995-2026")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46222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s="2" t="inlineStr">
        <is>
          <t>Grönhjon
Granbarkgnagare</t>
        </is>
      </c>
      <c r="V24">
        <f>HYPERLINK("https://klasma.github.io/Logging_1485/artfynd/A 32523-2024 artfynd.xlsx", "A 32523-2024")</f>
        <v/>
      </c>
      <c r="W24">
        <f>HYPERLINK("https://klasma.github.io/Logging_1485/kartor/A 32523-2024 karta.png", "A 32523-2024")</f>
        <v/>
      </c>
      <c r="Y24">
        <f>HYPERLINK("https://klasma.github.io/Logging_1485/klagomål/A 32523-2024 FSC-klagomål.docx", "A 32523-2024")</f>
        <v/>
      </c>
      <c r="Z24">
        <f>HYPERLINK("https://klasma.github.io/Logging_1485/klagomålsmail/A 32523-2024 FSC-klagomål mail.docx", "A 32523-2024")</f>
        <v/>
      </c>
      <c r="AA24">
        <f>HYPERLINK("https://klasma.github.io/Logging_1485/tillsyn/A 32523-2024 tillsynsbegäran.docx", "A 32523-2024")</f>
        <v/>
      </c>
      <c r="AB24">
        <f>HYPERLINK("https://klasma.github.io/Logging_1485/tillsynsmail/A 32523-2024 tillsynsbegäran mail.docx", "A 32523-2024")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46222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Klippfrullania
Västlig hakmossa</t>
        </is>
      </c>
      <c r="V25">
        <f>HYPERLINK("https://klasma.github.io/Logging_1485/artfynd/A 3432-2024 artfynd.xlsx", "A 3432-2024")</f>
        <v/>
      </c>
      <c r="W25">
        <f>HYPERLINK("https://klasma.github.io/Logging_1485/kartor/A 3432-2024 karta.png", "A 3432-2024")</f>
        <v/>
      </c>
      <c r="Y25">
        <f>HYPERLINK("https://klasma.github.io/Logging_1485/klagomål/A 3432-2024 FSC-klagomål.docx", "A 3432-2024")</f>
        <v/>
      </c>
      <c r="Z25">
        <f>HYPERLINK("https://klasma.github.io/Logging_1485/klagomålsmail/A 3432-2024 FSC-klagomål mail.docx", "A 3432-2024")</f>
        <v/>
      </c>
      <c r="AA25">
        <f>HYPERLINK("https://klasma.github.io/Logging_1485/tillsyn/A 3432-2024 tillsynsbegäran.docx", "A 3432-2024")</f>
        <v/>
      </c>
      <c r="AB25">
        <f>HYPERLINK("https://klasma.github.io/Logging_1485/tillsynsmail/A 3432-2024 tillsynsbegäran mail.docx", "A 3432-2024")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46222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Grönhjon
Granbarkgnagare</t>
        </is>
      </c>
      <c r="V26">
        <f>HYPERLINK("https://klasma.github.io/Logging_1485/artfynd/A 32528-2024 artfynd.xlsx", "A 32528-2024")</f>
        <v/>
      </c>
      <c r="W26">
        <f>HYPERLINK("https://klasma.github.io/Logging_1485/kartor/A 32528-2024 karta.png", "A 32528-2024")</f>
        <v/>
      </c>
      <c r="Y26">
        <f>HYPERLINK("https://klasma.github.io/Logging_1485/klagomål/A 32528-2024 FSC-klagomål.docx", "A 32528-2024")</f>
        <v/>
      </c>
      <c r="Z26">
        <f>HYPERLINK("https://klasma.github.io/Logging_1485/klagomålsmail/A 32528-2024 FSC-klagomål mail.docx", "A 32528-2024")</f>
        <v/>
      </c>
      <c r="AA26">
        <f>HYPERLINK("https://klasma.github.io/Logging_1485/tillsyn/A 32528-2024 tillsynsbegäran.docx", "A 32528-2024")</f>
        <v/>
      </c>
      <c r="AB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46222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Åttafläckig praktbagge</t>
        </is>
      </c>
      <c r="V27">
        <f>HYPERLINK("https://klasma.github.io/Logging_1485/artfynd/A 65109-2023 artfynd.xlsx", "A 65109-2023")</f>
        <v/>
      </c>
      <c r="W27">
        <f>HYPERLINK("https://klasma.github.io/Logging_1485/kartor/A 65109-2023 karta.png", "A 65109-2023")</f>
        <v/>
      </c>
      <c r="Y27">
        <f>HYPERLINK("https://klasma.github.io/Logging_1485/klagomål/A 65109-2023 FSC-klagomål.docx", "A 65109-2023")</f>
        <v/>
      </c>
      <c r="Z27">
        <f>HYPERLINK("https://klasma.github.io/Logging_1485/klagomålsmail/A 65109-2023 FSC-klagomål mail.docx", "A 65109-2023")</f>
        <v/>
      </c>
      <c r="AA27">
        <f>HYPERLINK("https://klasma.github.io/Logging_1485/tillsyn/A 65109-2023 tillsynsbegäran.docx", "A 65109-2023")</f>
        <v/>
      </c>
      <c r="AB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46222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Y28">
        <f>HYPERLINK("https://klasma.github.io/Logging_1485/klagomål/A 8666-2024 FSC-klagomål.docx", "A 8666-2024")</f>
        <v/>
      </c>
      <c r="Z28">
        <f>HYPERLINK("https://klasma.github.io/Logging_1485/klagomålsmail/A 8666-2024 FSC-klagomål mail.docx", "A 8666-2024")</f>
        <v/>
      </c>
      <c r="AA28">
        <f>HYPERLINK("https://klasma.github.io/Logging_1485/tillsyn/A 8666-2024 tillsynsbegäran.docx", "A 8666-2024")</f>
        <v/>
      </c>
      <c r="AB28">
        <f>HYPERLINK("https://klasma.github.io/Logging_1485/tillsynsmail/A 8666-2024 tillsynsbegäran mail.docx", "A 8666-2024")</f>
        <v/>
      </c>
      <c r="AC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46222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46222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46222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46222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Lundvaxskivling</t>
        </is>
      </c>
      <c r="V32">
        <f>HYPERLINK("https://klasma.github.io/Logging_1485/artfynd/A 34058-2023 artfynd.xlsx", "A 34058-2023")</f>
        <v/>
      </c>
      <c r="W32">
        <f>HYPERLINK("https://klasma.github.io/Logging_1485/kartor/A 34058-2023 karta.png", "A 34058-2023")</f>
        <v/>
      </c>
      <c r="Y32">
        <f>HYPERLINK("https://klasma.github.io/Logging_1485/klagomål/A 34058-2023 FSC-klagomål.docx", "A 34058-2023")</f>
        <v/>
      </c>
      <c r="Z32">
        <f>HYPERLINK("https://klasma.github.io/Logging_1485/klagomålsmail/A 34058-2023 FSC-klagomål mail.docx", "A 34058-2023")</f>
        <v/>
      </c>
      <c r="AA32">
        <f>HYPERLINK("https://klasma.github.io/Logging_1485/tillsyn/A 34058-2023 tillsynsbegäran.docx", "A 34058-2023")</f>
        <v/>
      </c>
      <c r="AB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46222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HYPERLINK("https://klasma.github.io/Logging_1485/artfynd/A 495-2023 artfynd.xlsx", "A 495-2023")</f>
        <v/>
      </c>
      <c r="W33">
        <f>HYPERLINK("https://klasma.github.io/Logging_1485/kartor/A 495-2023 karta.png", "A 495-2023")</f>
        <v/>
      </c>
      <c r="Y33">
        <f>HYPERLINK("https://klasma.github.io/Logging_1485/klagomål/A 495-2023 FSC-klagomål.docx", "A 495-2023")</f>
        <v/>
      </c>
      <c r="Z33">
        <f>HYPERLINK("https://klasma.github.io/Logging_1485/klagomålsmail/A 495-2023 FSC-klagomål mail.docx", "A 495-2023")</f>
        <v/>
      </c>
      <c r="AA33">
        <f>HYPERLINK("https://klasma.github.io/Logging_1485/tillsyn/A 495-2023 tillsynsbegäran.docx", "A 495-2023")</f>
        <v/>
      </c>
      <c r="AB33">
        <f>HYPERLINK("https://klasma.github.io/Logging_1485/tillsynsmail/A 495-2023 tillsynsbegäran mail.docx", "A 495-2023")</f>
        <v/>
      </c>
      <c r="AC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46222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HYPERLINK("https://klasma.github.io/Logging_1485/artfynd/A 30954-2025 artfynd.xlsx", "A 30954-2025")</f>
        <v/>
      </c>
      <c r="W34">
        <f>HYPERLINK("https://klasma.github.io/Logging_1485/kartor/A 30954-2025 karta.png", "A 30954-2025")</f>
        <v/>
      </c>
      <c r="Y34">
        <f>HYPERLINK("https://klasma.github.io/Logging_1485/klagomål/A 30954-2025 FSC-klagomål.docx", "A 30954-2025")</f>
        <v/>
      </c>
      <c r="Z34">
        <f>HYPERLINK("https://klasma.github.io/Logging_1485/klagomålsmail/A 30954-2025 FSC-klagomål mail.docx", "A 30954-2025")</f>
        <v/>
      </c>
      <c r="AA34">
        <f>HYPERLINK("https://klasma.github.io/Logging_1485/tillsyn/A 30954-2025 tillsynsbegäran.docx", "A 30954-2025")</f>
        <v/>
      </c>
      <c r="AB34">
        <f>HYPERLINK("https://klasma.github.io/Logging_1485/tillsynsmail/A 30954-2025 tillsynsbegäran mail.docx", "A 30954-2025")</f>
        <v/>
      </c>
    </row>
    <row r="35" ht="15" customHeight="1">
      <c r="A35" t="inlineStr">
        <is>
          <t>A 9424-2026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46071</v>
      </c>
      <c r="E35" s="1" t="n">
        <v>46222</v>
      </c>
      <c r="F35" t="inlineStr">
        <is>
          <t>VÄSTRA GÖTALANDS LÄN</t>
        </is>
      </c>
      <c r="G35" t="inlineStr">
        <is>
          <t>UDDEVALLA</t>
        </is>
      </c>
      <c r="I35" t="n">
        <v>4.3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Flotagräs</t>
        </is>
      </c>
      <c r="V35">
        <f>HYPERLINK("https://klasma.github.io/Logging_1485/artfynd/A 9424-2026 artfynd.xlsx", "A 9424-2026")</f>
        <v/>
      </c>
      <c r="W35">
        <f>HYPERLINK("https://klasma.github.io/Logging_1485/kartor/A 9424-2026 karta.png", "A 9424-2026")</f>
        <v/>
      </c>
      <c r="Y35">
        <f>HYPERLINK("https://klasma.github.io/Logging_1485/klagomål/A 9424-2026 FSC-klagomål.docx", "A 9424-2026")</f>
        <v/>
      </c>
      <c r="Z35">
        <f>HYPERLINK("https://klasma.github.io/Logging_1485/klagomålsmail/A 9424-2026 FSC-klagomål mail.docx", "A 9424-2026")</f>
        <v/>
      </c>
      <c r="AA35">
        <f>HYPERLINK("https://klasma.github.io/Logging_1485/tillsyn/A 9424-2026 tillsynsbegäran.docx", "A 9424-2026")</f>
        <v/>
      </c>
      <c r="AB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46222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Blåsippa</t>
        </is>
      </c>
      <c r="V36">
        <f>HYPERLINK("https://klasma.github.io/Logging_1485/artfynd/A 7770-2024 artfynd.xlsx", "A 7770-2024")</f>
        <v/>
      </c>
      <c r="W36">
        <f>HYPERLINK("https://klasma.github.io/Logging_1485/kartor/A 7770-2024 karta.png", "A 7770-2024")</f>
        <v/>
      </c>
      <c r="Y36">
        <f>HYPERLINK("https://klasma.github.io/Logging_1485/klagomål/A 7770-2024 FSC-klagomål.docx", "A 7770-2024")</f>
        <v/>
      </c>
      <c r="Z36">
        <f>HYPERLINK("https://klasma.github.io/Logging_1485/klagomålsmail/A 7770-2024 FSC-klagomål mail.docx", "A 7770-2024")</f>
        <v/>
      </c>
      <c r="AA36">
        <f>HYPERLINK("https://klasma.github.io/Logging_1485/tillsyn/A 7770-2024 tillsynsbegäran.docx", "A 7770-2024")</f>
        <v/>
      </c>
      <c r="AB36">
        <f>HYPERLINK("https://klasma.github.io/Logging_1485/tillsynsmail/A 7770-2024 tillsynsbegäran mail.docx", "A 7770-2024")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46222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HYPERLINK("https://klasma.github.io/Logging_1485/artfynd/A 10865-2022 artfynd.xlsx", "A 10865-2022")</f>
        <v/>
      </c>
      <c r="W37">
        <f>HYPERLINK("https://klasma.github.io/Logging_1485/kartor/A 10865-2022 karta.png", "A 10865-2022")</f>
        <v/>
      </c>
      <c r="Y37">
        <f>HYPERLINK("https://klasma.github.io/Logging_1485/klagomål/A 10865-2022 FSC-klagomål.docx", "A 10865-2022")</f>
        <v/>
      </c>
      <c r="Z37">
        <f>HYPERLINK("https://klasma.github.io/Logging_1485/klagomålsmail/A 10865-2022 FSC-klagomål mail.docx", "A 10865-2022")</f>
        <v/>
      </c>
      <c r="AA37">
        <f>HYPERLINK("https://klasma.github.io/Logging_1485/tillsyn/A 10865-2022 tillsynsbegäran.docx", "A 10865-2022")</f>
        <v/>
      </c>
      <c r="AB37">
        <f>HYPERLINK("https://klasma.github.io/Logging_1485/tillsynsmail/A 10865-2022 tillsynsbegäran mail.docx", "A 10865-2022")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46222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Kopparödla</t>
        </is>
      </c>
      <c r="V38">
        <f>HYPERLINK("https://klasma.github.io/Logging_1485/artfynd/A 29691-2023 artfynd.xlsx", "A 29691-2023")</f>
        <v/>
      </c>
      <c r="W38">
        <f>HYPERLINK("https://klasma.github.io/Logging_1485/kartor/A 29691-2023 karta.png", "A 29691-2023")</f>
        <v/>
      </c>
      <c r="Y38">
        <f>HYPERLINK("https://klasma.github.io/Logging_1485/klagomål/A 29691-2023 FSC-klagomål.docx", "A 29691-2023")</f>
        <v/>
      </c>
      <c r="Z38">
        <f>HYPERLINK("https://klasma.github.io/Logging_1485/klagomålsmail/A 29691-2023 FSC-klagomål mail.docx", "A 29691-2023")</f>
        <v/>
      </c>
      <c r="AA38">
        <f>HYPERLINK("https://klasma.github.io/Logging_1485/tillsyn/A 29691-2023 tillsynsbegäran.docx", "A 29691-2023")</f>
        <v/>
      </c>
      <c r="AB38">
        <f>HYPERLINK("https://klasma.github.io/Logging_1485/tillsynsmail/A 29691-2023 tillsynsbegäran mail.docx", "A 29691-2023")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46222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Gröngöling</t>
        </is>
      </c>
      <c r="V39">
        <f>HYPERLINK("https://klasma.github.io/Logging_1485/artfynd/A 22603-2023 artfynd.xlsx", "A 22603-2023")</f>
        <v/>
      </c>
      <c r="W39">
        <f>HYPERLINK("https://klasma.github.io/Logging_1485/kartor/A 22603-2023 karta.png", "A 22603-2023")</f>
        <v/>
      </c>
      <c r="Y39">
        <f>HYPERLINK("https://klasma.github.io/Logging_1485/klagomål/A 22603-2023 FSC-klagomål.docx", "A 22603-2023")</f>
        <v/>
      </c>
      <c r="Z39">
        <f>HYPERLINK("https://klasma.github.io/Logging_1485/klagomålsmail/A 22603-2023 FSC-klagomål mail.docx", "A 22603-2023")</f>
        <v/>
      </c>
      <c r="AA39">
        <f>HYPERLINK("https://klasma.github.io/Logging_1485/tillsyn/A 22603-2023 tillsynsbegäran.docx", "A 22603-2023")</f>
        <v/>
      </c>
      <c r="AB39">
        <f>HYPERLINK("https://klasma.github.io/Logging_1485/tillsynsmail/A 22603-2023 tillsynsbegäran mail.docx", "A 22603-2023")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46222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Grönsångare</t>
        </is>
      </c>
      <c r="V40">
        <f>HYPERLINK("https://klasma.github.io/Logging_1485/artfynd/A 50274-2024 artfynd.xlsx", "A 50274-2024")</f>
        <v/>
      </c>
      <c r="W40">
        <f>HYPERLINK("https://klasma.github.io/Logging_1485/kartor/A 50274-2024 karta.png", "A 50274-2024")</f>
        <v/>
      </c>
      <c r="Y40">
        <f>HYPERLINK("https://klasma.github.io/Logging_1485/klagomål/A 50274-2024 FSC-klagomål.docx", "A 50274-2024")</f>
        <v/>
      </c>
      <c r="Z40">
        <f>HYPERLINK("https://klasma.github.io/Logging_1485/klagomålsmail/A 50274-2024 FSC-klagomål mail.docx", "A 50274-2024")</f>
        <v/>
      </c>
      <c r="AA40">
        <f>HYPERLINK("https://klasma.github.io/Logging_1485/tillsyn/A 50274-2024 tillsynsbegäran.docx", "A 50274-2024")</f>
        <v/>
      </c>
      <c r="AB40">
        <f>HYPERLINK("https://klasma.github.io/Logging_1485/tillsynsmail/A 50274-2024 tillsynsbegäran mail.docx", "A 50274-2024")</f>
        <v/>
      </c>
      <c r="AC40">
        <f>HYPERLINK("https://klasma.github.io/Logging_1485/fåglar/A 50274-2024 prioriterade fågelarter.docx", "A 50274-2024")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46222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HYPERLINK("https://klasma.github.io/Logging_1485/artfynd/A 55288-2023 artfynd.xlsx", "A 55288-2023")</f>
        <v/>
      </c>
      <c r="W41">
        <f>HYPERLINK("https://klasma.github.io/Logging_1485/kartor/A 55288-2023 karta.png", "A 55288-2023")</f>
        <v/>
      </c>
      <c r="Y41">
        <f>HYPERLINK("https://klasma.github.io/Logging_1485/klagomål/A 55288-2023 FSC-klagomål.docx", "A 55288-2023")</f>
        <v/>
      </c>
      <c r="Z41">
        <f>HYPERLINK("https://klasma.github.io/Logging_1485/klagomålsmail/A 55288-2023 FSC-klagomål mail.docx", "A 55288-2023")</f>
        <v/>
      </c>
      <c r="AA41">
        <f>HYPERLINK("https://klasma.github.io/Logging_1485/tillsyn/A 55288-2023 tillsynsbegäran.docx", "A 55288-2023")</f>
        <v/>
      </c>
      <c r="AB41">
        <f>HYPERLINK("https://klasma.github.io/Logging_1485/tillsynsmail/A 55288-2023 tillsynsbegäran mail.docx", "A 55288-2023")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46222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Slåttergubbe</t>
        </is>
      </c>
      <c r="V42">
        <f>HYPERLINK("https://klasma.github.io/Logging_1485/artfynd/A 2429-2026 artfynd.xlsx", "A 2429-2026")</f>
        <v/>
      </c>
      <c r="W42">
        <f>HYPERLINK("https://klasma.github.io/Logging_1485/kartor/A 2429-2026 karta.png", "A 2429-2026")</f>
        <v/>
      </c>
      <c r="Y42">
        <f>HYPERLINK("https://klasma.github.io/Logging_1485/klagomål/A 2429-2026 FSC-klagomål.docx", "A 2429-2026")</f>
        <v/>
      </c>
      <c r="Z42">
        <f>HYPERLINK("https://klasma.github.io/Logging_1485/klagomålsmail/A 2429-2026 FSC-klagomål mail.docx", "A 2429-2026")</f>
        <v/>
      </c>
      <c r="AA42">
        <f>HYPERLINK("https://klasma.github.io/Logging_1485/tillsyn/A 2429-2026 tillsynsbegäran.docx", "A 2429-2026")</f>
        <v/>
      </c>
      <c r="AB42">
        <f>HYPERLINK("https://klasma.github.io/Logging_1485/tillsynsmail/A 2429-2026 tillsynsbegäran mail.docx", "A 2429-2026")</f>
        <v/>
      </c>
    </row>
    <row r="43" ht="15" customHeight="1">
      <c r="A43" t="inlineStr">
        <is>
          <t>A 236-2023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46222</v>
      </c>
      <c r="F43" t="inlineStr">
        <is>
          <t>VÄSTRA GÖTALANDS LÄN</t>
        </is>
      </c>
      <c r="G43" t="inlineStr">
        <is>
          <t>UDDEVALLA</t>
        </is>
      </c>
      <c r="I43" t="n">
        <v>16.7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Rödgul trumpetsvamp</t>
        </is>
      </c>
      <c r="V43">
        <f>HYPERLINK("https://klasma.github.io/Logging_1485/artfynd/A 236-2023 artfynd.xlsx", "A 236-2023")</f>
        <v/>
      </c>
      <c r="W43">
        <f>HYPERLINK("https://klasma.github.io/Logging_1485/kartor/A 236-2023 karta.png", "A 236-2023")</f>
        <v/>
      </c>
      <c r="Y43">
        <f>HYPERLINK("https://klasma.github.io/Logging_1485/klagomål/A 236-2023 FSC-klagomål.docx", "A 236-2023")</f>
        <v/>
      </c>
      <c r="Z43">
        <f>HYPERLINK("https://klasma.github.io/Logging_1485/klagomålsmail/A 236-2023 FSC-klagomål mail.docx", "A 236-2023")</f>
        <v/>
      </c>
      <c r="AA43">
        <f>HYPERLINK("https://klasma.github.io/Logging_1485/tillsyn/A 236-2023 tillsynsbegäran.docx", "A 236-2023")</f>
        <v/>
      </c>
      <c r="AB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46222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HYPERLINK("https://klasma.github.io/Logging_1485/artfynd/A 23401-2023 artfynd.xlsx", "A 23401-2023")</f>
        <v/>
      </c>
      <c r="W44">
        <f>HYPERLINK("https://klasma.github.io/Logging_1485/kartor/A 23401-2023 karta.png", "A 23401-2023")</f>
        <v/>
      </c>
      <c r="Y44">
        <f>HYPERLINK("https://klasma.github.io/Logging_1485/klagomål/A 23401-2023 FSC-klagomål.docx", "A 23401-2023")</f>
        <v/>
      </c>
      <c r="Z44">
        <f>HYPERLINK("https://klasma.github.io/Logging_1485/klagomålsmail/A 23401-2023 FSC-klagomål mail.docx", "A 23401-2023")</f>
        <v/>
      </c>
      <c r="AA44">
        <f>HYPERLINK("https://klasma.github.io/Logging_1485/tillsyn/A 23401-2023 tillsynsbegäran.docx", "A 23401-2023")</f>
        <v/>
      </c>
      <c r="AB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46222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Kungsörn</t>
        </is>
      </c>
      <c r="V45">
        <f>HYPERLINK("https://klasma.github.io/Logging_1485/artfynd/A 23322-2025 artfynd.xlsx", "A 23322-2025")</f>
        <v/>
      </c>
      <c r="W45">
        <f>HYPERLINK("https://klasma.github.io/Logging_1485/kartor/A 23322-2025 karta.png", "A 23322-2025")</f>
        <v/>
      </c>
      <c r="Y45">
        <f>HYPERLINK("https://klasma.github.io/Logging_1485/klagomål/A 23322-2025 FSC-klagomål.docx", "A 23322-2025")</f>
        <v/>
      </c>
      <c r="Z45">
        <f>HYPERLINK("https://klasma.github.io/Logging_1485/klagomålsmail/A 23322-2025 FSC-klagomål mail.docx", "A 23322-2025")</f>
        <v/>
      </c>
      <c r="AA45">
        <f>HYPERLINK("https://klasma.github.io/Logging_1485/tillsyn/A 23322-2025 tillsynsbegäran.docx", "A 23322-2025")</f>
        <v/>
      </c>
      <c r="AB45">
        <f>HYPERLINK("https://klasma.github.io/Logging_1485/tillsynsmail/A 23322-2025 tillsynsbegäran mail.docx", "A 23322-2025")</f>
        <v/>
      </c>
      <c r="AC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46222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46222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46222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46222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46222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46222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46222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46222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46222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46222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46222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46222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46222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46222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46222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46222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46222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46222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46222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46222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46222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46222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46222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46222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46222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46222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44794</v>
      </c>
      <c r="E72" s="1" t="n">
        <v>46222</v>
      </c>
      <c r="F72" t="inlineStr">
        <is>
          <t>VÄSTRA GÖTALANDS LÄN</t>
        </is>
      </c>
      <c r="G72" t="inlineStr">
        <is>
          <t>UDDEVALLA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46222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46222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46222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46222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46222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46222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46222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46222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46222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46222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46222</v>
      </c>
      <c r="F83" t="inlineStr">
        <is>
          <t>VÄSTRA GÖTALANDS LÄN</t>
        </is>
      </c>
      <c r="G83" t="inlineStr">
        <is>
          <t>UDDEVALLA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46222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46222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46222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46222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46222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39355-2024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46222</v>
      </c>
      <c r="F89" t="inlineStr">
        <is>
          <t>VÄSTRA GÖTALANDS LÄN</t>
        </is>
      </c>
      <c r="G89" t="inlineStr">
        <is>
          <t>UDDEVALLA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27529-2023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46222</v>
      </c>
      <c r="F90" t="inlineStr">
        <is>
          <t>VÄSTRA GÖTALANDS LÄN</t>
        </is>
      </c>
      <c r="G90" t="inlineStr">
        <is>
          <t>UDDEVALLA</t>
        </is>
      </c>
      <c r="I90" t="n">
        <v>9.699999999999999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46222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44624</v>
      </c>
      <c r="E92" s="1" t="n">
        <v>46222</v>
      </c>
      <c r="F92" t="inlineStr">
        <is>
          <t>VÄSTRA GÖTALANDS LÄN</t>
        </is>
      </c>
      <c r="G92" t="inlineStr">
        <is>
          <t>UDDEVALLA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46222</v>
      </c>
      <c r="F93" t="inlineStr">
        <is>
          <t>VÄSTRA GÖTALANDS LÄN</t>
        </is>
      </c>
      <c r="G93" t="inlineStr">
        <is>
          <t>UDDEVALLA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10900-2025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45722</v>
      </c>
      <c r="E94" s="1" t="n">
        <v>46222</v>
      </c>
      <c r="F94" t="inlineStr">
        <is>
          <t>VÄSTRA GÖTALANDS LÄN</t>
        </is>
      </c>
      <c r="G94" t="inlineStr">
        <is>
          <t>UDDEVALLA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23895-2024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46222</v>
      </c>
      <c r="F95" t="inlineStr">
        <is>
          <t>VÄSTRA GÖTALANDS LÄN</t>
        </is>
      </c>
      <c r="G95" t="inlineStr">
        <is>
          <t>UDDEVALLA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46222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50879-2024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46222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46222</v>
      </c>
      <c r="F98" t="inlineStr">
        <is>
          <t>VÄSTRA GÖTALANDS LÄN</t>
        </is>
      </c>
      <c r="G98" t="inlineStr">
        <is>
          <t>UDDEVALLA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46222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46222</v>
      </c>
      <c r="F100" t="inlineStr">
        <is>
          <t>VÄSTRA GÖTALANDS LÄN</t>
        </is>
      </c>
      <c r="G100" t="inlineStr">
        <is>
          <t>UDDEVALLA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46222</v>
      </c>
      <c r="F101" t="inlineStr">
        <is>
          <t>VÄSTRA GÖTALANDS LÄN</t>
        </is>
      </c>
      <c r="G101" t="inlineStr">
        <is>
          <t>UDDEVALLA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46222</v>
      </c>
      <c r="F102" t="inlineStr">
        <is>
          <t>VÄSTRA GÖTALANDS LÄN</t>
        </is>
      </c>
      <c r="G102" t="inlineStr">
        <is>
          <t>UDDEVALLA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45197</v>
      </c>
      <c r="E103" s="1" t="n">
        <v>46222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4639-2022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44592</v>
      </c>
      <c r="E104" s="1" t="n">
        <v>46222</v>
      </c>
      <c r="F104" t="inlineStr">
        <is>
          <t>VÄSTRA GÖTALANDS LÄN</t>
        </is>
      </c>
      <c r="G104" t="inlineStr">
        <is>
          <t>UDDEVALLA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46222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46222</v>
      </c>
      <c r="F106" t="inlineStr">
        <is>
          <t>VÄSTRA GÖTALANDS LÄN</t>
        </is>
      </c>
      <c r="G106" t="inlineStr">
        <is>
          <t>UDDEVALLA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46222</v>
      </c>
      <c r="F107" t="inlineStr">
        <is>
          <t>VÄSTRA GÖTALANDS LÄN</t>
        </is>
      </c>
      <c r="G107" t="inlineStr">
        <is>
          <t>UDDEVALLA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46222</v>
      </c>
      <c r="F108" t="inlineStr">
        <is>
          <t>VÄSTRA GÖTALANDS LÄN</t>
        </is>
      </c>
      <c r="G108" t="inlineStr">
        <is>
          <t>UDDEVALLA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46222</v>
      </c>
      <c r="F109" t="inlineStr">
        <is>
          <t>VÄSTRA GÖTALANDS LÄN</t>
        </is>
      </c>
      <c r="G109" t="inlineStr">
        <is>
          <t>UDDEVALLA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46222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46222</v>
      </c>
      <c r="F111" t="inlineStr">
        <is>
          <t>VÄSTRA GÖTALANDS LÄN</t>
        </is>
      </c>
      <c r="G111" t="inlineStr">
        <is>
          <t>UDDEVALLA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46222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46222</v>
      </c>
      <c r="F113" t="inlineStr">
        <is>
          <t>VÄSTRA GÖTALANDS LÄN</t>
        </is>
      </c>
      <c r="G113" t="inlineStr">
        <is>
          <t>UDDEVALLA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46222</v>
      </c>
      <c r="F114" t="inlineStr">
        <is>
          <t>VÄSTRA GÖTALANDS LÄN</t>
        </is>
      </c>
      <c r="G114" t="inlineStr">
        <is>
          <t>UDDEVALLA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46222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45914</v>
      </c>
      <c r="E116" s="1" t="n">
        <v>46222</v>
      </c>
      <c r="F116" t="inlineStr">
        <is>
          <t>VÄSTRA GÖTALANDS LÄN</t>
        </is>
      </c>
      <c r="G116" t="inlineStr">
        <is>
          <t>UDDEVALLA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46222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33996-2025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45843</v>
      </c>
      <c r="E118" s="1" t="n">
        <v>46222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46222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46222</v>
      </c>
      <c r="F120" t="inlineStr">
        <is>
          <t>VÄSTRA GÖTALANDS LÄN</t>
        </is>
      </c>
      <c r="G120" t="inlineStr">
        <is>
          <t>UDDEVALLA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34493-2025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46222</v>
      </c>
      <c r="F121" t="inlineStr">
        <is>
          <t>VÄSTRA GÖTALANDS LÄN</t>
        </is>
      </c>
      <c r="G121" t="inlineStr">
        <is>
          <t>UDDEVALLA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46222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11770-2022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46222</v>
      </c>
      <c r="F123" t="inlineStr">
        <is>
          <t>VÄSTRA GÖTALANDS LÄN</t>
        </is>
      </c>
      <c r="G123" t="inlineStr">
        <is>
          <t>UDDEVALLA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59674-2023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45255</v>
      </c>
      <c r="E124" s="1" t="n">
        <v>46222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47083-2025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46222</v>
      </c>
      <c r="F125" t="inlineStr">
        <is>
          <t>VÄSTRA GÖTALANDS LÄN</t>
        </is>
      </c>
      <c r="G125" t="inlineStr">
        <is>
          <t>UDDEVALLA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46222</v>
      </c>
      <c r="F126" t="inlineStr">
        <is>
          <t>VÄSTRA GÖTALANDS LÄN</t>
        </is>
      </c>
      <c r="G126" t="inlineStr">
        <is>
          <t>UDDEVALLA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46222</v>
      </c>
      <c r="F127" t="inlineStr">
        <is>
          <t>VÄSTRA GÖTALANDS LÄN</t>
        </is>
      </c>
      <c r="G127" t="inlineStr">
        <is>
          <t>UDDEVALLA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46222</v>
      </c>
      <c r="F128" t="inlineStr">
        <is>
          <t>VÄSTRA GÖTALANDS LÄN</t>
        </is>
      </c>
      <c r="G128" t="inlineStr">
        <is>
          <t>UDDEVALLA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46222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11021-2023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46222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46222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40037-2021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46222</v>
      </c>
      <c r="F132" t="inlineStr">
        <is>
          <t>VÄSTRA GÖTALANDS LÄN</t>
        </is>
      </c>
      <c r="G132" t="inlineStr">
        <is>
          <t>UDDEVALLA</t>
        </is>
      </c>
      <c r="I132" t="n">
        <v>10.3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60241-2024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45642</v>
      </c>
      <c r="E133" s="1" t="n">
        <v>46222</v>
      </c>
      <c r="F133" t="inlineStr">
        <is>
          <t>VÄSTRA GÖTALANDS LÄN</t>
        </is>
      </c>
      <c r="G133" t="inlineStr">
        <is>
          <t>UDDEVALLA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46222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62055-2024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46222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46222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46222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62075-2024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46222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46222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46222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46222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38389-2023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46222</v>
      </c>
      <c r="F143" t="inlineStr">
        <is>
          <t>VÄSTRA GÖTALANDS LÄN</t>
        </is>
      </c>
      <c r="G143" t="inlineStr">
        <is>
          <t>UDDEVALLA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49721-2025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46222</v>
      </c>
      <c r="F144" t="inlineStr">
        <is>
          <t>VÄSTRA GÖTALANDS LÄN</t>
        </is>
      </c>
      <c r="G144" t="inlineStr">
        <is>
          <t>UDDEVALLA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46222</v>
      </c>
      <c r="F145" t="inlineStr">
        <is>
          <t>VÄSTRA GÖTALANDS LÄN</t>
        </is>
      </c>
      <c r="G145" t="inlineStr">
        <is>
          <t>UDDEVALLA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38130-2025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46222</v>
      </c>
      <c r="F146" t="inlineStr">
        <is>
          <t>VÄSTRA GÖTALANDS LÄN</t>
        </is>
      </c>
      <c r="G146" t="inlineStr">
        <is>
          <t>UDDEVALLA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50609-2025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46222</v>
      </c>
      <c r="F147" t="inlineStr">
        <is>
          <t>VÄSTRA GÖTALANDS LÄN</t>
        </is>
      </c>
      <c r="G147" t="inlineStr">
        <is>
          <t>UDDEVALLA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46222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38133-2025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46222</v>
      </c>
      <c r="F149" t="inlineStr">
        <is>
          <t>VÄSTRA GÖTALANDS LÄN</t>
        </is>
      </c>
      <c r="G149" t="inlineStr">
        <is>
          <t>UDDEVALLA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46222</v>
      </c>
      <c r="F150" t="inlineStr">
        <is>
          <t>VÄSTRA GÖTALANDS LÄN</t>
        </is>
      </c>
      <c r="G150" t="inlineStr">
        <is>
          <t>UDDEVALLA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12169-2023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44998</v>
      </c>
      <c r="E151" s="1" t="n">
        <v>46222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46222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51747-2025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45950</v>
      </c>
      <c r="E153" s="1" t="n">
        <v>46222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46222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46222</v>
      </c>
      <c r="F155" t="inlineStr">
        <is>
          <t>VÄSTRA GÖTALANDS LÄN</t>
        </is>
      </c>
      <c r="G155" t="inlineStr">
        <is>
          <t>UDDEVALLA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46222</v>
      </c>
      <c r="F156" t="inlineStr">
        <is>
          <t>VÄSTRA GÖTALANDS LÄN</t>
        </is>
      </c>
      <c r="G156" t="inlineStr">
        <is>
          <t>UDDEVALLA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32531-2023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46222</v>
      </c>
      <c r="F157" t="inlineStr">
        <is>
          <t>VÄSTRA GÖTALANDS LÄN</t>
        </is>
      </c>
      <c r="G157" t="inlineStr">
        <is>
          <t>UDDEVALLA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29526-2024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46222</v>
      </c>
      <c r="F158" t="inlineStr">
        <is>
          <t>VÄSTRA GÖTALANDS LÄN</t>
        </is>
      </c>
      <c r="G158" t="inlineStr">
        <is>
          <t>UDDEVALLA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45672</v>
      </c>
      <c r="E159" s="1" t="n">
        <v>46222</v>
      </c>
      <c r="F159" t="inlineStr">
        <is>
          <t>VÄSTRA GÖTALANDS LÄN</t>
        </is>
      </c>
      <c r="G159" t="inlineStr">
        <is>
          <t>UDDEVALLA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9574-2026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46222</v>
      </c>
      <c r="F160" t="inlineStr">
        <is>
          <t>VÄSTRA GÖTALANDS LÄN</t>
        </is>
      </c>
      <c r="G160" t="inlineStr">
        <is>
          <t>UDDEVALLA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46222</v>
      </c>
      <c r="F161" t="inlineStr">
        <is>
          <t>VÄSTRA GÖTALANDS LÄN</t>
        </is>
      </c>
      <c r="G161" t="inlineStr">
        <is>
          <t>UDDEVALLA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46222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46222</v>
      </c>
      <c r="F163" t="inlineStr">
        <is>
          <t>VÄSTRA GÖTALANDS LÄN</t>
        </is>
      </c>
      <c r="G163" t="inlineStr">
        <is>
          <t>UDDEVALLA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10436-2026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46076</v>
      </c>
      <c r="E164" s="1" t="n">
        <v>46222</v>
      </c>
      <c r="F164" t="inlineStr">
        <is>
          <t>VÄSTRA GÖTALANDS LÄN</t>
        </is>
      </c>
      <c r="G164" t="inlineStr">
        <is>
          <t>UDDEVALLA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19847-2025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46222</v>
      </c>
      <c r="F165" t="inlineStr">
        <is>
          <t>VÄSTRA GÖTALANDS LÄN</t>
        </is>
      </c>
      <c r="G165" t="inlineStr">
        <is>
          <t>UDDEVALLA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63878-2021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46222</v>
      </c>
      <c r="F166" t="inlineStr">
        <is>
          <t>VÄSTRA GÖTALANDS LÄN</t>
        </is>
      </c>
      <c r="G166" t="inlineStr">
        <is>
          <t>UDDEVALLA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46222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49780-2023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46222</v>
      </c>
      <c r="F168" t="inlineStr">
        <is>
          <t>VÄSTRA GÖTALANDS LÄN</t>
        </is>
      </c>
      <c r="G168" t="inlineStr">
        <is>
          <t>UDDEVALLA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46222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18916-2025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46222</v>
      </c>
      <c r="F170" t="inlineStr">
        <is>
          <t>VÄSTRA GÖTALANDS LÄN</t>
        </is>
      </c>
      <c r="G170" t="inlineStr">
        <is>
          <t>UDDEVALLA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46222</v>
      </c>
      <c r="F171" t="inlineStr">
        <is>
          <t>VÄSTRA GÖTALANDS LÄN</t>
        </is>
      </c>
      <c r="G171" t="inlineStr">
        <is>
          <t>UDDEVALLA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46222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11465-2026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46222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46222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55416-2023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46222</v>
      </c>
      <c r="F175" t="inlineStr">
        <is>
          <t>VÄSTRA GÖTALANDS LÄN</t>
        </is>
      </c>
      <c r="G175" t="inlineStr">
        <is>
          <t>UDDEVALLA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46222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46222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46222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46222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46222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16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46222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15334-2024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45400</v>
      </c>
      <c r="E182" s="1" t="n">
        <v>46222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57750-2025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46222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37427-2024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46222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46222</v>
      </c>
      <c r="F185" t="inlineStr">
        <is>
          <t>VÄSTRA GÖTALANDS LÄN</t>
        </is>
      </c>
      <c r="G185" t="inlineStr">
        <is>
          <t>UDDEVALLA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17058-2025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46222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43170-2021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44431</v>
      </c>
      <c r="E187" s="1" t="n">
        <v>46222</v>
      </c>
      <c r="F187" t="inlineStr">
        <is>
          <t>VÄSTRA GÖTALANDS LÄN</t>
        </is>
      </c>
      <c r="G187" t="inlineStr">
        <is>
          <t>UDDEVALLA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46222</v>
      </c>
      <c r="F188" t="inlineStr">
        <is>
          <t>VÄSTRA GÖTALANDS LÄN</t>
        </is>
      </c>
      <c r="G188" t="inlineStr">
        <is>
          <t>UDDEVALLA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45551</v>
      </c>
      <c r="E189" s="1" t="n">
        <v>46222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12533-2026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46222</v>
      </c>
      <c r="F190" t="inlineStr">
        <is>
          <t>VÄSTRA GÖTALANDS LÄN</t>
        </is>
      </c>
      <c r="G190" t="inlineStr">
        <is>
          <t>UDDEVALLA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46222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46222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60989-2025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46222</v>
      </c>
      <c r="F193" t="inlineStr">
        <is>
          <t>VÄSTRA GÖTALANDS LÄN</t>
        </is>
      </c>
      <c r="G193" t="inlineStr">
        <is>
          <t>UDDEVALLA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46222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46222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46222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46222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45021</v>
      </c>
      <c r="E198" s="1" t="n">
        <v>46222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59474-2022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46222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63397-2021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44508</v>
      </c>
      <c r="E200" s="1" t="n">
        <v>46222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46222</v>
      </c>
      <c r="F201" t="inlineStr">
        <is>
          <t>VÄSTRA GÖTALANDS LÄN</t>
        </is>
      </c>
      <c r="G201" t="inlineStr">
        <is>
          <t>UDDEVALLA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46222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15674-2026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46222</v>
      </c>
      <c r="F203" t="inlineStr">
        <is>
          <t>VÄSTRA GÖTALANDS LÄN</t>
        </is>
      </c>
      <c r="G203" t="inlineStr">
        <is>
          <t>UDDEVALLA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46222</v>
      </c>
      <c r="F204" t="inlineStr">
        <is>
          <t>VÄSTRA GÖTALANDS LÄN</t>
        </is>
      </c>
      <c r="G204" t="inlineStr">
        <is>
          <t>UDDEVALLA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69198-2021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46222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46222</v>
      </c>
      <c r="F206" t="inlineStr">
        <is>
          <t>VÄSTRA GÖTALANDS LÄN</t>
        </is>
      </c>
      <c r="G206" t="inlineStr">
        <is>
          <t>UDDEVALLA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46222</v>
      </c>
      <c r="F207" t="inlineStr">
        <is>
          <t>VÄSTRA GÖTALANDS LÄN</t>
        </is>
      </c>
      <c r="G207" t="inlineStr">
        <is>
          <t>UDDEVALLA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46222</v>
      </c>
      <c r="F208" t="inlineStr">
        <is>
          <t>VÄSTRA GÖTALANDS LÄN</t>
        </is>
      </c>
      <c r="G208" t="inlineStr">
        <is>
          <t>UDDEVALLA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46222</v>
      </c>
      <c r="F209" t="inlineStr">
        <is>
          <t>VÄSTRA GÖTALANDS LÄN</t>
        </is>
      </c>
      <c r="G209" t="inlineStr">
        <is>
          <t>UDDEVALLA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46222</v>
      </c>
      <c r="F210" t="inlineStr">
        <is>
          <t>VÄSTRA GÖTALANDS LÄN</t>
        </is>
      </c>
      <c r="G210" t="inlineStr">
        <is>
          <t>UDDEVALLA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46222</v>
      </c>
      <c r="F211" t="inlineStr">
        <is>
          <t>VÄSTRA GÖTALANDS LÄN</t>
        </is>
      </c>
      <c r="G211" t="inlineStr">
        <is>
          <t>UDDEVALLA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46222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6887-2023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46222</v>
      </c>
      <c r="F213" t="inlineStr">
        <is>
          <t>VÄSTRA GÖTALANDS LÄN</t>
        </is>
      </c>
      <c r="G213" t="inlineStr">
        <is>
          <t>UDDEVALLA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45150</v>
      </c>
      <c r="E214" s="1" t="n">
        <v>46222</v>
      </c>
      <c r="F214" t="inlineStr">
        <is>
          <t>VÄSTRA GÖTALANDS LÄN</t>
        </is>
      </c>
      <c r="G214" t="inlineStr">
        <is>
          <t>UDDEVALLA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33761-2023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46222</v>
      </c>
      <c r="F215" t="inlineStr">
        <is>
          <t>VÄSTRA GÖTALANDS LÄN</t>
        </is>
      </c>
      <c r="G215" t="inlineStr">
        <is>
          <t>UDDEVALLA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46222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46222</v>
      </c>
      <c r="F217" t="inlineStr">
        <is>
          <t>VÄSTRA GÖTALANDS LÄN</t>
        </is>
      </c>
      <c r="G217" t="inlineStr">
        <is>
          <t>UDDEVALLA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46222</v>
      </c>
      <c r="F218" t="inlineStr">
        <is>
          <t>VÄSTRA GÖTALANDS LÄN</t>
        </is>
      </c>
      <c r="G218" t="inlineStr">
        <is>
          <t>UDDEVALLA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27869-2024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46222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13527-2024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46222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17244-2026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46222</v>
      </c>
      <c r="F221" t="inlineStr">
        <is>
          <t>VÄSTRA GÖTALANDS LÄN</t>
        </is>
      </c>
      <c r="G221" t="inlineStr">
        <is>
          <t>UDDEVALLA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46222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46222</v>
      </c>
      <c r="F223" t="inlineStr">
        <is>
          <t>VÄSTRA GÖTALANDS LÄN</t>
        </is>
      </c>
      <c r="G223" t="inlineStr">
        <is>
          <t>UDDEVALLA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32846-2023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46222</v>
      </c>
      <c r="F224" t="inlineStr">
        <is>
          <t>VÄSTRA GÖTALANDS LÄN</t>
        </is>
      </c>
      <c r="G224" t="inlineStr">
        <is>
          <t>UDDEVALLA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58958-2021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44489</v>
      </c>
      <c r="E225" s="1" t="n">
        <v>46222</v>
      </c>
      <c r="F225" t="inlineStr">
        <is>
          <t>VÄSTRA GÖTALANDS LÄN</t>
        </is>
      </c>
      <c r="G225" t="inlineStr">
        <is>
          <t>UDDEVALLA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46222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46222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18123-2026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46222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Kommuner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18207-2026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46222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46222</v>
      </c>
      <c r="F230" t="inlineStr">
        <is>
          <t>VÄSTRA GÖTALANDS LÄN</t>
        </is>
      </c>
      <c r="G230" t="inlineStr">
        <is>
          <t>UDDEVALLA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10426-2023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46222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46222</v>
      </c>
      <c r="F232" t="inlineStr">
        <is>
          <t>VÄSTRA GÖTALANDS LÄN</t>
        </is>
      </c>
      <c r="G232" t="inlineStr">
        <is>
          <t>UDDEVALLA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46222</v>
      </c>
      <c r="F233" t="inlineStr">
        <is>
          <t>VÄSTRA GÖTALANDS LÄN</t>
        </is>
      </c>
      <c r="G233" t="inlineStr">
        <is>
          <t>UDDEVALLA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18767-2026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46222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17727-2026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46222</v>
      </c>
      <c r="F235" t="inlineStr">
        <is>
          <t>VÄSTRA GÖTALANDS LÄN</t>
        </is>
      </c>
      <c r="G235" t="inlineStr">
        <is>
          <t>UDDEVALLA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19550-2026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46222</v>
      </c>
      <c r="F236" t="inlineStr">
        <is>
          <t>VÄSTRA GÖTALANDS LÄN</t>
        </is>
      </c>
      <c r="G236" t="inlineStr">
        <is>
          <t>UDDEVALLA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7726-2024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46222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46222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46222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46222</v>
      </c>
      <c r="F240" t="inlineStr">
        <is>
          <t>VÄSTRA GÖTALANDS LÄN</t>
        </is>
      </c>
      <c r="G240" t="inlineStr">
        <is>
          <t>UDDEVALLA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2306-2022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44578</v>
      </c>
      <c r="E241" s="1" t="n">
        <v>46222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40027-2024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46222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46222</v>
      </c>
      <c r="F243" t="inlineStr">
        <is>
          <t>VÄSTRA GÖTALANDS LÄN</t>
        </is>
      </c>
      <c r="G243" t="inlineStr">
        <is>
          <t>UDDEVALLA</t>
        </is>
      </c>
      <c r="I243" t="n">
        <v>9.6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46222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62041-2024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46222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42658-2025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45907</v>
      </c>
      <c r="E246" s="1" t="n">
        <v>46222</v>
      </c>
      <c r="F246" t="inlineStr">
        <is>
          <t>VÄSTRA GÖTALANDS LÄN</t>
        </is>
      </c>
      <c r="G246" t="inlineStr">
        <is>
          <t>UDDEVALLA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46222</v>
      </c>
      <c r="F247" t="inlineStr">
        <is>
          <t>VÄSTRA GÖTALANDS LÄN</t>
        </is>
      </c>
      <c r="G247" t="inlineStr">
        <is>
          <t>UDDEVALLA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45059-2025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46222</v>
      </c>
      <c r="F248" t="inlineStr">
        <is>
          <t>VÄSTRA GÖTALANDS LÄN</t>
        </is>
      </c>
      <c r="G248" t="inlineStr">
        <is>
          <t>UDDEVALLA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17378-2026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46222</v>
      </c>
      <c r="F249" t="inlineStr">
        <is>
          <t>VÄSTRA GÖTALANDS LÄN</t>
        </is>
      </c>
      <c r="G249" t="inlineStr">
        <is>
          <t>UDDEVALLA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20401-2026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46139</v>
      </c>
      <c r="E250" s="1" t="n">
        <v>46222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44655</v>
      </c>
      <c r="E251" s="1" t="n">
        <v>46222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24081-2024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45456</v>
      </c>
      <c r="E252" s="1" t="n">
        <v>46222</v>
      </c>
      <c r="F252" t="inlineStr">
        <is>
          <t>VÄSTRA GÖTALANDS LÄN</t>
        </is>
      </c>
      <c r="G252" t="inlineStr">
        <is>
          <t>UDDEVALLA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46222</v>
      </c>
      <c r="F253" t="inlineStr">
        <is>
          <t>VÄSTRA GÖTALANDS LÄN</t>
        </is>
      </c>
      <c r="G253" t="inlineStr">
        <is>
          <t>UDDEVALLA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46899-2024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46222</v>
      </c>
      <c r="F254" t="inlineStr">
        <is>
          <t>VÄSTRA GÖTALANDS LÄN</t>
        </is>
      </c>
      <c r="G254" t="inlineStr">
        <is>
          <t>UDDEVALLA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46222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25993-2026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46222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46222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46222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46222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46222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46222</v>
      </c>
      <c r="F261" t="inlineStr">
        <is>
          <t>VÄSTRA GÖTALANDS LÄN</t>
        </is>
      </c>
      <c r="G261" t="inlineStr">
        <is>
          <t>UDDEVALLA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46222</v>
      </c>
      <c r="F262" t="inlineStr">
        <is>
          <t>VÄSTRA GÖTALANDS LÄN</t>
        </is>
      </c>
      <c r="G262" t="inlineStr">
        <is>
          <t>UDDEVALLA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46222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22923-2022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44715</v>
      </c>
      <c r="E264" s="1" t="n">
        <v>46222</v>
      </c>
      <c r="F264" t="inlineStr">
        <is>
          <t>VÄSTRA GÖTALANDS LÄN</t>
        </is>
      </c>
      <c r="G264" t="inlineStr">
        <is>
          <t>UDDEVALLA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46222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39991-2022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46222</v>
      </c>
      <c r="F266" t="inlineStr">
        <is>
          <t>VÄSTRA GÖTALANDS LÄN</t>
        </is>
      </c>
      <c r="G266" t="inlineStr">
        <is>
          <t>UDDEVALLA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46222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46222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46222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46222</v>
      </c>
      <c r="F270" t="inlineStr">
        <is>
          <t>VÄSTRA GÖTALANDS LÄN</t>
        </is>
      </c>
      <c r="G270" t="inlineStr">
        <is>
          <t>UDDEVALLA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46222</v>
      </c>
      <c r="F271" t="inlineStr">
        <is>
          <t>VÄSTRA GÖTALANDS LÄN</t>
        </is>
      </c>
      <c r="G271" t="inlineStr">
        <is>
          <t>UDDEVALLA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46222</v>
      </c>
      <c r="F272" t="inlineStr">
        <is>
          <t>VÄSTRA GÖTALANDS LÄN</t>
        </is>
      </c>
      <c r="G272" t="inlineStr">
        <is>
          <t>UDDEVALLA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21390-2026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46222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46222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59829-2023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46222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10333-2024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46222</v>
      </c>
      <c r="F276" t="inlineStr">
        <is>
          <t>VÄSTRA GÖTALANDS LÄN</t>
        </is>
      </c>
      <c r="G276" t="inlineStr">
        <is>
          <t>UDDEVALLA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22461-2026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46222</v>
      </c>
      <c r="F277" t="inlineStr">
        <is>
          <t>VÄSTRA GÖTALANDS LÄN</t>
        </is>
      </c>
      <c r="G277" t="inlineStr">
        <is>
          <t>UDDEVALLA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9797-2023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44984</v>
      </c>
      <c r="E278" s="1" t="n">
        <v>46222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17964-2022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44683</v>
      </c>
      <c r="E279" s="1" t="n">
        <v>46222</v>
      </c>
      <c r="F279" t="inlineStr">
        <is>
          <t>VÄSTRA GÖTALANDS LÄN</t>
        </is>
      </c>
      <c r="G279" t="inlineStr">
        <is>
          <t>UDDEVALLA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26940-2023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46222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70491-2021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44536</v>
      </c>
      <c r="E281" s="1" t="n">
        <v>46222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46222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34792-2023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45141</v>
      </c>
      <c r="E283" s="1" t="n">
        <v>46222</v>
      </c>
      <c r="F283" t="inlineStr">
        <is>
          <t>VÄSTRA GÖTALANDS LÄN</t>
        </is>
      </c>
      <c r="G283" t="inlineStr">
        <is>
          <t>UDDEVALLA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10286-2024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46222</v>
      </c>
      <c r="F284" t="inlineStr">
        <is>
          <t>VÄSTRA GÖTALANDS LÄN</t>
        </is>
      </c>
      <c r="G284" t="inlineStr">
        <is>
          <t>UDDEVALLA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46222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Övriga statliga verk och myndigheter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46222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46222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16205-2023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46222</v>
      </c>
      <c r="F288" t="inlineStr">
        <is>
          <t>VÄSTRA GÖTALANDS LÄN</t>
        </is>
      </c>
      <c r="G288" t="inlineStr">
        <is>
          <t>UDDEVALLA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46222</v>
      </c>
      <c r="F289" t="inlineStr">
        <is>
          <t>VÄSTRA GÖTALANDS LÄN</t>
        </is>
      </c>
      <c r="G289" t="inlineStr">
        <is>
          <t>UDDEVALLA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46222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46222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46222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46222</v>
      </c>
      <c r="F293" t="inlineStr">
        <is>
          <t>VÄSTRA GÖTALANDS LÄN</t>
        </is>
      </c>
      <c r="G293" t="inlineStr">
        <is>
          <t>UDDEVALLA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46222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46222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46212</v>
      </c>
      <c r="E296" s="1" t="n">
        <v>46222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8893-2024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45355</v>
      </c>
      <c r="E297" s="1" t="n">
        <v>46222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30744-2026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46211</v>
      </c>
      <c r="E298" s="1" t="n">
        <v>46222</v>
      </c>
      <c r="F298" t="inlineStr">
        <is>
          <t>VÄSTRA GÖTALANDS LÄN</t>
        </is>
      </c>
      <c r="G298" t="inlineStr">
        <is>
          <t>UDDEVALLA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46222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45915</v>
      </c>
      <c r="E300" s="1" t="n">
        <v>46222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45495</v>
      </c>
      <c r="E301" s="1" t="n">
        <v>46222</v>
      </c>
      <c r="F301" t="inlineStr">
        <is>
          <t>VÄSTRA GÖTALANDS LÄN</t>
        </is>
      </c>
      <c r="G301" t="inlineStr">
        <is>
          <t>UDDEVALLA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46222</v>
      </c>
      <c r="F302" t="inlineStr">
        <is>
          <t>VÄSTRA GÖTALANDS LÄN</t>
        </is>
      </c>
      <c r="G302" t="inlineStr">
        <is>
          <t>UDDEVALLA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46222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46222</v>
      </c>
      <c r="F304" t="inlineStr">
        <is>
          <t>VÄSTRA GÖTALANDS LÄN</t>
        </is>
      </c>
      <c r="G304" t="inlineStr">
        <is>
          <t>UDDEVALLA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46222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46222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46222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46222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46222</v>
      </c>
      <c r="F309" t="inlineStr">
        <is>
          <t>VÄSTRA GÖTALANDS LÄN</t>
        </is>
      </c>
      <c r="G309" t="inlineStr">
        <is>
          <t>UDDEVALLA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46222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46222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46222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46222</v>
      </c>
      <c r="F313" t="inlineStr">
        <is>
          <t>VÄSTRA GÖTALANDS LÄN</t>
        </is>
      </c>
      <c r="G313" t="inlineStr">
        <is>
          <t>UDDEVALLA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25792-2026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46222</v>
      </c>
      <c r="F314" t="inlineStr">
        <is>
          <t>VÄSTRA GÖTALANDS LÄN</t>
        </is>
      </c>
      <c r="G314" t="inlineStr">
        <is>
          <t>UDDEVALLA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46222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46222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46222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46222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46222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46222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46222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46222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46222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46222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46222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46222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46222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46222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46222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46222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46222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46222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46222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46222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2026-07-19T01:33:19Z</dcterms:created>
  <dcterms:modified xmlns:dcterms="http://purl.org/dc/terms/" xmlns:xsi="http://www.w3.org/2001/XMLSchema-instance" xsi:type="dcterms:W3CDTF">2026-07-19T01:33:20Z</dcterms:modified>
</cp:coreProperties>
</file>