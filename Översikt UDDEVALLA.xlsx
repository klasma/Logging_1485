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46204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46204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46204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46204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3427-2024</t>
        </is>
      </c>
      <c r="B6" s="1" t="n">
        <v>45317</v>
      </c>
      <c r="C6" s="1" t="n">
        <v>46204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10.8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Grönhjon
Klippfrullania
Stor revmossa
Västlig hakmossa
Spillkråka
Revlummer</t>
        </is>
      </c>
      <c r="S6">
        <f>HYPERLINK("https://klasma.github.io/Logging_1485/artfynd/A 3427-2024 artfynd.xlsx", "A 3427-2024")</f>
        <v/>
      </c>
      <c r="T6">
        <f>HYPERLINK("https://klasma.github.io/Logging_1485/kartor/A 3427-2024 karta.png", "A 3427-2024")</f>
        <v/>
      </c>
      <c r="V6">
        <f>HYPERLINK("https://klasma.github.io/Logging_1485/klagomål/A 3427-2024 FSC-klagomål.docx", "A 3427-2024")</f>
        <v/>
      </c>
      <c r="W6">
        <f>HYPERLINK("https://klasma.github.io/Logging_1485/klagomålsmail/A 3427-2024 FSC-klagomål mail.docx", "A 3427-2024")</f>
        <v/>
      </c>
      <c r="X6">
        <f>HYPERLINK("https://klasma.github.io/Logging_1485/tillsyn/A 3427-2024 tillsynsbegäran.docx", "A 3427-2024")</f>
        <v/>
      </c>
      <c r="Y6">
        <f>HYPERLINK("https://klasma.github.io/Logging_1485/tillsynsmail/A 3427-2024 tillsynsbegäran mail.docx", "A 3427-2024")</f>
        <v/>
      </c>
      <c r="Z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46204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Gräddporing
Ladusvala
Rynkskinn
Rödvingetrast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  <c r="Z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s="1" t="n">
        <v>45728</v>
      </c>
      <c r="C8" s="1" t="n">
        <v>46204</v>
      </c>
      <c r="D8" t="inlineStr">
        <is>
          <t>VÄSTRA GÖTALANDS LÄN</t>
        </is>
      </c>
      <c r="E8" t="inlineStr">
        <is>
          <t>UDDEVALLA</t>
        </is>
      </c>
      <c r="G8" t="n">
        <v>2.9</v>
      </c>
      <c r="H8" t="n">
        <v>3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6</v>
      </c>
      <c r="R8" s="2" t="inlineStr">
        <is>
          <t>Ask
Långskägg
Garnlav
Stjärntagging
Kungsfågel
Skogsduva</t>
        </is>
      </c>
      <c r="S8">
        <f>HYPERLINK("https://klasma.github.io/Logging_1485/artfynd/A 11824-2025 artfynd.xlsx", "A 11824-2025")</f>
        <v/>
      </c>
      <c r="T8">
        <f>HYPERLINK("https://klasma.github.io/Logging_1485/kartor/A 11824-2025 karta.png", "A 11824-2025")</f>
        <v/>
      </c>
      <c r="V8">
        <f>HYPERLINK("https://klasma.github.io/Logging_1485/klagomål/A 11824-2025 FSC-klagomål.docx", "A 11824-2025")</f>
        <v/>
      </c>
      <c r="W8">
        <f>HYPERLINK("https://klasma.github.io/Logging_1485/klagomålsmail/A 11824-2025 FSC-klagomål mail.docx", "A 11824-2025")</f>
        <v/>
      </c>
      <c r="X8">
        <f>HYPERLINK("https://klasma.github.io/Logging_1485/tillsyn/A 11824-2025 tillsynsbegäran.docx", "A 11824-2025")</f>
        <v/>
      </c>
      <c r="Y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s="1" t="n">
        <v>45656</v>
      </c>
      <c r="C9" s="1" t="n">
        <v>46204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3.8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Klippfrullania
Stor revmossa
Västlig hakmossa
Lopplummer (aggregat)
Revlummer</t>
        </is>
      </c>
      <c r="S9">
        <f>HYPERLINK("https://klasma.github.io/Logging_1485/artfynd/A 62048-2024 artfynd.xlsx", "A 62048-2024")</f>
        <v/>
      </c>
      <c r="T9">
        <f>HYPERLINK("https://klasma.github.io/Logging_1485/kartor/A 62048-2024 karta.png", "A 62048-2024")</f>
        <v/>
      </c>
      <c r="V9">
        <f>HYPERLINK("https://klasma.github.io/Logging_1485/klagomål/A 62048-2024 FSC-klagomål.docx", "A 62048-2024")</f>
        <v/>
      </c>
      <c r="W9">
        <f>HYPERLINK("https://klasma.github.io/Logging_1485/klagomålsmail/A 62048-2024 FSC-klagomål mail.docx", "A 62048-2024")</f>
        <v/>
      </c>
      <c r="X9">
        <f>HYPERLINK("https://klasma.github.io/Logging_1485/tillsyn/A 62048-2024 tillsynsbegäran.docx", "A 62048-2024")</f>
        <v/>
      </c>
      <c r="Y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s="1" t="n">
        <v>45751</v>
      </c>
      <c r="C10" s="1" t="n">
        <v>46204</v>
      </c>
      <c r="D10" t="inlineStr">
        <is>
          <t>VÄSTRA GÖTALANDS LÄN</t>
        </is>
      </c>
      <c r="E10" t="inlineStr">
        <is>
          <t>UDDEVALLA</t>
        </is>
      </c>
      <c r="G10" t="n">
        <v>3.8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Vitryggig hackspett
Garnlav
Klibbtickgnagare
Vedticka
Kopparödla</t>
        </is>
      </c>
      <c r="S10">
        <f>HYPERLINK("https://klasma.github.io/Logging_1485/artfynd/A 16347-2025 artfynd.xlsx", "A 16347-2025")</f>
        <v/>
      </c>
      <c r="T10">
        <f>HYPERLINK("https://klasma.github.io/Logging_1485/kartor/A 16347-2025 karta.png", "A 16347-2025")</f>
        <v/>
      </c>
      <c r="V10">
        <f>HYPERLINK("https://klasma.github.io/Logging_1485/klagomål/A 16347-2025 FSC-klagomål.docx", "A 16347-2025")</f>
        <v/>
      </c>
      <c r="W10">
        <f>HYPERLINK("https://klasma.github.io/Logging_1485/klagomålsmail/A 16347-2025 FSC-klagomål mail.docx", "A 16347-2025")</f>
        <v/>
      </c>
      <c r="X10">
        <f>HYPERLINK("https://klasma.github.io/Logging_1485/tillsyn/A 16347-2025 tillsynsbegäran.docx", "A 16347-2025")</f>
        <v/>
      </c>
      <c r="Y10">
        <f>HYPERLINK("https://klasma.github.io/Logging_1485/tillsynsmail/A 16347-2025 tillsynsbegäran mail.docx", "A 16347-2025")</f>
        <v/>
      </c>
      <c r="Z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s="1" t="n">
        <v>45922</v>
      </c>
      <c r="C11" s="1" t="n">
        <v>46204</v>
      </c>
      <c r="D11" t="inlineStr">
        <is>
          <t>VÄSTRA GÖTALANDS LÄN</t>
        </is>
      </c>
      <c r="E11" t="inlineStr">
        <is>
          <t>UDDEVALLA</t>
        </is>
      </c>
      <c r="G11" t="n">
        <v>1.4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Ryl
Mandelriska
Mattlummer</t>
        </is>
      </c>
      <c r="S11">
        <f>HYPERLINK("https://klasma.github.io/Logging_1485/artfynd/A 45582-2025 artfynd.xlsx", "A 45582-2025")</f>
        <v/>
      </c>
      <c r="T11">
        <f>HYPERLINK("https://klasma.github.io/Logging_1485/kartor/A 45582-2025 karta.png", "A 45582-2025")</f>
        <v/>
      </c>
      <c r="V11">
        <f>HYPERLINK("https://klasma.github.io/Logging_1485/klagomål/A 45582-2025 FSC-klagomål.docx", "A 45582-2025")</f>
        <v/>
      </c>
      <c r="W11">
        <f>HYPERLINK("https://klasma.github.io/Logging_1485/klagomålsmail/A 45582-2025 FSC-klagomål mail.docx", "A 45582-2025")</f>
        <v/>
      </c>
      <c r="X11">
        <f>HYPERLINK("https://klasma.github.io/Logging_1485/tillsyn/A 45582-2025 tillsynsbegäran.docx", "A 45582-2025")</f>
        <v/>
      </c>
      <c r="Y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s="1" t="n">
        <v>45656</v>
      </c>
      <c r="C12" s="1" t="n">
        <v>46204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s="1" t="n">
        <v>45799</v>
      </c>
      <c r="C13" s="1" t="n">
        <v>46204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s="1" t="n">
        <v>45990</v>
      </c>
      <c r="C14" s="1" t="n">
        <v>46204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s="1" t="n">
        <v>46174</v>
      </c>
      <c r="C15" s="1" t="n">
        <v>46204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2.4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Kråka
Gullviva
Revlummer</t>
        </is>
      </c>
      <c r="S15">
        <f>HYPERLINK("https://klasma.github.io/Logging_1485/artfynd/A 24986-2026 artfynd.xlsx", "A 24986-2026")</f>
        <v/>
      </c>
      <c r="T15">
        <f>HYPERLINK("https://klasma.github.io/Logging_1485/kartor/A 24986-2026 karta.png", "A 24986-2026")</f>
        <v/>
      </c>
      <c r="V15">
        <f>HYPERLINK("https://klasma.github.io/Logging_1485/klagomål/A 24986-2026 FSC-klagomål.docx", "A 24986-2026")</f>
        <v/>
      </c>
      <c r="W15">
        <f>HYPERLINK("https://klasma.github.io/Logging_1485/klagomålsmail/A 24986-2026 FSC-klagomål mail.docx", "A 24986-2026")</f>
        <v/>
      </c>
      <c r="X15">
        <f>HYPERLINK("https://klasma.github.io/Logging_1485/tillsyn/A 24986-2026 tillsynsbegäran.docx", "A 24986-2026")</f>
        <v/>
      </c>
      <c r="Y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s="1" t="n">
        <v>45317</v>
      </c>
      <c r="C16" s="1" t="n">
        <v>46204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Västlig hakmossa
Spillkråka</t>
        </is>
      </c>
      <c r="S16">
        <f>HYPERLINK("https://klasma.github.io/Logging_1485/artfynd/A 3435-2024 artfynd.xlsx", "A 3435-2024")</f>
        <v/>
      </c>
      <c r="T16">
        <f>HYPERLINK("https://klasma.github.io/Logging_1485/kartor/A 3435-2024 karta.png", "A 3435-2024")</f>
        <v/>
      </c>
      <c r="V16">
        <f>HYPERLINK("https://klasma.github.io/Logging_1485/klagomål/A 3435-2024 FSC-klagomål.docx", "A 3435-2024")</f>
        <v/>
      </c>
      <c r="W16">
        <f>HYPERLINK("https://klasma.github.io/Logging_1485/klagomålsmail/A 3435-2024 FSC-klagomål mail.docx", "A 3435-2024")</f>
        <v/>
      </c>
      <c r="X16">
        <f>HYPERLINK("https://klasma.github.io/Logging_1485/tillsyn/A 3435-2024 tillsynsbegäran.docx", "A 3435-2024")</f>
        <v/>
      </c>
      <c r="Y16">
        <f>HYPERLINK("https://klasma.github.io/Logging_1485/tillsynsmail/A 3435-2024 tillsynsbegäran mail.docx", "A 3435-2024")</f>
        <v/>
      </c>
      <c r="Z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s="1" t="n">
        <v>45740</v>
      </c>
      <c r="C17" s="1" t="n">
        <v>46204</v>
      </c>
      <c r="D17" t="inlineStr">
        <is>
          <t>VÄSTRA GÖTALANDS LÄN</t>
        </is>
      </c>
      <c r="E17" t="inlineStr">
        <is>
          <t>UDDEVALLA</t>
        </is>
      </c>
      <c r="G17" t="n">
        <v>8.800000000000001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Granspira
Mattlummer
Lopplummer (aggregat)</t>
        </is>
      </c>
      <c r="S17">
        <f>HYPERLINK("https://klasma.github.io/Logging_1485/artfynd/A 14063-2025 artfynd.xlsx", "A 14063-2025")</f>
        <v/>
      </c>
      <c r="T17">
        <f>HYPERLINK("https://klasma.github.io/Logging_1485/kartor/A 14063-2025 karta.png", "A 14063-2025")</f>
        <v/>
      </c>
      <c r="V17">
        <f>HYPERLINK("https://klasma.github.io/Logging_1485/klagomål/A 14063-2025 FSC-klagomål.docx", "A 14063-2025")</f>
        <v/>
      </c>
      <c r="W17">
        <f>HYPERLINK("https://klasma.github.io/Logging_1485/klagomålsmail/A 14063-2025 FSC-klagomål mail.docx", "A 14063-2025")</f>
        <v/>
      </c>
      <c r="X17">
        <f>HYPERLINK("https://klasma.github.io/Logging_1485/tillsyn/A 14063-2025 tillsynsbegäran.docx", "A 14063-2025")</f>
        <v/>
      </c>
      <c r="Y17">
        <f>HYPERLINK("https://klasma.github.io/Logging_1485/tillsynsmail/A 14063-2025 tillsynsbegäran mail.docx", "A 14063-2025")</f>
        <v/>
      </c>
    </row>
    <row r="18" ht="15" customHeight="1">
      <c r="A18" t="inlineStr">
        <is>
          <t>A 266-2025</t>
        </is>
      </c>
      <c r="B18" s="1" t="n">
        <v>45653</v>
      </c>
      <c r="C18" s="1" t="n">
        <v>46204</v>
      </c>
      <c r="D18" t="inlineStr">
        <is>
          <t>VÄSTRA GÖTALANDS LÄN</t>
        </is>
      </c>
      <c r="E18" t="inlineStr">
        <is>
          <t>UDDEVALLA</t>
        </is>
      </c>
      <c r="G18" t="n">
        <v>3.4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Brunpudrad nållav
Blåmossa</t>
        </is>
      </c>
      <c r="S18">
        <f>HYPERLINK("https://klasma.github.io/Logging_1485/artfynd/A 266-2025 artfynd.xlsx", "A 266-2025")</f>
        <v/>
      </c>
      <c r="T18">
        <f>HYPERLINK("https://klasma.github.io/Logging_1485/kartor/A 266-2025 karta.png", "A 266-2025")</f>
        <v/>
      </c>
      <c r="V18">
        <f>HYPERLINK("https://klasma.github.io/Logging_1485/klagomål/A 266-2025 FSC-klagomål.docx", "A 266-2025")</f>
        <v/>
      </c>
      <c r="W18">
        <f>HYPERLINK("https://klasma.github.io/Logging_1485/klagomålsmail/A 266-2025 FSC-klagomål mail.docx", "A 266-2025")</f>
        <v/>
      </c>
      <c r="X18">
        <f>HYPERLINK("https://klasma.github.io/Logging_1485/tillsyn/A 266-2025 tillsynsbegäran.docx", "A 266-2025")</f>
        <v/>
      </c>
      <c r="Y18">
        <f>HYPERLINK("https://klasma.github.io/Logging_1485/tillsynsmail/A 266-2025 tillsynsbegäran mail.docx", "A 266-2025")</f>
        <v/>
      </c>
    </row>
    <row r="19" ht="15" customHeight="1">
      <c r="A19" t="inlineStr">
        <is>
          <t>A 65109-2023</t>
        </is>
      </c>
      <c r="B19" s="1" t="n">
        <v>45288</v>
      </c>
      <c r="C19" s="1" t="n">
        <v>46204</v>
      </c>
      <c r="D19" t="inlineStr">
        <is>
          <t>VÄSTRA GÖTALANDS LÄN</t>
        </is>
      </c>
      <c r="E19" t="inlineStr">
        <is>
          <t>UDDEVALLA</t>
        </is>
      </c>
      <c r="G19" t="n">
        <v>1.8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Åttafläckig praktbagge</t>
        </is>
      </c>
      <c r="S19">
        <f>HYPERLINK("https://klasma.github.io/Logging_1485/artfynd/A 65109-2023 artfynd.xlsx", "A 65109-2023")</f>
        <v/>
      </c>
      <c r="T19">
        <f>HYPERLINK("https://klasma.github.io/Logging_1485/kartor/A 65109-2023 karta.png", "A 65109-2023")</f>
        <v/>
      </c>
      <c r="V19">
        <f>HYPERLINK("https://klasma.github.io/Logging_1485/klagomål/A 65109-2023 FSC-klagomål.docx", "A 65109-2023")</f>
        <v/>
      </c>
      <c r="W19">
        <f>HYPERLINK("https://klasma.github.io/Logging_1485/klagomålsmail/A 65109-2023 FSC-klagomål mail.docx", "A 65109-2023")</f>
        <v/>
      </c>
      <c r="X19">
        <f>HYPERLINK("https://klasma.github.io/Logging_1485/tillsyn/A 65109-2023 tillsynsbegäran.docx", "A 65109-2023")</f>
        <v/>
      </c>
      <c r="Y19">
        <f>HYPERLINK("https://klasma.github.io/Logging_1485/tillsynsmail/A 65109-2023 tillsynsbegäran mail.docx", "A 65109-2023")</f>
        <v/>
      </c>
    </row>
    <row r="20" ht="15" customHeight="1">
      <c r="A20" t="inlineStr">
        <is>
          <t>A 57654-2025</t>
        </is>
      </c>
      <c r="B20" s="1" t="n">
        <v>45981</v>
      </c>
      <c r="C20" s="1" t="n">
        <v>46204</v>
      </c>
      <c r="D20" t="inlineStr">
        <is>
          <t>VÄSTRA GÖTALANDS LÄN</t>
        </is>
      </c>
      <c r="E20" t="inlineStr">
        <is>
          <t>UDDEVALLA</t>
        </is>
      </c>
      <c r="G20" t="n">
        <v>4.2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Gullpudra
Lundvårlök</t>
        </is>
      </c>
      <c r="S20">
        <f>HYPERLINK("https://klasma.github.io/Logging_1485/artfynd/A 57654-2025 artfynd.xlsx", "A 57654-2025")</f>
        <v/>
      </c>
      <c r="T20">
        <f>HYPERLINK("https://klasma.github.io/Logging_1485/kartor/A 57654-2025 karta.png", "A 57654-2025")</f>
        <v/>
      </c>
      <c r="V20">
        <f>HYPERLINK("https://klasma.github.io/Logging_1485/klagomål/A 57654-2025 FSC-klagomål.docx", "A 57654-2025")</f>
        <v/>
      </c>
      <c r="W20">
        <f>HYPERLINK("https://klasma.github.io/Logging_1485/klagomålsmail/A 57654-2025 FSC-klagomål mail.docx", "A 57654-2025")</f>
        <v/>
      </c>
      <c r="X20">
        <f>HYPERLINK("https://klasma.github.io/Logging_1485/tillsyn/A 57654-2025 tillsynsbegäran.docx", "A 57654-2025")</f>
        <v/>
      </c>
      <c r="Y20">
        <f>HYPERLINK("https://klasma.github.io/Logging_1485/tillsynsmail/A 57654-2025 tillsynsbegäran mail.docx", "A 57654-2025")</f>
        <v/>
      </c>
    </row>
    <row r="21" ht="15" customHeight="1">
      <c r="A21" t="inlineStr">
        <is>
          <t>A 16882-2026</t>
        </is>
      </c>
      <c r="B21" s="1" t="n">
        <v>46113</v>
      </c>
      <c r="C21" s="1" t="n">
        <v>46204</v>
      </c>
      <c r="D21" t="inlineStr">
        <is>
          <t>VÄSTRA GÖTALANDS LÄN</t>
        </is>
      </c>
      <c r="E21" t="inlineStr">
        <is>
          <t>UDDEVALLA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Iller
Svinrot</t>
        </is>
      </c>
      <c r="S21">
        <f>HYPERLINK("https://klasma.github.io/Logging_1485/artfynd/A 16882-2026 artfynd.xlsx", "A 16882-2026")</f>
        <v/>
      </c>
      <c r="T21">
        <f>HYPERLINK("https://klasma.github.io/Logging_1485/kartor/A 16882-2026 karta.png", "A 16882-2026")</f>
        <v/>
      </c>
      <c r="V21">
        <f>HYPERLINK("https://klasma.github.io/Logging_1485/klagomål/A 16882-2026 FSC-klagomål.docx", "A 16882-2026")</f>
        <v/>
      </c>
      <c r="W21">
        <f>HYPERLINK("https://klasma.github.io/Logging_1485/klagomålsmail/A 16882-2026 FSC-klagomål mail.docx", "A 16882-2026")</f>
        <v/>
      </c>
      <c r="X21">
        <f>HYPERLINK("https://klasma.github.io/Logging_1485/tillsyn/A 16882-2026 tillsynsbegäran.docx", "A 16882-2026")</f>
        <v/>
      </c>
      <c r="Y21">
        <f>HYPERLINK("https://klasma.github.io/Logging_1485/tillsynsmail/A 16882-2026 tillsynsbegäran mail.docx", "A 16882-2026")</f>
        <v/>
      </c>
    </row>
    <row r="22" ht="15" customHeight="1">
      <c r="A22" t="inlineStr">
        <is>
          <t>A 32528-2024</t>
        </is>
      </c>
      <c r="B22" s="1" t="n">
        <v>45513</v>
      </c>
      <c r="C22" s="1" t="n">
        <v>46204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32528-2024 artfynd.xlsx", "A 32528-2024")</f>
        <v/>
      </c>
      <c r="T22">
        <f>HYPERLINK("https://klasma.github.io/Logging_1485/kartor/A 32528-2024 karta.png", "A 32528-2024")</f>
        <v/>
      </c>
      <c r="V22">
        <f>HYPERLINK("https://klasma.github.io/Logging_1485/klagomål/A 32528-2024 FSC-klagomål.docx", "A 32528-2024")</f>
        <v/>
      </c>
      <c r="W22">
        <f>HYPERLINK("https://klasma.github.io/Logging_1485/klagomålsmail/A 32528-2024 FSC-klagomål mail.docx", "A 32528-2024")</f>
        <v/>
      </c>
      <c r="X22">
        <f>HYPERLINK("https://klasma.github.io/Logging_1485/tillsyn/A 32528-2024 tillsynsbegäran.docx", "A 32528-2024")</f>
        <v/>
      </c>
      <c r="Y22">
        <f>HYPERLINK("https://klasma.github.io/Logging_1485/tillsynsmail/A 32528-2024 tillsynsbegäran mail.docx", "A 32528-2024")</f>
        <v/>
      </c>
    </row>
    <row r="23" ht="15" customHeight="1">
      <c r="A23" t="inlineStr">
        <is>
          <t>A 17995-2026</t>
        </is>
      </c>
      <c r="B23" s="1" t="n">
        <v>46124</v>
      </c>
      <c r="C23" s="1" t="n">
        <v>46204</v>
      </c>
      <c r="D23" t="inlineStr">
        <is>
          <t>VÄSTRA GÖTALANDS LÄN</t>
        </is>
      </c>
      <c r="E23" t="inlineStr">
        <is>
          <t>UDDEVALLA</t>
        </is>
      </c>
      <c r="G23" t="n">
        <v>3.8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HYPERLINK("https://klasma.github.io/Logging_1485/artfynd/A 17995-2026 artfynd.xlsx", "A 17995-2026")</f>
        <v/>
      </c>
      <c r="T23">
        <f>HYPERLINK("https://klasma.github.io/Logging_1485/kartor/A 17995-2026 karta.png", "A 17995-2026")</f>
        <v/>
      </c>
      <c r="V23">
        <f>HYPERLINK("https://klasma.github.io/Logging_1485/klagomål/A 17995-2026 FSC-klagomål.docx", "A 17995-2026")</f>
        <v/>
      </c>
      <c r="W23">
        <f>HYPERLINK("https://klasma.github.io/Logging_1485/klagomålsmail/A 17995-2026 FSC-klagomål mail.docx", "A 17995-2026")</f>
        <v/>
      </c>
      <c r="X23">
        <f>HYPERLINK("https://klasma.github.io/Logging_1485/tillsyn/A 17995-2026 tillsynsbegäran.docx", "A 17995-2026")</f>
        <v/>
      </c>
      <c r="Y23">
        <f>HYPERLINK("https://klasma.github.io/Logging_1485/tillsynsmail/A 17995-2026 tillsynsbegäran mail.docx", "A 17995-2026")</f>
        <v/>
      </c>
      <c r="Z23">
        <f>HYPERLINK("https://klasma.github.io/Logging_1485/fåglar/A 17995-2026 prioriterade fågelarter.docx", "A 17995-2026")</f>
        <v/>
      </c>
    </row>
    <row r="24" ht="15" customHeight="1">
      <c r="A24" t="inlineStr">
        <is>
          <t>A 16863-2025</t>
        </is>
      </c>
      <c r="B24" s="1" t="n">
        <v>45754</v>
      </c>
      <c r="C24" s="1" t="n">
        <v>46204</v>
      </c>
      <c r="D24" t="inlineStr">
        <is>
          <t>VÄSTRA GÖTALANDS LÄN</t>
        </is>
      </c>
      <c r="E24" t="inlineStr">
        <is>
          <t>UDDEVALLA</t>
        </is>
      </c>
      <c r="G24" t="n">
        <v>15.3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Kambräken
Kopparödla</t>
        </is>
      </c>
      <c r="S24">
        <f>HYPERLINK("https://klasma.github.io/Logging_1485/artfynd/A 16863-2025 artfynd.xlsx", "A 16863-2025")</f>
        <v/>
      </c>
      <c r="T24">
        <f>HYPERLINK("https://klasma.github.io/Logging_1485/kartor/A 16863-2025 karta.png", "A 16863-2025")</f>
        <v/>
      </c>
      <c r="V24">
        <f>HYPERLINK("https://klasma.github.io/Logging_1485/klagomål/A 16863-2025 FSC-klagomål.docx", "A 16863-2025")</f>
        <v/>
      </c>
      <c r="W24">
        <f>HYPERLINK("https://klasma.github.io/Logging_1485/klagomålsmail/A 16863-2025 FSC-klagomål mail.docx", "A 16863-2025")</f>
        <v/>
      </c>
      <c r="X24">
        <f>HYPERLINK("https://klasma.github.io/Logging_1485/tillsyn/A 16863-2025 tillsynsbegäran.docx", "A 16863-2025")</f>
        <v/>
      </c>
      <c r="Y24">
        <f>HYPERLINK("https://klasma.github.io/Logging_1485/tillsynsmail/A 16863-2025 tillsynsbegäran mail.docx", "A 16863-2025")</f>
        <v/>
      </c>
    </row>
    <row r="25" ht="15" customHeight="1">
      <c r="A25" t="inlineStr">
        <is>
          <t>A 41292-2022</t>
        </is>
      </c>
      <c r="B25" s="1" t="n">
        <v>44825</v>
      </c>
      <c r="C25" s="1" t="n">
        <v>46204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9.699999999999999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Entita</t>
        </is>
      </c>
      <c r="S25">
        <f>HYPERLINK("https://klasma.github.io/Logging_1485/artfynd/A 41292-2022 artfynd.xlsx", "A 41292-2022")</f>
        <v/>
      </c>
      <c r="T25">
        <f>HYPERLINK("https://klasma.github.io/Logging_1485/kartor/A 41292-2022 karta.png", "A 41292-2022")</f>
        <v/>
      </c>
      <c r="V25">
        <f>HYPERLINK("https://klasma.github.io/Logging_1485/klagomål/A 41292-2022 FSC-klagomål.docx", "A 41292-2022")</f>
        <v/>
      </c>
      <c r="W25">
        <f>HYPERLINK("https://klasma.github.io/Logging_1485/klagomålsmail/A 41292-2022 FSC-klagomål mail.docx", "A 41292-2022")</f>
        <v/>
      </c>
      <c r="X25">
        <f>HYPERLINK("https://klasma.github.io/Logging_1485/tillsyn/A 41292-2022 tillsynsbegäran.docx", "A 41292-2022")</f>
        <v/>
      </c>
      <c r="Y25">
        <f>HYPERLINK("https://klasma.github.io/Logging_1485/tillsynsmail/A 41292-2022 tillsynsbegäran mail.docx", "A 41292-2022")</f>
        <v/>
      </c>
      <c r="Z25">
        <f>HYPERLINK("https://klasma.github.io/Logging_1485/fåglar/A 41292-2022 prioriterade fågelarter.docx", "A 41292-2022")</f>
        <v/>
      </c>
    </row>
    <row r="26" ht="15" customHeight="1">
      <c r="A26" t="inlineStr">
        <is>
          <t>A 3432-2024</t>
        </is>
      </c>
      <c r="B26" s="1" t="n">
        <v>45317</v>
      </c>
      <c r="C26" s="1" t="n">
        <v>46204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Kyrkan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Klippfrullania
Västlig hakmossa</t>
        </is>
      </c>
      <c r="S26">
        <f>HYPERLINK("https://klasma.github.io/Logging_1485/artfynd/A 3432-2024 artfynd.xlsx", "A 3432-2024")</f>
        <v/>
      </c>
      <c r="T26">
        <f>HYPERLINK("https://klasma.github.io/Logging_1485/kartor/A 3432-2024 karta.png", "A 3432-2024")</f>
        <v/>
      </c>
      <c r="V26">
        <f>HYPERLINK("https://klasma.github.io/Logging_1485/klagomål/A 3432-2024 FSC-klagomål.docx", "A 3432-2024")</f>
        <v/>
      </c>
      <c r="W26">
        <f>HYPERLINK("https://klasma.github.io/Logging_1485/klagomålsmail/A 3432-2024 FSC-klagomål mail.docx", "A 3432-2024")</f>
        <v/>
      </c>
      <c r="X26">
        <f>HYPERLINK("https://klasma.github.io/Logging_1485/tillsyn/A 3432-2024 tillsynsbegäran.docx", "A 3432-2024")</f>
        <v/>
      </c>
      <c r="Y26">
        <f>HYPERLINK("https://klasma.github.io/Logging_1485/tillsynsmail/A 3432-2024 tillsynsbegäran mail.docx", "A 3432-2024")</f>
        <v/>
      </c>
    </row>
    <row r="27" ht="15" customHeight="1">
      <c r="A27" t="inlineStr">
        <is>
          <t>A 32523-2024</t>
        </is>
      </c>
      <c r="B27" s="1" t="n">
        <v>45513</v>
      </c>
      <c r="C27" s="1" t="n">
        <v>46204</v>
      </c>
      <c r="D27" t="inlineStr">
        <is>
          <t>VÄSTRA GÖTALANDS LÄN</t>
        </is>
      </c>
      <c r="E27" t="inlineStr">
        <is>
          <t>UDDEVALLA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Granbarkgnagare</t>
        </is>
      </c>
      <c r="S27">
        <f>HYPERLINK("https://klasma.github.io/Logging_1485/artfynd/A 32523-2024 artfynd.xlsx", "A 32523-2024")</f>
        <v/>
      </c>
      <c r="T27">
        <f>HYPERLINK("https://klasma.github.io/Logging_1485/kartor/A 32523-2024 karta.png", "A 32523-2024")</f>
        <v/>
      </c>
      <c r="V27">
        <f>HYPERLINK("https://klasma.github.io/Logging_1485/klagomål/A 32523-2024 FSC-klagomål.docx", "A 32523-2024")</f>
        <v/>
      </c>
      <c r="W27">
        <f>HYPERLINK("https://klasma.github.io/Logging_1485/klagomålsmail/A 32523-2024 FSC-klagomål mail.docx", "A 32523-2024")</f>
        <v/>
      </c>
      <c r="X27">
        <f>HYPERLINK("https://klasma.github.io/Logging_1485/tillsyn/A 32523-2024 tillsynsbegäran.docx", "A 32523-2024")</f>
        <v/>
      </c>
      <c r="Y27">
        <f>HYPERLINK("https://klasma.github.io/Logging_1485/tillsynsmail/A 32523-2024 tillsynsbegäran mail.docx", "A 32523-2024")</f>
        <v/>
      </c>
    </row>
    <row r="28" ht="15" customHeight="1">
      <c r="A28" t="inlineStr">
        <is>
          <t>A 8666-2024</t>
        </is>
      </c>
      <c r="B28" s="1" t="n">
        <v>45352</v>
      </c>
      <c r="C28" s="1" t="n">
        <v>46204</v>
      </c>
      <c r="D28" t="inlineStr">
        <is>
          <t>VÄSTRA GÖTALANDS LÄN</t>
        </is>
      </c>
      <c r="E28" t="inlineStr">
        <is>
          <t>UDDEVALLA</t>
        </is>
      </c>
      <c r="G28" t="n">
        <v>4.6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Spillkråka</t>
        </is>
      </c>
      <c r="S28">
        <f>HYPERLINK("https://klasma.github.io/Logging_1485/artfynd/A 8666-2024 artfynd.xlsx", "A 8666-2024")</f>
        <v/>
      </c>
      <c r="T28">
        <f>HYPERLINK("https://klasma.github.io/Logging_1485/kartor/A 8666-2024 karta.png", "A 8666-2024")</f>
        <v/>
      </c>
      <c r="V28">
        <f>HYPERLINK("https://klasma.github.io/Logging_1485/klagomål/A 8666-2024 FSC-klagomål.docx", "A 8666-2024")</f>
        <v/>
      </c>
      <c r="W28">
        <f>HYPERLINK("https://klasma.github.io/Logging_1485/klagomålsmail/A 8666-2024 FSC-klagomål mail.docx", "A 8666-2024")</f>
        <v/>
      </c>
      <c r="X28">
        <f>HYPERLINK("https://klasma.github.io/Logging_1485/tillsyn/A 8666-2024 tillsynsbegäran.docx", "A 8666-2024")</f>
        <v/>
      </c>
      <c r="Y28">
        <f>HYPERLINK("https://klasma.github.io/Logging_1485/tillsynsmail/A 8666-2024 tillsynsbegäran mail.docx", "A 8666-2024")</f>
        <v/>
      </c>
      <c r="Z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s="1" t="n">
        <v>44472</v>
      </c>
      <c r="C29" s="1" t="n">
        <v>46204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HYPERLINK("https://klasma.github.io/Logging_1485/artfynd/A 54440-2021 artfynd.xlsx", "A 54440-2021")</f>
        <v/>
      </c>
      <c r="T29">
        <f>HYPERLINK("https://klasma.github.io/Logging_1485/kartor/A 54440-2021 karta.png", "A 54440-2021")</f>
        <v/>
      </c>
      <c r="V29">
        <f>HYPERLINK("https://klasma.github.io/Logging_1485/klagomål/A 54440-2021 FSC-klagomål.docx", "A 54440-2021")</f>
        <v/>
      </c>
      <c r="W29">
        <f>HYPERLINK("https://klasma.github.io/Logging_1485/klagomålsmail/A 54440-2021 FSC-klagomål mail.docx", "A 54440-2021")</f>
        <v/>
      </c>
      <c r="X29">
        <f>HYPERLINK("https://klasma.github.io/Logging_1485/tillsyn/A 54440-2021 tillsynsbegäran.docx", "A 54440-2021")</f>
        <v/>
      </c>
      <c r="Y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46204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s="1" t="n">
        <v>44462</v>
      </c>
      <c r="C31" s="1" t="n">
        <v>46204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HYPERLINK("https://klasma.github.io/Logging_1485/artfynd/A 51869-2021 artfynd.xlsx", "A 51869-2021")</f>
        <v/>
      </c>
      <c r="T31">
        <f>HYPERLINK("https://klasma.github.io/Logging_1485/kartor/A 51869-2021 karta.png", "A 51869-2021")</f>
        <v/>
      </c>
      <c r="V31">
        <f>HYPERLINK("https://klasma.github.io/Logging_1485/klagomål/A 51869-2021 FSC-klagomål.docx", "A 51869-2021")</f>
        <v/>
      </c>
      <c r="W31">
        <f>HYPERLINK("https://klasma.github.io/Logging_1485/klagomålsmail/A 51869-2021 FSC-klagomål mail.docx", "A 51869-2021")</f>
        <v/>
      </c>
      <c r="X31">
        <f>HYPERLINK("https://klasma.github.io/Logging_1485/tillsyn/A 51869-2021 tillsynsbegäran.docx", "A 51869-2021")</f>
        <v/>
      </c>
      <c r="Y31">
        <f>HYPERLINK("https://klasma.github.io/Logging_1485/tillsynsmail/A 51869-2021 tillsynsbegäran mail.docx", "A 51869-2021")</f>
        <v/>
      </c>
    </row>
    <row r="32" ht="15" customHeight="1">
      <c r="A32" t="inlineStr">
        <is>
          <t>A 495-2023</t>
        </is>
      </c>
      <c r="B32" s="1" t="n">
        <v>44930</v>
      </c>
      <c r="C32" s="1" t="n">
        <v>46204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HYPERLINK("https://klasma.github.io/Logging_1485/artfynd/A 495-2023 artfynd.xlsx", "A 495-2023")</f>
        <v/>
      </c>
      <c r="T32">
        <f>HYPERLINK("https://klasma.github.io/Logging_1485/kartor/A 495-2023 karta.png", "A 495-2023")</f>
        <v/>
      </c>
      <c r="V32">
        <f>HYPERLINK("https://klasma.github.io/Logging_1485/klagomål/A 495-2023 FSC-klagomål.docx", "A 495-2023")</f>
        <v/>
      </c>
      <c r="W32">
        <f>HYPERLINK("https://klasma.github.io/Logging_1485/klagomålsmail/A 495-2023 FSC-klagomål mail.docx", "A 495-2023")</f>
        <v/>
      </c>
      <c r="X32">
        <f>HYPERLINK("https://klasma.github.io/Logging_1485/tillsyn/A 495-2023 tillsynsbegäran.docx", "A 495-2023")</f>
        <v/>
      </c>
      <c r="Y32">
        <f>HYPERLINK("https://klasma.github.io/Logging_1485/tillsynsmail/A 495-2023 tillsynsbegäran mail.docx", "A 495-2023")</f>
        <v/>
      </c>
      <c r="Z32">
        <f>HYPERLINK("https://klasma.github.io/Logging_1485/fåglar/A 495-2023 prioriterade fågelarter.docx", "A 495-2023")</f>
        <v/>
      </c>
    </row>
    <row r="33" ht="15" customHeight="1">
      <c r="A33" t="inlineStr">
        <is>
          <t>A 22603-2023</t>
        </is>
      </c>
      <c r="B33" s="1" t="n">
        <v>45071</v>
      </c>
      <c r="C33" s="1" t="n">
        <v>46204</v>
      </c>
      <c r="D33" t="inlineStr">
        <is>
          <t>VÄSTRA GÖTALANDS LÄN</t>
        </is>
      </c>
      <c r="E33" t="inlineStr">
        <is>
          <t>UDDEVALLA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HYPERLINK("https://klasma.github.io/Logging_1485/artfynd/A 22603-2023 artfynd.xlsx", "A 22603-2023")</f>
        <v/>
      </c>
      <c r="T33">
        <f>HYPERLINK("https://klasma.github.io/Logging_1485/kartor/A 22603-2023 karta.png", "A 22603-2023")</f>
        <v/>
      </c>
      <c r="V33">
        <f>HYPERLINK("https://klasma.github.io/Logging_1485/klagomål/A 22603-2023 FSC-klagomål.docx", "A 22603-2023")</f>
        <v/>
      </c>
      <c r="W33">
        <f>HYPERLINK("https://klasma.github.io/Logging_1485/klagomålsmail/A 22603-2023 FSC-klagomål mail.docx", "A 22603-2023")</f>
        <v/>
      </c>
      <c r="X33">
        <f>HYPERLINK("https://klasma.github.io/Logging_1485/tillsyn/A 22603-2023 tillsynsbegäran.docx", "A 22603-2023")</f>
        <v/>
      </c>
      <c r="Y33">
        <f>HYPERLINK("https://klasma.github.io/Logging_1485/tillsynsmail/A 22603-2023 tillsynsbegäran mail.docx", "A 22603-2023")</f>
        <v/>
      </c>
    </row>
    <row r="34" ht="15" customHeight="1">
      <c r="A34" t="inlineStr">
        <is>
          <t>A 30954-2025</t>
        </is>
      </c>
      <c r="B34" s="1" t="n">
        <v>45832</v>
      </c>
      <c r="C34" s="1" t="n">
        <v>46204</v>
      </c>
      <c r="D34" t="inlineStr">
        <is>
          <t>VÄSTRA GÖTALANDS LÄN</t>
        </is>
      </c>
      <c r="E34" t="inlineStr">
        <is>
          <t>UDDEVALLA</t>
        </is>
      </c>
      <c r="G34" t="n">
        <v>11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HYPERLINK("https://klasma.github.io/Logging_1485/artfynd/A 30954-2025 artfynd.xlsx", "A 30954-2025")</f>
        <v/>
      </c>
      <c r="T34">
        <f>HYPERLINK("https://klasma.github.io/Logging_1485/kartor/A 30954-2025 karta.png", "A 30954-2025")</f>
        <v/>
      </c>
      <c r="V34">
        <f>HYPERLINK("https://klasma.github.io/Logging_1485/klagomål/A 30954-2025 FSC-klagomål.docx", "A 30954-2025")</f>
        <v/>
      </c>
      <c r="W34">
        <f>HYPERLINK("https://klasma.github.io/Logging_1485/klagomålsmail/A 30954-2025 FSC-klagomål mail.docx", "A 30954-2025")</f>
        <v/>
      </c>
      <c r="X34">
        <f>HYPERLINK("https://klasma.github.io/Logging_1485/tillsyn/A 30954-2025 tillsynsbegäran.docx", "A 30954-2025")</f>
        <v/>
      </c>
      <c r="Y34">
        <f>HYPERLINK("https://klasma.github.io/Logging_1485/tillsynsmail/A 30954-2025 tillsynsbegäran mail.docx", "A 30954-2025")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46204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10865-2022</t>
        </is>
      </c>
      <c r="B36" s="1" t="n">
        <v>44627</v>
      </c>
      <c r="C36" s="1" t="n">
        <v>46204</v>
      </c>
      <c r="D36" t="inlineStr">
        <is>
          <t>VÄSTRA GÖTALANDS LÄN</t>
        </is>
      </c>
      <c r="E36" t="inlineStr">
        <is>
          <t>UDDEVALLA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10865-2022 artfynd.xlsx", "A 10865-2022")</f>
        <v/>
      </c>
      <c r="T36">
        <f>HYPERLINK("https://klasma.github.io/Logging_1485/kartor/A 10865-2022 karta.png", "A 10865-2022")</f>
        <v/>
      </c>
      <c r="V36">
        <f>HYPERLINK("https://klasma.github.io/Logging_1485/klagomål/A 10865-2022 FSC-klagomål.docx", "A 10865-2022")</f>
        <v/>
      </c>
      <c r="W36">
        <f>HYPERLINK("https://klasma.github.io/Logging_1485/klagomålsmail/A 10865-2022 FSC-klagomål mail.docx", "A 10865-2022")</f>
        <v/>
      </c>
      <c r="X36">
        <f>HYPERLINK("https://klasma.github.io/Logging_1485/tillsyn/A 10865-2022 tillsynsbegäran.docx", "A 10865-2022")</f>
        <v/>
      </c>
      <c r="Y36">
        <f>HYPERLINK("https://klasma.github.io/Logging_1485/tillsynsmail/A 10865-2022 tillsynsbegäran mail.docx", "A 10865-2022")</f>
        <v/>
      </c>
    </row>
    <row r="37" ht="15" customHeight="1">
      <c r="A37" t="inlineStr">
        <is>
          <t>A 9424-2026</t>
        </is>
      </c>
      <c r="B37" s="1" t="n">
        <v>46071</v>
      </c>
      <c r="C37" s="1" t="n">
        <v>46204</v>
      </c>
      <c r="D37" t="inlineStr">
        <is>
          <t>VÄSTRA GÖTALANDS LÄN</t>
        </is>
      </c>
      <c r="E37" t="inlineStr">
        <is>
          <t>UDDEVALLA</t>
        </is>
      </c>
      <c r="G37" t="n">
        <v>4.3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Flotagräs</t>
        </is>
      </c>
      <c r="S37">
        <f>HYPERLINK("https://klasma.github.io/Logging_1485/artfynd/A 9424-2026 artfynd.xlsx", "A 9424-2026")</f>
        <v/>
      </c>
      <c r="T37">
        <f>HYPERLINK("https://klasma.github.io/Logging_1485/kartor/A 9424-2026 karta.png", "A 9424-2026")</f>
        <v/>
      </c>
      <c r="V37">
        <f>HYPERLINK("https://klasma.github.io/Logging_1485/klagomål/A 9424-2026 FSC-klagomål.docx", "A 9424-2026")</f>
        <v/>
      </c>
      <c r="W37">
        <f>HYPERLINK("https://klasma.github.io/Logging_1485/klagomålsmail/A 9424-2026 FSC-klagomål mail.docx", "A 9424-2026")</f>
        <v/>
      </c>
      <c r="X37">
        <f>HYPERLINK("https://klasma.github.io/Logging_1485/tillsyn/A 9424-2026 tillsynsbegäran.docx", "A 9424-2026")</f>
        <v/>
      </c>
      <c r="Y37">
        <f>HYPERLINK("https://klasma.github.io/Logging_1485/tillsynsmail/A 9424-2026 tillsynsbegäran mail.docx", "A 9424-2026")</f>
        <v/>
      </c>
    </row>
    <row r="38" ht="15" customHeight="1">
      <c r="A38" t="inlineStr">
        <is>
          <t>A 55288-2023</t>
        </is>
      </c>
      <c r="B38" s="1" t="n">
        <v>45237</v>
      </c>
      <c r="C38" s="1" t="n">
        <v>46204</v>
      </c>
      <c r="D38" t="inlineStr">
        <is>
          <t>VÄSTRA GÖTALANDS LÄN</t>
        </is>
      </c>
      <c r="E38" t="inlineStr">
        <is>
          <t>UDDEVALLA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55288-2023 artfynd.xlsx", "A 55288-2023")</f>
        <v/>
      </c>
      <c r="T38">
        <f>HYPERLINK("https://klasma.github.io/Logging_1485/kartor/A 55288-2023 karta.png", "A 55288-2023")</f>
        <v/>
      </c>
      <c r="V38">
        <f>HYPERLINK("https://klasma.github.io/Logging_1485/klagomål/A 55288-2023 FSC-klagomål.docx", "A 55288-2023")</f>
        <v/>
      </c>
      <c r="W38">
        <f>HYPERLINK("https://klasma.github.io/Logging_1485/klagomålsmail/A 55288-2023 FSC-klagomål mail.docx", "A 55288-2023")</f>
        <v/>
      </c>
      <c r="X38">
        <f>HYPERLINK("https://klasma.github.io/Logging_1485/tillsyn/A 55288-2023 tillsynsbegäran.docx", "A 55288-2023")</f>
        <v/>
      </c>
      <c r="Y38">
        <f>HYPERLINK("https://klasma.github.io/Logging_1485/tillsynsmail/A 55288-2023 tillsynsbegäran mail.docx", "A 55288-2023")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46204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23401-2023</t>
        </is>
      </c>
      <c r="B40" s="1" t="n">
        <v>45076</v>
      </c>
      <c r="C40" s="1" t="n">
        <v>46204</v>
      </c>
      <c r="D40" t="inlineStr">
        <is>
          <t>VÄSTRA GÖTALANDS LÄN</t>
        </is>
      </c>
      <c r="E40" t="inlineStr">
        <is>
          <t>UDDEVALLA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HYPERLINK("https://klasma.github.io/Logging_1485/artfynd/A 23401-2023 artfynd.xlsx", "A 23401-2023")</f>
        <v/>
      </c>
      <c r="T40">
        <f>HYPERLINK("https://klasma.github.io/Logging_1485/kartor/A 23401-2023 karta.png", "A 23401-2023")</f>
        <v/>
      </c>
      <c r="V40">
        <f>HYPERLINK("https://klasma.github.io/Logging_1485/klagomål/A 23401-2023 FSC-klagomål.docx", "A 23401-2023")</f>
        <v/>
      </c>
      <c r="W40">
        <f>HYPERLINK("https://klasma.github.io/Logging_1485/klagomålsmail/A 23401-2023 FSC-klagomål mail.docx", "A 23401-2023")</f>
        <v/>
      </c>
      <c r="X40">
        <f>HYPERLINK("https://klasma.github.io/Logging_1485/tillsyn/A 23401-2023 tillsynsbegäran.docx", "A 23401-2023")</f>
        <v/>
      </c>
      <c r="Y40">
        <f>HYPERLINK("https://klasma.github.io/Logging_1485/tillsynsmail/A 23401-2023 tillsynsbegäran mail.docx", "A 23401-2023")</f>
        <v/>
      </c>
    </row>
    <row r="41" ht="15" customHeight="1">
      <c r="A41" t="inlineStr">
        <is>
          <t>A 2429-2026</t>
        </is>
      </c>
      <c r="B41" s="1" t="n">
        <v>46036</v>
      </c>
      <c r="C41" s="1" t="n">
        <v>46204</v>
      </c>
      <c r="D41" t="inlineStr">
        <is>
          <t>VÄSTRA GÖTALANDS LÄN</t>
        </is>
      </c>
      <c r="E41" t="inlineStr">
        <is>
          <t>UDDEVALLA</t>
        </is>
      </c>
      <c r="G41" t="n">
        <v>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HYPERLINK("https://klasma.github.io/Logging_1485/artfynd/A 2429-2026 artfynd.xlsx", "A 2429-2026")</f>
        <v/>
      </c>
      <c r="T41">
        <f>HYPERLINK("https://klasma.github.io/Logging_1485/kartor/A 2429-2026 karta.png", "A 2429-2026")</f>
        <v/>
      </c>
      <c r="V41">
        <f>HYPERLINK("https://klasma.github.io/Logging_1485/klagomål/A 2429-2026 FSC-klagomål.docx", "A 2429-2026")</f>
        <v/>
      </c>
      <c r="W41">
        <f>HYPERLINK("https://klasma.github.io/Logging_1485/klagomålsmail/A 2429-2026 FSC-klagomål mail.docx", "A 2429-2026")</f>
        <v/>
      </c>
      <c r="X41">
        <f>HYPERLINK("https://klasma.github.io/Logging_1485/tillsyn/A 2429-2026 tillsynsbegäran.docx", "A 2429-2026")</f>
        <v/>
      </c>
      <c r="Y41">
        <f>HYPERLINK("https://klasma.github.io/Logging_1485/tillsynsmail/A 2429-2026 tillsynsbegäran mail.docx", "A 2429-2026")</f>
        <v/>
      </c>
    </row>
    <row r="42" ht="15" customHeight="1">
      <c r="A42" t="inlineStr">
        <is>
          <t>A 34058-2023</t>
        </is>
      </c>
      <c r="B42" s="1" t="n">
        <v>45135</v>
      </c>
      <c r="C42" s="1" t="n">
        <v>46204</v>
      </c>
      <c r="D42" t="inlineStr">
        <is>
          <t>VÄSTRA GÖTALANDS LÄN</t>
        </is>
      </c>
      <c r="E42" t="inlineStr">
        <is>
          <t>UDDEVALLA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Lundvaxskivling</t>
        </is>
      </c>
      <c r="S42">
        <f>HYPERLINK("https://klasma.github.io/Logging_1485/artfynd/A 34058-2023 artfynd.xlsx", "A 34058-2023")</f>
        <v/>
      </c>
      <c r="T42">
        <f>HYPERLINK("https://klasma.github.io/Logging_1485/kartor/A 34058-2023 karta.png", "A 34058-2023")</f>
        <v/>
      </c>
      <c r="V42">
        <f>HYPERLINK("https://klasma.github.io/Logging_1485/klagomål/A 34058-2023 FSC-klagomål.docx", "A 34058-2023")</f>
        <v/>
      </c>
      <c r="W42">
        <f>HYPERLINK("https://klasma.github.io/Logging_1485/klagomålsmail/A 34058-2023 FSC-klagomål mail.docx", "A 34058-2023")</f>
        <v/>
      </c>
      <c r="X42">
        <f>HYPERLINK("https://klasma.github.io/Logging_1485/tillsyn/A 34058-2023 tillsynsbegäran.docx", "A 34058-2023")</f>
        <v/>
      </c>
      <c r="Y42">
        <f>HYPERLINK("https://klasma.github.io/Logging_1485/tillsynsmail/A 34058-2023 tillsynsbegäran mail.docx", "A 34058-2023")</f>
        <v/>
      </c>
    </row>
    <row r="43" ht="15" customHeight="1">
      <c r="A43" t="inlineStr">
        <is>
          <t>A 29691-2023</t>
        </is>
      </c>
      <c r="B43" s="1" t="n">
        <v>45107</v>
      </c>
      <c r="C43" s="1" t="n">
        <v>46204</v>
      </c>
      <c r="D43" t="inlineStr">
        <is>
          <t>VÄSTRA GÖTALANDS LÄN</t>
        </is>
      </c>
      <c r="E43" t="inlineStr">
        <is>
          <t>UDDEVALLA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HYPERLINK("https://klasma.github.io/Logging_1485/artfynd/A 29691-2023 artfynd.xlsx", "A 29691-2023")</f>
        <v/>
      </c>
      <c r="T43">
        <f>HYPERLINK("https://klasma.github.io/Logging_1485/kartor/A 29691-2023 karta.png", "A 29691-2023")</f>
        <v/>
      </c>
      <c r="V43">
        <f>HYPERLINK("https://klasma.github.io/Logging_1485/klagomål/A 29691-2023 FSC-klagomål.docx", "A 29691-2023")</f>
        <v/>
      </c>
      <c r="W43">
        <f>HYPERLINK("https://klasma.github.io/Logging_1485/klagomålsmail/A 29691-2023 FSC-klagomål mail.docx", "A 29691-2023")</f>
        <v/>
      </c>
      <c r="X43">
        <f>HYPERLINK("https://klasma.github.io/Logging_1485/tillsyn/A 29691-2023 tillsynsbegäran.docx", "A 29691-2023")</f>
        <v/>
      </c>
      <c r="Y43">
        <f>HYPERLINK("https://klasma.github.io/Logging_1485/tillsynsmail/A 29691-2023 tillsynsbegäran mail.docx", "A 29691-2023")</f>
        <v/>
      </c>
    </row>
    <row r="44" ht="15" customHeight="1">
      <c r="A44" t="inlineStr">
        <is>
          <t>A 50274-2024</t>
        </is>
      </c>
      <c r="B44" s="1" t="n">
        <v>45600</v>
      </c>
      <c r="C44" s="1" t="n">
        <v>46204</v>
      </c>
      <c r="D44" t="inlineStr">
        <is>
          <t>VÄSTRA GÖTALANDS LÄN</t>
        </is>
      </c>
      <c r="E44" t="inlineStr">
        <is>
          <t>UDDEVALLA</t>
        </is>
      </c>
      <c r="G44" t="n">
        <v>20.1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HYPERLINK("https://klasma.github.io/Logging_1485/artfynd/A 50274-2024 artfynd.xlsx", "A 50274-2024")</f>
        <v/>
      </c>
      <c r="T44">
        <f>HYPERLINK("https://klasma.github.io/Logging_1485/kartor/A 50274-2024 karta.png", "A 50274-2024")</f>
        <v/>
      </c>
      <c r="V44">
        <f>HYPERLINK("https://klasma.github.io/Logging_1485/klagomål/A 50274-2024 FSC-klagomål.docx", "A 50274-2024")</f>
        <v/>
      </c>
      <c r="W44">
        <f>HYPERLINK("https://klasma.github.io/Logging_1485/klagomålsmail/A 50274-2024 FSC-klagomål mail.docx", "A 50274-2024")</f>
        <v/>
      </c>
      <c r="X44">
        <f>HYPERLINK("https://klasma.github.io/Logging_1485/tillsyn/A 50274-2024 tillsynsbegäran.docx", "A 50274-2024")</f>
        <v/>
      </c>
      <c r="Y44">
        <f>HYPERLINK("https://klasma.github.io/Logging_1485/tillsynsmail/A 50274-2024 tillsynsbegäran mail.docx", "A 50274-2024")</f>
        <v/>
      </c>
      <c r="Z44">
        <f>HYPERLINK("https://klasma.github.io/Logging_1485/fåglar/A 50274-2024 prioriterade fågelarter.docx", "A 50274-2024")</f>
        <v/>
      </c>
    </row>
    <row r="45" ht="15" customHeight="1">
      <c r="A45" t="inlineStr">
        <is>
          <t>A 23322-2025</t>
        </is>
      </c>
      <c r="B45" s="1" t="n">
        <v>45791</v>
      </c>
      <c r="C45" s="1" t="n">
        <v>46204</v>
      </c>
      <c r="D45" t="inlineStr">
        <is>
          <t>VÄSTRA GÖTALANDS LÄN</t>
        </is>
      </c>
      <c r="E45" t="inlineStr">
        <is>
          <t>UDDEVALLA</t>
        </is>
      </c>
      <c r="G45" t="n">
        <v>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HYPERLINK("https://klasma.github.io/Logging_1485/artfynd/A 23322-2025 artfynd.xlsx", "A 23322-2025")</f>
        <v/>
      </c>
      <c r="T45">
        <f>HYPERLINK("https://klasma.github.io/Logging_1485/kartor/A 23322-2025 karta.png", "A 23322-2025")</f>
        <v/>
      </c>
      <c r="V45">
        <f>HYPERLINK("https://klasma.github.io/Logging_1485/klagomål/A 23322-2025 FSC-klagomål.docx", "A 23322-2025")</f>
        <v/>
      </c>
      <c r="W45">
        <f>HYPERLINK("https://klasma.github.io/Logging_1485/klagomålsmail/A 23322-2025 FSC-klagomål mail.docx", "A 23322-2025")</f>
        <v/>
      </c>
      <c r="X45">
        <f>HYPERLINK("https://klasma.github.io/Logging_1485/tillsyn/A 23322-2025 tillsynsbegäran.docx", "A 23322-2025")</f>
        <v/>
      </c>
      <c r="Y45">
        <f>HYPERLINK("https://klasma.github.io/Logging_1485/tillsynsmail/A 23322-2025 tillsynsbegäran mail.docx", "A 23322-2025")</f>
        <v/>
      </c>
      <c r="Z45">
        <f>HYPERLINK("https://klasma.github.io/Logging_1485/fåglar/A 23322-2025 prioriterade fågelarter.docx", "A 23322-2025")</f>
        <v/>
      </c>
    </row>
    <row r="46" ht="15" customHeight="1">
      <c r="A46" t="inlineStr">
        <is>
          <t>A 3607-2022</t>
        </is>
      </c>
      <c r="B46" s="1" t="n">
        <v>44586</v>
      </c>
      <c r="C46" s="1" t="n">
        <v>46204</v>
      </c>
      <c r="D46" t="inlineStr">
        <is>
          <t>VÄSTRA GÖTALANDS LÄN</t>
        </is>
      </c>
      <c r="E46" t="inlineStr">
        <is>
          <t>UDDEVALLA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41964-2022</t>
        </is>
      </c>
      <c r="B47" s="1" t="n">
        <v>44830</v>
      </c>
      <c r="C47" s="1" t="n">
        <v>46204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48088-2021</t>
        </is>
      </c>
      <c r="B48" s="1" t="n">
        <v>44449</v>
      </c>
      <c r="C48" s="1" t="n">
        <v>46204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70494-2021</t>
        </is>
      </c>
      <c r="B49" s="1" t="n">
        <v>44536</v>
      </c>
      <c r="C49" s="1" t="n">
        <v>46204</v>
      </c>
      <c r="D49" t="inlineStr">
        <is>
          <t>VÄSTRA GÖTALANDS LÄN</t>
        </is>
      </c>
      <c r="E49" t="inlineStr">
        <is>
          <t>UDDEVALLA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25811-2022</t>
        </is>
      </c>
      <c r="B50" s="1" t="n">
        <v>44733</v>
      </c>
      <c r="C50" s="1" t="n">
        <v>46204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46548-2021</t>
        </is>
      </c>
      <c r="B51" s="1" t="n">
        <v>44445</v>
      </c>
      <c r="C51" s="1" t="n">
        <v>46204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</v>
      </c>
      <c r="C52" s="1" t="n">
        <v>46204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46204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</v>
      </c>
      <c r="C54" s="1" t="n">
        <v>46204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</v>
      </c>
      <c r="C55" s="1" t="n">
        <v>46204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46204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25807-2022</t>
        </is>
      </c>
      <c r="B57" s="1" t="n">
        <v>44733</v>
      </c>
      <c r="C57" s="1" t="n">
        <v>46204</v>
      </c>
      <c r="D57" t="inlineStr">
        <is>
          <t>VÄSTRA GÖTALANDS LÄN</t>
        </is>
      </c>
      <c r="E57" t="inlineStr">
        <is>
          <t>UDDEVALLA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6063-2022</t>
        </is>
      </c>
      <c r="B58" s="1" t="n">
        <v>44599</v>
      </c>
      <c r="C58" s="1" t="n">
        <v>46204</v>
      </c>
      <c r="D58" t="inlineStr">
        <is>
          <t>VÄSTRA GÖTALANDS LÄN</t>
        </is>
      </c>
      <c r="E58" t="inlineStr">
        <is>
          <t>UDDEVALLA</t>
        </is>
      </c>
      <c r="G58" t="n">
        <v>14.4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46204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46204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</v>
      </c>
      <c r="C61" s="1" t="n">
        <v>46204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46204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</v>
      </c>
      <c r="C63" s="1" t="n">
        <v>46204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</v>
      </c>
      <c r="C64" s="1" t="n">
        <v>46204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46204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</v>
      </c>
      <c r="C66" s="1" t="n">
        <v>46204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46204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39287-2021</t>
        </is>
      </c>
      <c r="B68" s="1" t="n">
        <v>44413</v>
      </c>
      <c r="C68" s="1" t="n">
        <v>46204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58385-2024</t>
        </is>
      </c>
      <c r="B69" s="1" t="n">
        <v>45633</v>
      </c>
      <c r="C69" s="1" t="n">
        <v>46204</v>
      </c>
      <c r="D69" t="inlineStr">
        <is>
          <t>VÄSTRA GÖTALANDS LÄN</t>
        </is>
      </c>
      <c r="E69" t="inlineStr">
        <is>
          <t>UDDEVALLA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50879-2024</t>
        </is>
      </c>
      <c r="B70" s="1" t="n">
        <v>45602</v>
      </c>
      <c r="C70" s="1" t="n">
        <v>46204</v>
      </c>
      <c r="D70" t="inlineStr">
        <is>
          <t>VÄSTRA GÖTALANDS LÄN</t>
        </is>
      </c>
      <c r="E70" t="inlineStr">
        <is>
          <t>UDDEVALLA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49780-2023</t>
        </is>
      </c>
      <c r="B71" s="1" t="n">
        <v>45212</v>
      </c>
      <c r="C71" s="1" t="n">
        <v>46204</v>
      </c>
      <c r="D71" t="inlineStr">
        <is>
          <t>VÄSTRA GÖTALANDS LÄN</t>
        </is>
      </c>
      <c r="E71" t="inlineStr">
        <is>
          <t>UDDEVALLA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40297-2024</t>
        </is>
      </c>
      <c r="B72" s="1" t="n">
        <v>45554</v>
      </c>
      <c r="C72" s="1" t="n">
        <v>46204</v>
      </c>
      <c r="D72" t="inlineStr">
        <is>
          <t>VÄSTRA GÖTALANDS LÄN</t>
        </is>
      </c>
      <c r="E72" t="inlineStr">
        <is>
          <t>UDDEVALLA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59474-2022</t>
        </is>
      </c>
      <c r="B73" s="1" t="n">
        <v>44900</v>
      </c>
      <c r="C73" s="1" t="n">
        <v>46204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26916-2023</t>
        </is>
      </c>
      <c r="B74" s="1" t="n">
        <v>45093</v>
      </c>
      <c r="C74" s="1" t="n">
        <v>46204</v>
      </c>
      <c r="D74" t="inlineStr">
        <is>
          <t>VÄSTRA GÖTALANDS LÄN</t>
        </is>
      </c>
      <c r="E74" t="inlineStr">
        <is>
          <t>UDDEVALLA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4037-2025</t>
        </is>
      </c>
      <c r="B75" s="1" t="n">
        <v>45684</v>
      </c>
      <c r="C75" s="1" t="n">
        <v>46204</v>
      </c>
      <c r="D75" t="inlineStr">
        <is>
          <t>VÄSTRA GÖTALANDS LÄN</t>
        </is>
      </c>
      <c r="E75" t="inlineStr">
        <is>
          <t>UDDEVALLA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43271-2023</t>
        </is>
      </c>
      <c r="B76" s="1" t="n">
        <v>45183</v>
      </c>
      <c r="C76" s="1" t="n">
        <v>46204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25519-2023</t>
        </is>
      </c>
      <c r="B77" s="1" t="n">
        <v>45089</v>
      </c>
      <c r="C77" s="1" t="n">
        <v>46204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5557-2023</t>
        </is>
      </c>
      <c r="B78" s="1" t="n">
        <v>44960</v>
      </c>
      <c r="C78" s="1" t="n">
        <v>46204</v>
      </c>
      <c r="D78" t="inlineStr">
        <is>
          <t>VÄSTRA GÖTALANDS LÄN</t>
        </is>
      </c>
      <c r="E78" t="inlineStr">
        <is>
          <t>UDDEVALLA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10333-2024</t>
        </is>
      </c>
      <c r="B79" s="1" t="n">
        <v>45365</v>
      </c>
      <c r="C79" s="1" t="n">
        <v>46204</v>
      </c>
      <c r="D79" t="inlineStr">
        <is>
          <t>VÄSTRA GÖTALANDS LÄN</t>
        </is>
      </c>
      <c r="E79" t="inlineStr">
        <is>
          <t>UDDEVALLA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70491-2021</t>
        </is>
      </c>
      <c r="B80" s="1" t="n">
        <v>44536</v>
      </c>
      <c r="C80" s="1" t="n">
        <v>46204</v>
      </c>
      <c r="D80" t="inlineStr">
        <is>
          <t>VÄSTRA GÖTALANDS LÄN</t>
        </is>
      </c>
      <c r="E80" t="inlineStr">
        <is>
          <t>UDDEVALLA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39121-2024</t>
        </is>
      </c>
      <c r="B81" s="1" t="n">
        <v>45548</v>
      </c>
      <c r="C81" s="1" t="n">
        <v>46204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38389-2023</t>
        </is>
      </c>
      <c r="B82" s="1" t="n">
        <v>45162</v>
      </c>
      <c r="C82" s="1" t="n">
        <v>46204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1346-2022</t>
        </is>
      </c>
      <c r="B83" s="1" t="n">
        <v>44572</v>
      </c>
      <c r="C83" s="1" t="n">
        <v>46204</v>
      </c>
      <c r="D83" t="inlineStr">
        <is>
          <t>VÄSTRA GÖTALANDS LÄN</t>
        </is>
      </c>
      <c r="E83" t="inlineStr">
        <is>
          <t>UDDEVALLA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17027-2025</t>
        </is>
      </c>
      <c r="B84" s="1" t="n">
        <v>45754</v>
      </c>
      <c r="C84" s="1" t="n">
        <v>46204</v>
      </c>
      <c r="D84" t="inlineStr">
        <is>
          <t>VÄSTRA GÖTALANDS LÄN</t>
        </is>
      </c>
      <c r="E84" t="inlineStr">
        <is>
          <t>UDDEVALLA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49718-2024</t>
        </is>
      </c>
      <c r="B85" s="1" t="n">
        <v>45596</v>
      </c>
      <c r="C85" s="1" t="n">
        <v>46204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43426-2024</t>
        </is>
      </c>
      <c r="B86" s="1" t="n">
        <v>45568</v>
      </c>
      <c r="C86" s="1" t="n">
        <v>46204</v>
      </c>
      <c r="D86" t="inlineStr">
        <is>
          <t>VÄSTRA GÖTALANDS LÄN</t>
        </is>
      </c>
      <c r="E86" t="inlineStr">
        <is>
          <t>UDDEVALLA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11770-2022</t>
        </is>
      </c>
      <c r="B87" s="1" t="n">
        <v>44634</v>
      </c>
      <c r="C87" s="1" t="n">
        <v>46204</v>
      </c>
      <c r="D87" t="inlineStr">
        <is>
          <t>VÄSTRA GÖTALANDS LÄN</t>
        </is>
      </c>
      <c r="E87" t="inlineStr">
        <is>
          <t>UDDEVALLA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39431-2024</t>
        </is>
      </c>
      <c r="B88" s="1" t="n">
        <v>45551</v>
      </c>
      <c r="C88" s="1" t="n">
        <v>46204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39084-2022</t>
        </is>
      </c>
      <c r="B89" s="1" t="n">
        <v>44817</v>
      </c>
      <c r="C89" s="1" t="n">
        <v>46204</v>
      </c>
      <c r="D89" t="inlineStr">
        <is>
          <t>VÄSTRA GÖTALANDS LÄN</t>
        </is>
      </c>
      <c r="E89" t="inlineStr">
        <is>
          <t>UDDEVALLA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52889-2023</t>
        </is>
      </c>
      <c r="B90" s="1" t="n">
        <v>45226</v>
      </c>
      <c r="C90" s="1" t="n">
        <v>46204</v>
      </c>
      <c r="D90" t="inlineStr">
        <is>
          <t>VÄSTRA GÖTALANDS LÄN</t>
        </is>
      </c>
      <c r="E90" t="inlineStr">
        <is>
          <t>UDDEVALLA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23887-2024</t>
        </is>
      </c>
      <c r="B91" s="1" t="n">
        <v>45455</v>
      </c>
      <c r="C91" s="1" t="n">
        <v>46204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4639-2022</t>
        </is>
      </c>
      <c r="B92" s="1" t="n">
        <v>44592</v>
      </c>
      <c r="C92" s="1" t="n">
        <v>46204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18811-2024</t>
        </is>
      </c>
      <c r="B93" s="1" t="n">
        <v>45426</v>
      </c>
      <c r="C93" s="1" t="n">
        <v>46204</v>
      </c>
      <c r="D93" t="inlineStr">
        <is>
          <t>VÄSTRA GÖTALANDS LÄN</t>
        </is>
      </c>
      <c r="E93" t="inlineStr">
        <is>
          <t>UDDEVALLA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15716-2025</t>
        </is>
      </c>
      <c r="B94" s="1" t="n">
        <v>45748</v>
      </c>
      <c r="C94" s="1" t="n">
        <v>46204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10426-2023</t>
        </is>
      </c>
      <c r="B95" s="1" t="n">
        <v>44981</v>
      </c>
      <c r="C95" s="1" t="n">
        <v>46204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39991-2022</t>
        </is>
      </c>
      <c r="B96" s="1" t="n">
        <v>44820</v>
      </c>
      <c r="C96" s="1" t="n">
        <v>46204</v>
      </c>
      <c r="D96" t="inlineStr">
        <is>
          <t>VÄSTRA GÖTALANDS LÄN</t>
        </is>
      </c>
      <c r="E96" t="inlineStr">
        <is>
          <t>UDDEVALLA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57824-2024</t>
        </is>
      </c>
      <c r="B97" s="1" t="n">
        <v>45631</v>
      </c>
      <c r="C97" s="1" t="n">
        <v>46204</v>
      </c>
      <c r="D97" t="inlineStr">
        <is>
          <t>VÄSTRA GÖTALANDS LÄN</t>
        </is>
      </c>
      <c r="E97" t="inlineStr">
        <is>
          <t>UDDEVALLA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44133-2024</t>
        </is>
      </c>
      <c r="B98" s="1" t="n">
        <v>45572</v>
      </c>
      <c r="C98" s="1" t="n">
        <v>46204</v>
      </c>
      <c r="D98" t="inlineStr">
        <is>
          <t>VÄSTRA GÖTALANDS LÄN</t>
        </is>
      </c>
      <c r="E98" t="inlineStr">
        <is>
          <t>UDDEVALLA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49145-2024</t>
        </is>
      </c>
      <c r="B99" s="1" t="n">
        <v>45594</v>
      </c>
      <c r="C99" s="1" t="n">
        <v>46204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11021-2023</t>
        </is>
      </c>
      <c r="B100" s="1" t="n">
        <v>44991</v>
      </c>
      <c r="C100" s="1" t="n">
        <v>46204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58958-2021</t>
        </is>
      </c>
      <c r="B101" s="1" t="n">
        <v>44489</v>
      </c>
      <c r="C101" s="1" t="n">
        <v>46204</v>
      </c>
      <c r="D101" t="inlineStr">
        <is>
          <t>VÄSTRA GÖTALANDS LÄN</t>
        </is>
      </c>
      <c r="E101" t="inlineStr">
        <is>
          <t>UDDEVALLA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29929-2025</t>
        </is>
      </c>
      <c r="B102" s="1" t="n">
        <v>45826</v>
      </c>
      <c r="C102" s="1" t="n">
        <v>46204</v>
      </c>
      <c r="D102" t="inlineStr">
        <is>
          <t>VÄSTRA GÖTALANDS LÄN</t>
        </is>
      </c>
      <c r="E102" t="inlineStr">
        <is>
          <t>UDDEVALLA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29919-2025</t>
        </is>
      </c>
      <c r="B103" s="1" t="n">
        <v>45826</v>
      </c>
      <c r="C103" s="1" t="n">
        <v>46204</v>
      </c>
      <c r="D103" t="inlineStr">
        <is>
          <t>VÄSTRA GÖTALANDS LÄN</t>
        </is>
      </c>
      <c r="E103" t="inlineStr">
        <is>
          <t>UDDEVALLA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29921-2025</t>
        </is>
      </c>
      <c r="B104" s="1" t="n">
        <v>45826</v>
      </c>
      <c r="C104" s="1" t="n">
        <v>46204</v>
      </c>
      <c r="D104" t="inlineStr">
        <is>
          <t>VÄSTRA GÖTALANDS LÄN</t>
        </is>
      </c>
      <c r="E104" t="inlineStr">
        <is>
          <t>UDDEVALLA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7868-2026</t>
        </is>
      </c>
      <c r="B105" s="1" t="n">
        <v>46062</v>
      </c>
      <c r="C105" s="1" t="n">
        <v>46204</v>
      </c>
      <c r="D105" t="inlineStr">
        <is>
          <t>VÄSTRA GÖTALANDS LÄN</t>
        </is>
      </c>
      <c r="E105" t="inlineStr">
        <is>
          <t>UDDEVALLA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7870-2026</t>
        </is>
      </c>
      <c r="B106" s="1" t="n">
        <v>46062</v>
      </c>
      <c r="C106" s="1" t="n">
        <v>46204</v>
      </c>
      <c r="D106" t="inlineStr">
        <is>
          <t>VÄSTRA GÖTALANDS LÄN</t>
        </is>
      </c>
      <c r="E106" t="inlineStr">
        <is>
          <t>UDDEVALLA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20137-2025</t>
        </is>
      </c>
      <c r="B107" s="1" t="n">
        <v>45772</v>
      </c>
      <c r="C107" s="1" t="n">
        <v>46204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73437-2021</t>
        </is>
      </c>
      <c r="B108" s="1" t="n">
        <v>44551</v>
      </c>
      <c r="C108" s="1" t="n">
        <v>46204</v>
      </c>
      <c r="D108" t="inlineStr">
        <is>
          <t>VÄSTRA GÖTALANDS LÄN</t>
        </is>
      </c>
      <c r="E108" t="inlineStr">
        <is>
          <t>UDDEVALLA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6364-2025</t>
        </is>
      </c>
      <c r="B109" s="1" t="n">
        <v>45699</v>
      </c>
      <c r="C109" s="1" t="n">
        <v>46204</v>
      </c>
      <c r="D109" t="inlineStr">
        <is>
          <t>VÄSTRA GÖTALANDS LÄN</t>
        </is>
      </c>
      <c r="E109" t="inlineStr">
        <is>
          <t>UDDEVALLA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63397-2021</t>
        </is>
      </c>
      <c r="B110" s="1" t="n">
        <v>44508</v>
      </c>
      <c r="C110" s="1" t="n">
        <v>46204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33996-2025</t>
        </is>
      </c>
      <c r="B111" s="1" t="n">
        <v>45843</v>
      </c>
      <c r="C111" s="1" t="n">
        <v>46204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34493-2025</t>
        </is>
      </c>
      <c r="B112" s="1" t="n">
        <v>45847</v>
      </c>
      <c r="C112" s="1" t="n">
        <v>46204</v>
      </c>
      <c r="D112" t="inlineStr">
        <is>
          <t>VÄSTRA GÖTALANDS LÄN</t>
        </is>
      </c>
      <c r="E112" t="inlineStr">
        <is>
          <t>UDDEVALLA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40037-2021</t>
        </is>
      </c>
      <c r="B113" s="1" t="n">
        <v>44418</v>
      </c>
      <c r="C113" s="1" t="n">
        <v>46204</v>
      </c>
      <c r="D113" t="inlineStr">
        <is>
          <t>VÄSTRA GÖTALANDS LÄN</t>
        </is>
      </c>
      <c r="E113" t="inlineStr">
        <is>
          <t>UDDEVALLA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40331-2025</t>
        </is>
      </c>
      <c r="B114" s="1" t="n">
        <v>45895</v>
      </c>
      <c r="C114" s="1" t="n">
        <v>46204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36236-2023</t>
        </is>
      </c>
      <c r="B115" s="1" t="n">
        <v>45150</v>
      </c>
      <c r="C115" s="1" t="n">
        <v>46204</v>
      </c>
      <c r="D115" t="inlineStr">
        <is>
          <t>VÄSTRA GÖTALANDS LÄN</t>
        </is>
      </c>
      <c r="E115" t="inlineStr">
        <is>
          <t>UDDEVALLA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41567-2025</t>
        </is>
      </c>
      <c r="B116" s="1" t="n">
        <v>45901</v>
      </c>
      <c r="C116" s="1" t="n">
        <v>46204</v>
      </c>
      <c r="D116" t="inlineStr">
        <is>
          <t>VÄSTRA GÖTALANDS LÄN</t>
        </is>
      </c>
      <c r="E116" t="inlineStr">
        <is>
          <t>UDDEVALLA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41576-2025</t>
        </is>
      </c>
      <c r="B117" s="1" t="n">
        <v>45901</v>
      </c>
      <c r="C117" s="1" t="n">
        <v>46204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47896-2024</t>
        </is>
      </c>
      <c r="B118" s="1" t="n">
        <v>45588</v>
      </c>
      <c r="C118" s="1" t="n">
        <v>46204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1051-2023</t>
        </is>
      </c>
      <c r="B119" s="1" t="n">
        <v>44935</v>
      </c>
      <c r="C119" s="1" t="n">
        <v>46204</v>
      </c>
      <c r="D119" t="inlineStr">
        <is>
          <t>VÄSTRA GÖTALANDS LÄN</t>
        </is>
      </c>
      <c r="E119" t="inlineStr">
        <is>
          <t>UDDEVALLA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23806-2024</t>
        </is>
      </c>
      <c r="B120" s="1" t="n">
        <v>45455</v>
      </c>
      <c r="C120" s="1" t="n">
        <v>46204</v>
      </c>
      <c r="D120" t="inlineStr">
        <is>
          <t>VÄSTRA GÖTALANDS LÄN</t>
        </is>
      </c>
      <c r="E120" t="inlineStr">
        <is>
          <t>UDDEVALLA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9574-2026</t>
        </is>
      </c>
      <c r="B121" s="1" t="n">
        <v>46071</v>
      </c>
      <c r="C121" s="1" t="n">
        <v>46204</v>
      </c>
      <c r="D121" t="inlineStr">
        <is>
          <t>VÄSTRA GÖTALANDS LÄN</t>
        </is>
      </c>
      <c r="E121" t="inlineStr">
        <is>
          <t>UDDEVALLA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43552-2025</t>
        </is>
      </c>
      <c r="B122" s="1" t="n">
        <v>45911</v>
      </c>
      <c r="C122" s="1" t="n">
        <v>46204</v>
      </c>
      <c r="D122" t="inlineStr">
        <is>
          <t>VÄSTRA GÖTALANDS LÄN</t>
        </is>
      </c>
      <c r="E122" t="inlineStr">
        <is>
          <t>UDDEVALLA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44137-2025</t>
        </is>
      </c>
      <c r="B123" s="1" t="n">
        <v>45914</v>
      </c>
      <c r="C123" s="1" t="n">
        <v>46204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44086-2025</t>
        </is>
      </c>
      <c r="B124" s="1" t="n">
        <v>45914</v>
      </c>
      <c r="C124" s="1" t="n">
        <v>46204</v>
      </c>
      <c r="D124" t="inlineStr">
        <is>
          <t>VÄSTRA GÖTALANDS LÄN</t>
        </is>
      </c>
      <c r="E124" t="inlineStr">
        <is>
          <t>UDDEVALLA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45157-2025</t>
        </is>
      </c>
      <c r="B125" s="1" t="n">
        <v>45919</v>
      </c>
      <c r="C125" s="1" t="n">
        <v>46204</v>
      </c>
      <c r="D125" t="inlineStr">
        <is>
          <t>VÄSTRA GÖTALANDS LÄN</t>
        </is>
      </c>
      <c r="E125" t="inlineStr">
        <is>
          <t>UDDEVALLA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45567-2025</t>
        </is>
      </c>
      <c r="B126" s="1" t="n">
        <v>45922</v>
      </c>
      <c r="C126" s="1" t="n">
        <v>46204</v>
      </c>
      <c r="D126" t="inlineStr">
        <is>
          <t>VÄSTRA GÖTALANDS LÄN</t>
        </is>
      </c>
      <c r="E126" t="inlineStr">
        <is>
          <t>UDDEVALLA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43276-2022</t>
        </is>
      </c>
      <c r="B127" s="1" t="n">
        <v>44834</v>
      </c>
      <c r="C127" s="1" t="n">
        <v>46204</v>
      </c>
      <c r="D127" t="inlineStr">
        <is>
          <t>VÄSTRA GÖTALANDS LÄN</t>
        </is>
      </c>
      <c r="E127" t="inlineStr">
        <is>
          <t>UDDEVALLA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38133-2025</t>
        </is>
      </c>
      <c r="B128" s="1" t="n">
        <v>45882</v>
      </c>
      <c r="C128" s="1" t="n">
        <v>46204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2115-2025</t>
        </is>
      </c>
      <c r="B129" s="1" t="n">
        <v>45672</v>
      </c>
      <c r="C129" s="1" t="n">
        <v>46204</v>
      </c>
      <c r="D129" t="inlineStr">
        <is>
          <t>VÄSTRA GÖTALANDS LÄN</t>
        </is>
      </c>
      <c r="E129" t="inlineStr">
        <is>
          <t>UDDEVALLA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19849-2025</t>
        </is>
      </c>
      <c r="B130" s="1" t="n">
        <v>45771</v>
      </c>
      <c r="C130" s="1" t="n">
        <v>46204</v>
      </c>
      <c r="D130" t="inlineStr">
        <is>
          <t>VÄSTRA GÖTALANDS LÄN</t>
        </is>
      </c>
      <c r="E130" t="inlineStr">
        <is>
          <t>UDDEVALLA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46304-2025</t>
        </is>
      </c>
      <c r="B131" s="1" t="n">
        <v>45925</v>
      </c>
      <c r="C131" s="1" t="n">
        <v>46204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41511-2024</t>
        </is>
      </c>
      <c r="B132" s="1" t="n">
        <v>45560</v>
      </c>
      <c r="C132" s="1" t="n">
        <v>46204</v>
      </c>
      <c r="D132" t="inlineStr">
        <is>
          <t>VÄSTRA GÖTALANDS LÄN</t>
        </is>
      </c>
      <c r="E132" t="inlineStr">
        <is>
          <t>UDDEVALLA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47083-2025</t>
        </is>
      </c>
      <c r="B133" s="1" t="n">
        <v>45929</v>
      </c>
      <c r="C133" s="1" t="n">
        <v>46204</v>
      </c>
      <c r="D133" t="inlineStr">
        <is>
          <t>VÄSTRA GÖTALANDS LÄN</t>
        </is>
      </c>
      <c r="E133" t="inlineStr">
        <is>
          <t>UDDEVALLA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38130-2025</t>
        </is>
      </c>
      <c r="B134" s="1" t="n">
        <v>45882</v>
      </c>
      <c r="C134" s="1" t="n">
        <v>46204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10436-2026</t>
        </is>
      </c>
      <c r="B135" s="1" t="n">
        <v>46076</v>
      </c>
      <c r="C135" s="1" t="n">
        <v>46204</v>
      </c>
      <c r="D135" t="inlineStr">
        <is>
          <t>VÄSTRA GÖTALANDS LÄN</t>
        </is>
      </c>
      <c r="E135" t="inlineStr">
        <is>
          <t>UDDEVALLA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47103-2025</t>
        </is>
      </c>
      <c r="B136" s="1" t="n">
        <v>45929</v>
      </c>
      <c r="C136" s="1" t="n">
        <v>46204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47603-2025</t>
        </is>
      </c>
      <c r="B137" s="1" t="n">
        <v>45931</v>
      </c>
      <c r="C137" s="1" t="n">
        <v>46204</v>
      </c>
      <c r="D137" t="inlineStr">
        <is>
          <t>VÄSTRA GÖTALANDS LÄN</t>
        </is>
      </c>
      <c r="E137" t="inlineStr">
        <is>
          <t>UDDEVALLA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62037-2024</t>
        </is>
      </c>
      <c r="B138" s="1" t="n">
        <v>45656</v>
      </c>
      <c r="C138" s="1" t="n">
        <v>46204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62055-2024</t>
        </is>
      </c>
      <c r="B139" s="1" t="n">
        <v>45656</v>
      </c>
      <c r="C139" s="1" t="n">
        <v>46204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11465-2026</t>
        </is>
      </c>
      <c r="B140" s="1" t="n">
        <v>46083</v>
      </c>
      <c r="C140" s="1" t="n">
        <v>46204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21332-2024</t>
        </is>
      </c>
      <c r="B141" s="1" t="n">
        <v>45440</v>
      </c>
      <c r="C141" s="1" t="n">
        <v>46204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62073-2024</t>
        </is>
      </c>
      <c r="B142" s="1" t="n">
        <v>45656</v>
      </c>
      <c r="C142" s="1" t="n">
        <v>46204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62074-2024</t>
        </is>
      </c>
      <c r="B143" s="1" t="n">
        <v>45656</v>
      </c>
      <c r="C143" s="1" t="n">
        <v>46204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62077-2024</t>
        </is>
      </c>
      <c r="B144" s="1" t="n">
        <v>45656</v>
      </c>
      <c r="C144" s="1" t="n">
        <v>46204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Kommuner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61629-2024</t>
        </is>
      </c>
      <c r="B145" s="1" t="n">
        <v>45646</v>
      </c>
      <c r="C145" s="1" t="n">
        <v>46204</v>
      </c>
      <c r="D145" t="inlineStr">
        <is>
          <t>VÄSTRA GÖTALANDS LÄN</t>
        </is>
      </c>
      <c r="E145" t="inlineStr">
        <is>
          <t>UDDEVALLA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33293-2025</t>
        </is>
      </c>
      <c r="B146" s="1" t="n">
        <v>45840</v>
      </c>
      <c r="C146" s="1" t="n">
        <v>46204</v>
      </c>
      <c r="D146" t="inlineStr">
        <is>
          <t>VÄSTRA GÖTALANDS LÄN</t>
        </is>
      </c>
      <c r="E146" t="inlineStr">
        <is>
          <t>UDDEVALLA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60242-2024</t>
        </is>
      </c>
      <c r="B147" s="1" t="n">
        <v>45642</v>
      </c>
      <c r="C147" s="1" t="n">
        <v>46204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60241-2024</t>
        </is>
      </c>
      <c r="B148" s="1" t="n">
        <v>45642</v>
      </c>
      <c r="C148" s="1" t="n">
        <v>46204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44056-2025</t>
        </is>
      </c>
      <c r="B149" s="1" t="n">
        <v>45915</v>
      </c>
      <c r="C149" s="1" t="n">
        <v>46204</v>
      </c>
      <c r="D149" t="inlineStr">
        <is>
          <t>VÄSTRA GÖTALANDS LÄN</t>
        </is>
      </c>
      <c r="E149" t="inlineStr">
        <is>
          <t>UDDEVALLA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26847-2024</t>
        </is>
      </c>
      <c r="B150" s="1" t="n">
        <v>45470</v>
      </c>
      <c r="C150" s="1" t="n">
        <v>46204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62075-2024</t>
        </is>
      </c>
      <c r="B151" s="1" t="n">
        <v>45656</v>
      </c>
      <c r="C151" s="1" t="n">
        <v>46204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32846-2023</t>
        </is>
      </c>
      <c r="B152" s="1" t="n">
        <v>45112</v>
      </c>
      <c r="C152" s="1" t="n">
        <v>46204</v>
      </c>
      <c r="D152" t="inlineStr">
        <is>
          <t>VÄSTRA GÖTALANDS LÄN</t>
        </is>
      </c>
      <c r="E152" t="inlineStr">
        <is>
          <t>UDDEVALLA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52289-2025</t>
        </is>
      </c>
      <c r="B153" s="1" t="n">
        <v>45953</v>
      </c>
      <c r="C153" s="1" t="n">
        <v>46204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37431-2024</t>
        </is>
      </c>
      <c r="B154" s="1" t="n">
        <v>45540</v>
      </c>
      <c r="C154" s="1" t="n">
        <v>46204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12555-2026</t>
        </is>
      </c>
      <c r="B155" s="1" t="n">
        <v>46090</v>
      </c>
      <c r="C155" s="1" t="n">
        <v>46204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55542-2025</t>
        </is>
      </c>
      <c r="B156" s="1" t="n">
        <v>45971</v>
      </c>
      <c r="C156" s="1" t="n">
        <v>46204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59606-2025</t>
        </is>
      </c>
      <c r="B157" s="1" t="n">
        <v>45992</v>
      </c>
      <c r="C157" s="1" t="n">
        <v>46204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15334-2024</t>
        </is>
      </c>
      <c r="B158" s="1" t="n">
        <v>45400</v>
      </c>
      <c r="C158" s="1" t="n">
        <v>46204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37427-2024</t>
        </is>
      </c>
      <c r="B159" s="1" t="n">
        <v>45540</v>
      </c>
      <c r="C159" s="1" t="n">
        <v>46204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57762-2025</t>
        </is>
      </c>
      <c r="B160" s="1" t="n">
        <v>45981</v>
      </c>
      <c r="C160" s="1" t="n">
        <v>46204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57750-2025</t>
        </is>
      </c>
      <c r="B161" s="1" t="n">
        <v>45981</v>
      </c>
      <c r="C161" s="1" t="n">
        <v>46204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Kyrkan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12533-2026</t>
        </is>
      </c>
      <c r="B162" s="1" t="n">
        <v>46090</v>
      </c>
      <c r="C162" s="1" t="n">
        <v>46204</v>
      </c>
      <c r="D162" t="inlineStr">
        <is>
          <t>VÄSTRA GÖTALANDS LÄN</t>
        </is>
      </c>
      <c r="E162" t="inlineStr">
        <is>
          <t>UDDEVALLA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22923-2022</t>
        </is>
      </c>
      <c r="B163" s="1" t="n">
        <v>44715</v>
      </c>
      <c r="C163" s="1" t="n">
        <v>46204</v>
      </c>
      <c r="D163" t="inlineStr">
        <is>
          <t>VÄSTRA GÖTALANDS LÄN</t>
        </is>
      </c>
      <c r="E163" t="inlineStr">
        <is>
          <t>UDDEVALLA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49535-2025</t>
        </is>
      </c>
      <c r="B164" s="1" t="n">
        <v>45939</v>
      </c>
      <c r="C164" s="1" t="n">
        <v>46204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49721-2025</t>
        </is>
      </c>
      <c r="B165" s="1" t="n">
        <v>45939</v>
      </c>
      <c r="C165" s="1" t="n">
        <v>46204</v>
      </c>
      <c r="D165" t="inlineStr">
        <is>
          <t>VÄSTRA GÖTALANDS LÄN</t>
        </is>
      </c>
      <c r="E165" t="inlineStr">
        <is>
          <t>UDDEVALLA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50609-2025</t>
        </is>
      </c>
      <c r="B166" s="1" t="n">
        <v>45945</v>
      </c>
      <c r="C166" s="1" t="n">
        <v>46204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50617-2025</t>
        </is>
      </c>
      <c r="B167" s="1" t="n">
        <v>45945</v>
      </c>
      <c r="C167" s="1" t="n">
        <v>46204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50580-2025</t>
        </is>
      </c>
      <c r="B168" s="1" t="n">
        <v>45945</v>
      </c>
      <c r="C168" s="1" t="n">
        <v>46204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50586-2025</t>
        </is>
      </c>
      <c r="B169" s="1" t="n">
        <v>45945</v>
      </c>
      <c r="C169" s="1" t="n">
        <v>46204</v>
      </c>
      <c r="D169" t="inlineStr">
        <is>
          <t>VÄSTRA GÖTALANDS LÄN</t>
        </is>
      </c>
      <c r="E169" t="inlineStr">
        <is>
          <t>UDDEVALLA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50611-2025</t>
        </is>
      </c>
      <c r="B170" s="1" t="n">
        <v>45945</v>
      </c>
      <c r="C170" s="1" t="n">
        <v>46204</v>
      </c>
      <c r="D170" t="inlineStr">
        <is>
          <t>VÄSTRA GÖTALANDS LÄN</t>
        </is>
      </c>
      <c r="E170" t="inlineStr">
        <is>
          <t>UDDEVALLA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12169-2023</t>
        </is>
      </c>
      <c r="B171" s="1" t="n">
        <v>44998</v>
      </c>
      <c r="C171" s="1" t="n">
        <v>46204</v>
      </c>
      <c r="D171" t="inlineStr">
        <is>
          <t>VÄSTRA GÖTALANDS LÄN</t>
        </is>
      </c>
      <c r="E171" t="inlineStr">
        <is>
          <t>UDDEVALLA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45902-2024</t>
        </is>
      </c>
      <c r="B172" s="1" t="n">
        <v>45580</v>
      </c>
      <c r="C172" s="1" t="n">
        <v>46204</v>
      </c>
      <c r="D172" t="inlineStr">
        <is>
          <t>VÄSTRA GÖTALANDS LÄN</t>
        </is>
      </c>
      <c r="E172" t="inlineStr">
        <is>
          <t>UDDEVALLA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51747-2025</t>
        </is>
      </c>
      <c r="B173" s="1" t="n">
        <v>45950</v>
      </c>
      <c r="C173" s="1" t="n">
        <v>46204</v>
      </c>
      <c r="D173" t="inlineStr">
        <is>
          <t>VÄSTRA GÖTALANDS LÄN</t>
        </is>
      </c>
      <c r="E173" t="inlineStr">
        <is>
          <t>UDDEVALLA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49737-2025</t>
        </is>
      </c>
      <c r="B174" s="1" t="n">
        <v>45940</v>
      </c>
      <c r="C174" s="1" t="n">
        <v>46204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59513-2024</t>
        </is>
      </c>
      <c r="B175" s="1" t="n">
        <v>45638</v>
      </c>
      <c r="C175" s="1" t="n">
        <v>46204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19980-2025</t>
        </is>
      </c>
      <c r="B176" s="1" t="n">
        <v>45771</v>
      </c>
      <c r="C176" s="1" t="n">
        <v>46204</v>
      </c>
      <c r="D176" t="inlineStr">
        <is>
          <t>VÄSTRA GÖTALANDS LÄN</t>
        </is>
      </c>
      <c r="E176" t="inlineStr">
        <is>
          <t>UDDEVALLA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45149-2024</t>
        </is>
      </c>
      <c r="B177" s="1" t="n">
        <v>45575</v>
      </c>
      <c r="C177" s="1" t="n">
        <v>46204</v>
      </c>
      <c r="D177" t="inlineStr">
        <is>
          <t>VÄSTRA GÖTALANDS LÄN</t>
        </is>
      </c>
      <c r="E177" t="inlineStr">
        <is>
          <t>UDDEVALLA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40026-2024</t>
        </is>
      </c>
      <c r="B178" s="1" t="n">
        <v>45553</v>
      </c>
      <c r="C178" s="1" t="n">
        <v>46204</v>
      </c>
      <c r="D178" t="inlineStr">
        <is>
          <t>VÄSTRA GÖTALANDS LÄN</t>
        </is>
      </c>
      <c r="E178" t="inlineStr">
        <is>
          <t>UDDEVALLA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54491-2025</t>
        </is>
      </c>
      <c r="B179" s="1" t="n">
        <v>45965</v>
      </c>
      <c r="C179" s="1" t="n">
        <v>46204</v>
      </c>
      <c r="D179" t="inlineStr">
        <is>
          <t>VÄSTRA GÖTALANDS LÄN</t>
        </is>
      </c>
      <c r="E179" t="inlineStr">
        <is>
          <t>UDDEVALLA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59829-2023</t>
        </is>
      </c>
      <c r="B180" s="1" t="n">
        <v>45257</v>
      </c>
      <c r="C180" s="1" t="n">
        <v>46204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19981-2025</t>
        </is>
      </c>
      <c r="B181" s="1" t="n">
        <v>45771</v>
      </c>
      <c r="C181" s="1" t="n">
        <v>46204</v>
      </c>
      <c r="D181" t="inlineStr">
        <is>
          <t>VÄSTRA GÖTALANDS LÄN</t>
        </is>
      </c>
      <c r="E181" t="inlineStr">
        <is>
          <t>UDDEVALLA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55723-2025</t>
        </is>
      </c>
      <c r="B182" s="1" t="n">
        <v>45972</v>
      </c>
      <c r="C182" s="1" t="n">
        <v>46204</v>
      </c>
      <c r="D182" t="inlineStr">
        <is>
          <t>VÄSTRA GÖTALANDS LÄN</t>
        </is>
      </c>
      <c r="E182" t="inlineStr">
        <is>
          <t>UDDEVALLA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17964-2022</t>
        </is>
      </c>
      <c r="B183" s="1" t="n">
        <v>44683</v>
      </c>
      <c r="C183" s="1" t="n">
        <v>46204</v>
      </c>
      <c r="D183" t="inlineStr">
        <is>
          <t>VÄSTRA GÖTALANDS LÄN</t>
        </is>
      </c>
      <c r="E183" t="inlineStr">
        <is>
          <t>UDDEVALLA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55254-2023</t>
        </is>
      </c>
      <c r="B184" s="1" t="n">
        <v>45237</v>
      </c>
      <c r="C184" s="1" t="n">
        <v>46204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56585-2025</t>
        </is>
      </c>
      <c r="B185" s="1" t="n">
        <v>45975</v>
      </c>
      <c r="C185" s="1" t="n">
        <v>46204</v>
      </c>
      <c r="D185" t="inlineStr">
        <is>
          <t>VÄSTRA GÖTALANDS LÄN</t>
        </is>
      </c>
      <c r="E185" t="inlineStr">
        <is>
          <t>UDDEVALLA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1331-2025</t>
        </is>
      </c>
      <c r="B186" s="1" t="n">
        <v>45667</v>
      </c>
      <c r="C186" s="1" t="n">
        <v>46204</v>
      </c>
      <c r="D186" t="inlineStr">
        <is>
          <t>VÄSTRA GÖTALANDS LÄN</t>
        </is>
      </c>
      <c r="E186" t="inlineStr">
        <is>
          <t>UDDEVALLA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15674-2026</t>
        </is>
      </c>
      <c r="B187" s="1" t="n">
        <v>46106</v>
      </c>
      <c r="C187" s="1" t="n">
        <v>46204</v>
      </c>
      <c r="D187" t="inlineStr">
        <is>
          <t>VÄSTRA GÖTALANDS LÄN</t>
        </is>
      </c>
      <c r="E187" t="inlineStr">
        <is>
          <t>UDDEVALLA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58416-2025</t>
        </is>
      </c>
      <c r="B188" s="1" t="n">
        <v>45985</v>
      </c>
      <c r="C188" s="1" t="n">
        <v>46204</v>
      </c>
      <c r="D188" t="inlineStr">
        <is>
          <t>VÄSTRA GÖTALANDS LÄN</t>
        </is>
      </c>
      <c r="E188" t="inlineStr">
        <is>
          <t>UDDEVALLA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58563-2025</t>
        </is>
      </c>
      <c r="B189" s="1" t="n">
        <v>45986</v>
      </c>
      <c r="C189" s="1" t="n">
        <v>46204</v>
      </c>
      <c r="D189" t="inlineStr">
        <is>
          <t>VÄSTRA GÖTALANDS LÄN</t>
        </is>
      </c>
      <c r="E189" t="inlineStr">
        <is>
          <t>UDDEVALLA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39559-2023</t>
        </is>
      </c>
      <c r="B190" s="1" t="n">
        <v>45167</v>
      </c>
      <c r="C190" s="1" t="n">
        <v>46204</v>
      </c>
      <c r="D190" t="inlineStr">
        <is>
          <t>VÄSTRA GÖTALANDS LÄN</t>
        </is>
      </c>
      <c r="E190" t="inlineStr">
        <is>
          <t>UDDEVALLA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59801-2025</t>
        </is>
      </c>
      <c r="B191" s="1" t="n">
        <v>45992</v>
      </c>
      <c r="C191" s="1" t="n">
        <v>46204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20842-2024</t>
        </is>
      </c>
      <c r="B192" s="1" t="n">
        <v>45439</v>
      </c>
      <c r="C192" s="1" t="n">
        <v>46204</v>
      </c>
      <c r="D192" t="inlineStr">
        <is>
          <t>VÄSTRA GÖTALANDS LÄN</t>
        </is>
      </c>
      <c r="E192" t="inlineStr">
        <is>
          <t>UDDEVALLA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16819-2026</t>
        </is>
      </c>
      <c r="B193" s="1" t="n">
        <v>46113</v>
      </c>
      <c r="C193" s="1" t="n">
        <v>46204</v>
      </c>
      <c r="D193" t="inlineStr">
        <is>
          <t>VÄSTRA GÖTALANDS LÄN</t>
        </is>
      </c>
      <c r="E193" t="inlineStr">
        <is>
          <t>UDDEVALLA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16929-2026</t>
        </is>
      </c>
      <c r="B194" s="1" t="n">
        <v>46113</v>
      </c>
      <c r="C194" s="1" t="n">
        <v>46204</v>
      </c>
      <c r="D194" t="inlineStr">
        <is>
          <t>VÄSTRA GÖTALANDS LÄN</t>
        </is>
      </c>
      <c r="E194" t="inlineStr">
        <is>
          <t>UDDEVALLA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2047-2025</t>
        </is>
      </c>
      <c r="B195" s="1" t="n">
        <v>45672</v>
      </c>
      <c r="C195" s="1" t="n">
        <v>46204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659-2025</t>
        </is>
      </c>
      <c r="B196" s="1" t="n">
        <v>45664</v>
      </c>
      <c r="C196" s="1" t="n">
        <v>46204</v>
      </c>
      <c r="D196" t="inlineStr">
        <is>
          <t>VÄSTRA GÖTALANDS LÄN</t>
        </is>
      </c>
      <c r="E196" t="inlineStr">
        <is>
          <t>UDDEVALLA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30639-2024</t>
        </is>
      </c>
      <c r="B197" s="1" t="n">
        <v>45495</v>
      </c>
      <c r="C197" s="1" t="n">
        <v>46204</v>
      </c>
      <c r="D197" t="inlineStr">
        <is>
          <t>VÄSTRA GÖTALANDS LÄN</t>
        </is>
      </c>
      <c r="E197" t="inlineStr">
        <is>
          <t>UDDEVALLA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60989-2025</t>
        </is>
      </c>
      <c r="B198" s="1" t="n">
        <v>45999</v>
      </c>
      <c r="C198" s="1" t="n">
        <v>46204</v>
      </c>
      <c r="D198" t="inlineStr">
        <is>
          <t>VÄSTRA GÖTALANDS LÄN</t>
        </is>
      </c>
      <c r="E198" t="inlineStr">
        <is>
          <t>UDDEVALLA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60143-2025</t>
        </is>
      </c>
      <c r="B199" s="1" t="n">
        <v>45994</v>
      </c>
      <c r="C199" s="1" t="n">
        <v>46204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17244-2026</t>
        </is>
      </c>
      <c r="B200" s="1" t="n">
        <v>46119</v>
      </c>
      <c r="C200" s="1" t="n">
        <v>46204</v>
      </c>
      <c r="D200" t="inlineStr">
        <is>
          <t>VÄSTRA GÖTALANDS LÄN</t>
        </is>
      </c>
      <c r="E200" t="inlineStr">
        <is>
          <t>UDDEVALLA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17526-2026</t>
        </is>
      </c>
      <c r="B201" s="1" t="n">
        <v>46120</v>
      </c>
      <c r="C201" s="1" t="n">
        <v>46204</v>
      </c>
      <c r="D201" t="inlineStr">
        <is>
          <t>VÄSTRA GÖTALANDS LÄN</t>
        </is>
      </c>
      <c r="E201" t="inlineStr">
        <is>
          <t>UDDEVALLA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7771-2023</t>
        </is>
      </c>
      <c r="B202" s="1" t="n">
        <v>44973</v>
      </c>
      <c r="C202" s="1" t="n">
        <v>46204</v>
      </c>
      <c r="D202" t="inlineStr">
        <is>
          <t>VÄSTRA GÖTALANDS LÄN</t>
        </is>
      </c>
      <c r="E202" t="inlineStr">
        <is>
          <t>UDDEVALLA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18916-2025</t>
        </is>
      </c>
      <c r="B203" s="1" t="n">
        <v>45764</v>
      </c>
      <c r="C203" s="1" t="n">
        <v>46204</v>
      </c>
      <c r="D203" t="inlineStr">
        <is>
          <t>VÄSTRA GÖTALANDS LÄN</t>
        </is>
      </c>
      <c r="E203" t="inlineStr">
        <is>
          <t>UDDEVALLA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62365-2025</t>
        </is>
      </c>
      <c r="B204" s="1" t="n">
        <v>46007</v>
      </c>
      <c r="C204" s="1" t="n">
        <v>46204</v>
      </c>
      <c r="D204" t="inlineStr">
        <is>
          <t>VÄSTRA GÖTALANDS LÄN</t>
        </is>
      </c>
      <c r="E204" t="inlineStr">
        <is>
          <t>UDDEVALLA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2647-2024</t>
        </is>
      </c>
      <c r="B205" s="1" t="n">
        <v>45314</v>
      </c>
      <c r="C205" s="1" t="n">
        <v>46204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11788-2024</t>
        </is>
      </c>
      <c r="B206" s="1" t="n">
        <v>45374</v>
      </c>
      <c r="C206" s="1" t="n">
        <v>46204</v>
      </c>
      <c r="D206" t="inlineStr">
        <is>
          <t>VÄSTRA GÖTALANDS LÄN</t>
        </is>
      </c>
      <c r="E206" t="inlineStr">
        <is>
          <t>UDDEVALLA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240-2023</t>
        </is>
      </c>
      <c r="B207" s="1" t="n">
        <v>44928</v>
      </c>
      <c r="C207" s="1" t="n">
        <v>46204</v>
      </c>
      <c r="D207" t="inlineStr">
        <is>
          <t>VÄSTRA GÖTALANDS LÄN</t>
        </is>
      </c>
      <c r="E207" t="inlineStr">
        <is>
          <t>UDDEVALLA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24081-2024</t>
        </is>
      </c>
      <c r="B208" s="1" t="n">
        <v>45456</v>
      </c>
      <c r="C208" s="1" t="n">
        <v>46204</v>
      </c>
      <c r="D208" t="inlineStr">
        <is>
          <t>VÄSTRA GÖTALANDS LÄN</t>
        </is>
      </c>
      <c r="E208" t="inlineStr">
        <is>
          <t>UDDEVALLA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17729-2026</t>
        </is>
      </c>
      <c r="B209" s="1" t="n">
        <v>46121</v>
      </c>
      <c r="C209" s="1" t="n">
        <v>46204</v>
      </c>
      <c r="D209" t="inlineStr">
        <is>
          <t>VÄSTRA GÖTALANDS LÄN</t>
        </is>
      </c>
      <c r="E209" t="inlineStr">
        <is>
          <t>UDDEVALLA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23751-2026</t>
        </is>
      </c>
      <c r="B210" s="1" t="n">
        <v>46164</v>
      </c>
      <c r="C210" s="1" t="n">
        <v>46204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46204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15634-2023</t>
        </is>
      </c>
      <c r="B212" s="1" t="n">
        <v>45021</v>
      </c>
      <c r="C212" s="1" t="n">
        <v>46204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18123-2026</t>
        </is>
      </c>
      <c r="B213" s="1" t="n">
        <v>46125</v>
      </c>
      <c r="C213" s="1" t="n">
        <v>46204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209-2026</t>
        </is>
      </c>
      <c r="B214" s="1" t="n">
        <v>46026</v>
      </c>
      <c r="C214" s="1" t="n">
        <v>46204</v>
      </c>
      <c r="D214" t="inlineStr">
        <is>
          <t>VÄSTRA GÖTALANDS LÄN</t>
        </is>
      </c>
      <c r="E214" t="inlineStr">
        <is>
          <t>UDDEVALLA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385-2026</t>
        </is>
      </c>
      <c r="B215" s="1" t="n">
        <v>46027</v>
      </c>
      <c r="C215" s="1" t="n">
        <v>46204</v>
      </c>
      <c r="D215" t="inlineStr">
        <is>
          <t>VÄSTRA GÖTALANDS LÄN</t>
        </is>
      </c>
      <c r="E215" t="inlineStr">
        <is>
          <t>UDDEVALLA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1293-2024</t>
        </is>
      </c>
      <c r="B216" s="1" t="n">
        <v>45303</v>
      </c>
      <c r="C216" s="1" t="n">
        <v>46204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55731-2023</t>
        </is>
      </c>
      <c r="B217" s="1" t="n">
        <v>45239</v>
      </c>
      <c r="C217" s="1" t="n">
        <v>46204</v>
      </c>
      <c r="D217" t="inlineStr">
        <is>
          <t>VÄSTRA GÖTALANDS LÄN</t>
        </is>
      </c>
      <c r="E217" t="inlineStr">
        <is>
          <t>UDDEVALLA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2427-2026</t>
        </is>
      </c>
      <c r="B218" s="1" t="n">
        <v>46036</v>
      </c>
      <c r="C218" s="1" t="n">
        <v>46204</v>
      </c>
      <c r="D218" t="inlineStr">
        <is>
          <t>VÄSTRA GÖTALANDS LÄN</t>
        </is>
      </c>
      <c r="E218" t="inlineStr">
        <is>
          <t>UDDEVALLA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2424-2026</t>
        </is>
      </c>
      <c r="B219" s="1" t="n">
        <v>46036</v>
      </c>
      <c r="C219" s="1" t="n">
        <v>46204</v>
      </c>
      <c r="D219" t="inlineStr">
        <is>
          <t>VÄSTRA GÖTALANDS LÄN</t>
        </is>
      </c>
      <c r="E219" t="inlineStr">
        <is>
          <t>UDDEVALLA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2428-2026</t>
        </is>
      </c>
      <c r="B220" s="1" t="n">
        <v>46036</v>
      </c>
      <c r="C220" s="1" t="n">
        <v>46204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2426-2026</t>
        </is>
      </c>
      <c r="B221" s="1" t="n">
        <v>46036</v>
      </c>
      <c r="C221" s="1" t="n">
        <v>46204</v>
      </c>
      <c r="D221" t="inlineStr">
        <is>
          <t>VÄSTRA GÖTALANDS LÄN</t>
        </is>
      </c>
      <c r="E221" t="inlineStr">
        <is>
          <t>UDDEVALLA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18206-2026</t>
        </is>
      </c>
      <c r="B222" s="1" t="n">
        <v>46125</v>
      </c>
      <c r="C222" s="1" t="n">
        <v>46204</v>
      </c>
      <c r="D222" t="inlineStr">
        <is>
          <t>VÄSTRA GÖTALANDS LÄN</t>
        </is>
      </c>
      <c r="E222" t="inlineStr">
        <is>
          <t>UDDEVALLA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18207-2026</t>
        </is>
      </c>
      <c r="B223" s="1" t="n">
        <v>46125</v>
      </c>
      <c r="C223" s="1" t="n">
        <v>46204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2308-2026</t>
        </is>
      </c>
      <c r="B224" s="1" t="n">
        <v>46036</v>
      </c>
      <c r="C224" s="1" t="n">
        <v>46204</v>
      </c>
      <c r="D224" t="inlineStr">
        <is>
          <t>VÄSTRA GÖTALANDS LÄN</t>
        </is>
      </c>
      <c r="E224" t="inlineStr">
        <is>
          <t>UDDEVALLA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2327-2026</t>
        </is>
      </c>
      <c r="B225" s="1" t="n">
        <v>46036</v>
      </c>
      <c r="C225" s="1" t="n">
        <v>46204</v>
      </c>
      <c r="D225" t="inlineStr">
        <is>
          <t>VÄSTRA GÖTALANDS LÄN</t>
        </is>
      </c>
      <c r="E225" t="inlineStr">
        <is>
          <t>UDDEVALLA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2287-2026</t>
        </is>
      </c>
      <c r="B226" s="1" t="n">
        <v>46036</v>
      </c>
      <c r="C226" s="1" t="n">
        <v>46204</v>
      </c>
      <c r="D226" t="inlineStr">
        <is>
          <t>VÄSTRA GÖTALANDS LÄN</t>
        </is>
      </c>
      <c r="E226" t="inlineStr">
        <is>
          <t>UDDEVALLA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73437-2021</t>
        </is>
      </c>
      <c r="B227" s="1" t="n">
        <v>44551</v>
      </c>
      <c r="C227" s="1" t="n">
        <v>46204</v>
      </c>
      <c r="D227" t="inlineStr">
        <is>
          <t>VÄSTRA GÖTALANDS LÄN</t>
        </is>
      </c>
      <c r="E227" t="inlineStr">
        <is>
          <t>UDDEVALLA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1956-2023</t>
        </is>
      </c>
      <c r="B228" s="1" t="n">
        <v>44924</v>
      </c>
      <c r="C228" s="1" t="n">
        <v>46204</v>
      </c>
      <c r="D228" t="inlineStr">
        <is>
          <t>VÄSTRA GÖTALANDS LÄN</t>
        </is>
      </c>
      <c r="E228" t="inlineStr">
        <is>
          <t>UDDEVALLA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3774-2026</t>
        </is>
      </c>
      <c r="B229" s="1" t="n">
        <v>46043</v>
      </c>
      <c r="C229" s="1" t="n">
        <v>46204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4117-2026</t>
        </is>
      </c>
      <c r="B230" s="1" t="n">
        <v>46044</v>
      </c>
      <c r="C230" s="1" t="n">
        <v>46204</v>
      </c>
      <c r="D230" t="inlineStr">
        <is>
          <t>VÄSTRA GÖTALANDS LÄN</t>
        </is>
      </c>
      <c r="E230" t="inlineStr">
        <is>
          <t>UDDEVALLA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18767-2026</t>
        </is>
      </c>
      <c r="B231" s="1" t="n">
        <v>46128</v>
      </c>
      <c r="C231" s="1" t="n">
        <v>46204</v>
      </c>
      <c r="D231" t="inlineStr">
        <is>
          <t>VÄSTRA GÖTALANDS LÄN</t>
        </is>
      </c>
      <c r="E231" t="inlineStr">
        <is>
          <t>UDDEVALLA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34792-2023</t>
        </is>
      </c>
      <c r="B232" s="1" t="n">
        <v>45141</v>
      </c>
      <c r="C232" s="1" t="n">
        <v>46204</v>
      </c>
      <c r="D232" t="inlineStr">
        <is>
          <t>VÄSTRA GÖTALANDS LÄN</t>
        </is>
      </c>
      <c r="E232" t="inlineStr">
        <is>
          <t>UDDEVALLA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18536-2026</t>
        </is>
      </c>
      <c r="B233" s="1" t="n">
        <v>46127</v>
      </c>
      <c r="C233" s="1" t="n">
        <v>46204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18821-2026</t>
        </is>
      </c>
      <c r="B234" s="1" t="n">
        <v>46128</v>
      </c>
      <c r="C234" s="1" t="n">
        <v>46204</v>
      </c>
      <c r="D234" t="inlineStr">
        <is>
          <t>VÄSTRA GÖTALANDS LÄN</t>
        </is>
      </c>
      <c r="E234" t="inlineStr">
        <is>
          <t>UDDEVALLA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25060-2026</t>
        </is>
      </c>
      <c r="B235" s="1" t="n">
        <v>46174</v>
      </c>
      <c r="C235" s="1" t="n">
        <v>46204</v>
      </c>
      <c r="D235" t="inlineStr">
        <is>
          <t>VÄSTRA GÖTALANDS LÄN</t>
        </is>
      </c>
      <c r="E235" t="inlineStr">
        <is>
          <t>UDDEVALLA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33761-2023</t>
        </is>
      </c>
      <c r="B236" s="1" t="n">
        <v>45133</v>
      </c>
      <c r="C236" s="1" t="n">
        <v>46204</v>
      </c>
      <c r="D236" t="inlineStr">
        <is>
          <t>VÄSTRA GÖTALANDS LÄN</t>
        </is>
      </c>
      <c r="E236" t="inlineStr">
        <is>
          <t>UDDEVALLA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25061-2026</t>
        </is>
      </c>
      <c r="B237" s="1" t="n">
        <v>46174</v>
      </c>
      <c r="C237" s="1" t="n">
        <v>46204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17727-2026</t>
        </is>
      </c>
      <c r="B238" s="1" t="n">
        <v>46121</v>
      </c>
      <c r="C238" s="1" t="n">
        <v>46204</v>
      </c>
      <c r="D238" t="inlineStr">
        <is>
          <t>VÄSTRA GÖTALANDS LÄN</t>
        </is>
      </c>
      <c r="E238" t="inlineStr">
        <is>
          <t>UDDEVALLA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8893-2024</t>
        </is>
      </c>
      <c r="B239" s="1" t="n">
        <v>45355</v>
      </c>
      <c r="C239" s="1" t="n">
        <v>46204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25613-2026</t>
        </is>
      </c>
      <c r="B240" s="1" t="n">
        <v>46177</v>
      </c>
      <c r="C240" s="1" t="n">
        <v>46204</v>
      </c>
      <c r="D240" t="inlineStr">
        <is>
          <t>VÄSTRA GÖTALANDS LÄN</t>
        </is>
      </c>
      <c r="E240" t="inlineStr">
        <is>
          <t>UDDEVALLA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25607-2026</t>
        </is>
      </c>
      <c r="B241" s="1" t="n">
        <v>46177</v>
      </c>
      <c r="C241" s="1" t="n">
        <v>46204</v>
      </c>
      <c r="D241" t="inlineStr">
        <is>
          <t>VÄSTRA GÖTALANDS LÄN</t>
        </is>
      </c>
      <c r="E241" t="inlineStr">
        <is>
          <t>UDDEVALLA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2306-2022</t>
        </is>
      </c>
      <c r="B242" s="1" t="n">
        <v>44578</v>
      </c>
      <c r="C242" s="1" t="n">
        <v>46204</v>
      </c>
      <c r="D242" t="inlineStr">
        <is>
          <t>VÄSTRA GÖTALANDS LÄN</t>
        </is>
      </c>
      <c r="E242" t="inlineStr">
        <is>
          <t>UDDEVALLA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19550-2026</t>
        </is>
      </c>
      <c r="B243" s="1" t="n">
        <v>46134</v>
      </c>
      <c r="C243" s="1" t="n">
        <v>46204</v>
      </c>
      <c r="D243" t="inlineStr">
        <is>
          <t>VÄSTRA GÖTALANDS LÄN</t>
        </is>
      </c>
      <c r="E243" t="inlineStr">
        <is>
          <t>UDDEVALLA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25611-2026</t>
        </is>
      </c>
      <c r="B244" s="1" t="n">
        <v>46177</v>
      </c>
      <c r="C244" s="1" t="n">
        <v>46204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45059-2025</t>
        </is>
      </c>
      <c r="B245" s="1" t="n">
        <v>45919</v>
      </c>
      <c r="C245" s="1" t="n">
        <v>46204</v>
      </c>
      <c r="D245" t="inlineStr">
        <is>
          <t>VÄSTRA GÖTALANDS LÄN</t>
        </is>
      </c>
      <c r="E245" t="inlineStr">
        <is>
          <t>UDDEVALLA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25469-2024</t>
        </is>
      </c>
      <c r="B246" s="1" t="n">
        <v>45463</v>
      </c>
      <c r="C246" s="1" t="n">
        <v>46204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42658-2025</t>
        </is>
      </c>
      <c r="B247" s="1" t="n">
        <v>45907</v>
      </c>
      <c r="C247" s="1" t="n">
        <v>46204</v>
      </c>
      <c r="D247" t="inlineStr">
        <is>
          <t>VÄSTRA GÖTALANDS LÄN</t>
        </is>
      </c>
      <c r="E247" t="inlineStr">
        <is>
          <t>UDDEVALLA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21581-2023</t>
        </is>
      </c>
      <c r="B248" s="1" t="n">
        <v>45063</v>
      </c>
      <c r="C248" s="1" t="n">
        <v>46204</v>
      </c>
      <c r="D248" t="inlineStr">
        <is>
          <t>VÄSTRA GÖTALANDS LÄN</t>
        </is>
      </c>
      <c r="E248" t="inlineStr">
        <is>
          <t>UDDEVALLA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27524-2023</t>
        </is>
      </c>
      <c r="B249" s="1" t="n">
        <v>45097</v>
      </c>
      <c r="C249" s="1" t="n">
        <v>46204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64083-2023</t>
        </is>
      </c>
      <c r="B250" s="1" t="n">
        <v>45279</v>
      </c>
      <c r="C250" s="1" t="n">
        <v>46204</v>
      </c>
      <c r="D250" t="inlineStr">
        <is>
          <t>VÄSTRA GÖTALANDS LÄN</t>
        </is>
      </c>
      <c r="E250" t="inlineStr">
        <is>
          <t>UDDEVALLA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17378-2026</t>
        </is>
      </c>
      <c r="B251" s="1" t="n">
        <v>46119</v>
      </c>
      <c r="C251" s="1" t="n">
        <v>46204</v>
      </c>
      <c r="D251" t="inlineStr">
        <is>
          <t>VÄSTRA GÖTALANDS LÄN</t>
        </is>
      </c>
      <c r="E251" t="inlineStr">
        <is>
          <t>UDDEVALLA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62041-2024</t>
        </is>
      </c>
      <c r="B252" s="1" t="n">
        <v>45656</v>
      </c>
      <c r="C252" s="1" t="n">
        <v>46204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7726-2024</t>
        </is>
      </c>
      <c r="B253" s="1" t="n">
        <v>45349</v>
      </c>
      <c r="C253" s="1" t="n">
        <v>46204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41579-2025</t>
        </is>
      </c>
      <c r="B254" s="1" t="n">
        <v>45901</v>
      </c>
      <c r="C254" s="1" t="n">
        <v>46204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33205-2023</t>
        </is>
      </c>
      <c r="B255" s="1" t="n">
        <v>45127</v>
      </c>
      <c r="C255" s="1" t="n">
        <v>46204</v>
      </c>
      <c r="D255" t="inlineStr">
        <is>
          <t>VÄSTRA GÖTALANDS LÄN</t>
        </is>
      </c>
      <c r="E255" t="inlineStr">
        <is>
          <t>UDDEVALLA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39867-2023</t>
        </is>
      </c>
      <c r="B256" s="1" t="n">
        <v>45168</v>
      </c>
      <c r="C256" s="1" t="n">
        <v>46204</v>
      </c>
      <c r="D256" t="inlineStr">
        <is>
          <t>VÄSTRA GÖTALANDS LÄN</t>
        </is>
      </c>
      <c r="E256" t="inlineStr">
        <is>
          <t>UDDEVALLA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27529-2023</t>
        </is>
      </c>
      <c r="B257" s="1" t="n">
        <v>45097</v>
      </c>
      <c r="C257" s="1" t="n">
        <v>46204</v>
      </c>
      <c r="D257" t="inlineStr">
        <is>
          <t>VÄSTRA GÖTALANDS LÄN</t>
        </is>
      </c>
      <c r="E257" t="inlineStr">
        <is>
          <t>UDDEVALLA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39395-2025</t>
        </is>
      </c>
      <c r="B258" s="1" t="n">
        <v>45889</v>
      </c>
      <c r="C258" s="1" t="n">
        <v>46204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1147-2024</t>
        </is>
      </c>
      <c r="B259" s="1" t="n">
        <v>45302</v>
      </c>
      <c r="C259" s="1" t="n">
        <v>46204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4505-2023</t>
        </is>
      </c>
      <c r="B260" s="1" t="n">
        <v>44956</v>
      </c>
      <c r="C260" s="1" t="n">
        <v>46204</v>
      </c>
      <c r="D260" t="inlineStr">
        <is>
          <t>VÄSTRA GÖTALANDS LÄN</t>
        </is>
      </c>
      <c r="E260" t="inlineStr">
        <is>
          <t>UDDEVALLA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46899-2024</t>
        </is>
      </c>
      <c r="B261" s="1" t="n">
        <v>45583</v>
      </c>
      <c r="C261" s="1" t="n">
        <v>46204</v>
      </c>
      <c r="D261" t="inlineStr">
        <is>
          <t>VÄSTRA GÖTALANDS LÄN</t>
        </is>
      </c>
      <c r="E261" t="inlineStr">
        <is>
          <t>UDDEVALLA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25792-2026</t>
        </is>
      </c>
      <c r="B262" s="1" t="n">
        <v>46178</v>
      </c>
      <c r="C262" s="1" t="n">
        <v>46204</v>
      </c>
      <c r="D262" t="inlineStr">
        <is>
          <t>VÄSTRA GÖTALANDS LÄN</t>
        </is>
      </c>
      <c r="E262" t="inlineStr">
        <is>
          <t>UDDEVALLA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25993-2026</t>
        </is>
      </c>
      <c r="B263" s="1" t="n">
        <v>46181</v>
      </c>
      <c r="C263" s="1" t="n">
        <v>46204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23210-2023</t>
        </is>
      </c>
      <c r="B264" s="1" t="n">
        <v>45071</v>
      </c>
      <c r="C264" s="1" t="n">
        <v>46204</v>
      </c>
      <c r="D264" t="inlineStr">
        <is>
          <t>VÄSTRA GÖTALANDS LÄN</t>
        </is>
      </c>
      <c r="E264" t="inlineStr">
        <is>
          <t>UDDEVALLA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33092-2024</t>
        </is>
      </c>
      <c r="B265" s="1" t="n">
        <v>45517</v>
      </c>
      <c r="C265" s="1" t="n">
        <v>46204</v>
      </c>
      <c r="D265" t="inlineStr">
        <is>
          <t>VÄSTRA GÖTALANDS LÄN</t>
        </is>
      </c>
      <c r="E265" t="inlineStr">
        <is>
          <t>UDDEVALLA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25813-2022</t>
        </is>
      </c>
      <c r="B266" s="1" t="n">
        <v>44733</v>
      </c>
      <c r="C266" s="1" t="n">
        <v>46204</v>
      </c>
      <c r="D266" t="inlineStr">
        <is>
          <t>VÄSTRA GÖTALANDS LÄN</t>
        </is>
      </c>
      <c r="E266" t="inlineStr">
        <is>
          <t>UDDEVALLA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20401-2026</t>
        </is>
      </c>
      <c r="B267" s="1" t="n">
        <v>46139</v>
      </c>
      <c r="C267" s="1" t="n">
        <v>46204</v>
      </c>
      <c r="D267" t="inlineStr">
        <is>
          <t>VÄSTRA GÖTALANDS LÄN</t>
        </is>
      </c>
      <c r="E267" t="inlineStr">
        <is>
          <t>UDDEVALLA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52905-2023</t>
        </is>
      </c>
      <c r="B268" s="1" t="n">
        <v>45226</v>
      </c>
      <c r="C268" s="1" t="n">
        <v>46204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20790-2026</t>
        </is>
      </c>
      <c r="B269" s="1" t="n">
        <v>46141</v>
      </c>
      <c r="C269" s="1" t="n">
        <v>46204</v>
      </c>
      <c r="D269" t="inlineStr">
        <is>
          <t>VÄSTRA GÖTALANDS LÄN</t>
        </is>
      </c>
      <c r="E269" t="inlineStr">
        <is>
          <t>UDDEVALLA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63878-2021</t>
        </is>
      </c>
      <c r="B270" s="1" t="n">
        <v>44509</v>
      </c>
      <c r="C270" s="1" t="n">
        <v>46204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73007-2021</t>
        </is>
      </c>
      <c r="B271" s="1" t="n">
        <v>44550</v>
      </c>
      <c r="C271" s="1" t="n">
        <v>46204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6875-2022</t>
        </is>
      </c>
      <c r="B272" s="1" t="n">
        <v>44602</v>
      </c>
      <c r="C272" s="1" t="n">
        <v>46204</v>
      </c>
      <c r="D272" t="inlineStr">
        <is>
          <t>VÄSTRA GÖTALANDS LÄN</t>
        </is>
      </c>
      <c r="E272" t="inlineStr">
        <is>
          <t>UDDEVALLA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21390-2026</t>
        </is>
      </c>
      <c r="B273" s="1" t="n">
        <v>46147</v>
      </c>
      <c r="C273" s="1" t="n">
        <v>46204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17240-2023</t>
        </is>
      </c>
      <c r="B274" s="1" t="n">
        <v>45035</v>
      </c>
      <c r="C274" s="1" t="n">
        <v>46204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17242-2023</t>
        </is>
      </c>
      <c r="B275" s="1" t="n">
        <v>45035</v>
      </c>
      <c r="C275" s="1" t="n">
        <v>46204</v>
      </c>
      <c r="D275" t="inlineStr">
        <is>
          <t>VÄSTRA GÖTALANDS LÄN</t>
        </is>
      </c>
      <c r="E275" t="inlineStr">
        <is>
          <t>UDDEVALLA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10286-2024</t>
        </is>
      </c>
      <c r="B276" s="1" t="n">
        <v>45365</v>
      </c>
      <c r="C276" s="1" t="n">
        <v>46204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59139-2023</t>
        </is>
      </c>
      <c r="B277" s="1" t="n">
        <v>45251</v>
      </c>
      <c r="C277" s="1" t="n">
        <v>46204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21491-2026</t>
        </is>
      </c>
      <c r="B278" s="1" t="n">
        <v>46148</v>
      </c>
      <c r="C278" s="1" t="n">
        <v>46204</v>
      </c>
      <c r="D278" t="inlineStr">
        <is>
          <t>VÄSTRA GÖTALANDS LÄN</t>
        </is>
      </c>
      <c r="E278" t="inlineStr">
        <is>
          <t>UDDEVALLA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50023-2023</t>
        </is>
      </c>
      <c r="B279" s="1" t="n">
        <v>45215</v>
      </c>
      <c r="C279" s="1" t="n">
        <v>46204</v>
      </c>
      <c r="D279" t="inlineStr">
        <is>
          <t>VÄSTRA GÖTALANDS LÄN</t>
        </is>
      </c>
      <c r="E279" t="inlineStr">
        <is>
          <t>UDDEVALLA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17058-2025</t>
        </is>
      </c>
      <c r="B280" s="1" t="n">
        <v>45754</v>
      </c>
      <c r="C280" s="1" t="n">
        <v>46204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58625-2024</t>
        </is>
      </c>
      <c r="B281" s="1" t="n">
        <v>45635</v>
      </c>
      <c r="C281" s="1" t="n">
        <v>46204</v>
      </c>
      <c r="D281" t="inlineStr">
        <is>
          <t>VÄSTRA GÖTALANDS LÄN</t>
        </is>
      </c>
      <c r="E281" t="inlineStr">
        <is>
          <t>UDDEVALLA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17824-2025</t>
        </is>
      </c>
      <c r="B282" s="1" t="n">
        <v>45758</v>
      </c>
      <c r="C282" s="1" t="n">
        <v>46204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22461-2026</t>
        </is>
      </c>
      <c r="B283" s="1" t="n">
        <v>46153</v>
      </c>
      <c r="C283" s="1" t="n">
        <v>46204</v>
      </c>
      <c r="D283" t="inlineStr">
        <is>
          <t>VÄSTRA GÖTALANDS LÄN</t>
        </is>
      </c>
      <c r="E283" t="inlineStr">
        <is>
          <t>UDDEVALLA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39088-2022</t>
        </is>
      </c>
      <c r="B284" s="1" t="n">
        <v>44817</v>
      </c>
      <c r="C284" s="1" t="n">
        <v>46204</v>
      </c>
      <c r="D284" t="inlineStr">
        <is>
          <t>VÄSTRA GÖTALANDS LÄN</t>
        </is>
      </c>
      <c r="E284" t="inlineStr">
        <is>
          <t>UDDEVALLA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39621-2023</t>
        </is>
      </c>
      <c r="B285" s="1" t="n">
        <v>45167</v>
      </c>
      <c r="C285" s="1" t="n">
        <v>46204</v>
      </c>
      <c r="D285" t="inlineStr">
        <is>
          <t>VÄSTRA GÖTALANDS LÄN</t>
        </is>
      </c>
      <c r="E285" t="inlineStr">
        <is>
          <t>UDDEVALLA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59144-2023</t>
        </is>
      </c>
      <c r="B286" s="1" t="n">
        <v>45251</v>
      </c>
      <c r="C286" s="1" t="n">
        <v>46204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14604-2022</t>
        </is>
      </c>
      <c r="B287" s="1" t="n">
        <v>44655</v>
      </c>
      <c r="C287" s="1" t="n">
        <v>46204</v>
      </c>
      <c r="D287" t="inlineStr">
        <is>
          <t>VÄSTRA GÖTALANDS LÄN</t>
        </is>
      </c>
      <c r="E287" t="inlineStr">
        <is>
          <t>UDDEVALLA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55416-2023</t>
        </is>
      </c>
      <c r="B288" s="1" t="n">
        <v>45238</v>
      </c>
      <c r="C288" s="1" t="n">
        <v>46204</v>
      </c>
      <c r="D288" t="inlineStr">
        <is>
          <t>VÄSTRA GÖTALANDS LÄN</t>
        </is>
      </c>
      <c r="E288" t="inlineStr">
        <is>
          <t>UDDEVALLA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19982-2025</t>
        </is>
      </c>
      <c r="B289" s="1" t="n">
        <v>45771</v>
      </c>
      <c r="C289" s="1" t="n">
        <v>46204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23395-2023</t>
        </is>
      </c>
      <c r="B290" s="1" t="n">
        <v>45076</v>
      </c>
      <c r="C290" s="1" t="n">
        <v>46204</v>
      </c>
      <c r="D290" t="inlineStr">
        <is>
          <t>VÄSTRA GÖTALANDS LÄN</t>
        </is>
      </c>
      <c r="E290" t="inlineStr">
        <is>
          <t>UDDEVALLA</t>
        </is>
      </c>
      <c r="G290" t="n">
        <v>12.2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9797-2023</t>
        </is>
      </c>
      <c r="B291" s="1" t="n">
        <v>44984</v>
      </c>
      <c r="C291" s="1" t="n">
        <v>46204</v>
      </c>
      <c r="D291" t="inlineStr">
        <is>
          <t>VÄSTRA GÖTALANDS LÄN</t>
        </is>
      </c>
      <c r="E291" t="inlineStr">
        <is>
          <t>UDDEVALLA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17139-2023</t>
        </is>
      </c>
      <c r="B292" s="1" t="n">
        <v>45034</v>
      </c>
      <c r="C292" s="1" t="n">
        <v>46204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26940-2023</t>
        </is>
      </c>
      <c r="B293" s="1" t="n">
        <v>45093</v>
      </c>
      <c r="C293" s="1" t="n">
        <v>46204</v>
      </c>
      <c r="D293" t="inlineStr">
        <is>
          <t>VÄSTRA GÖTALANDS LÄN</t>
        </is>
      </c>
      <c r="E293" t="inlineStr">
        <is>
          <t>UDDEVALLA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27869-2024</t>
        </is>
      </c>
      <c r="B294" s="1" t="n">
        <v>45475</v>
      </c>
      <c r="C294" s="1" t="n">
        <v>46204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69198-2021</t>
        </is>
      </c>
      <c r="B295" s="1" t="n">
        <v>44531</v>
      </c>
      <c r="C295" s="1" t="n">
        <v>46204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40121-2024</t>
        </is>
      </c>
      <c r="B296" s="1" t="n">
        <v>45554</v>
      </c>
      <c r="C296" s="1" t="n">
        <v>46204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16205-2023</t>
        </is>
      </c>
      <c r="B297" s="1" t="n">
        <v>45028</v>
      </c>
      <c r="C297" s="1" t="n">
        <v>46204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2099-2024</t>
        </is>
      </c>
      <c r="B298" s="1" t="n">
        <v>45309</v>
      </c>
      <c r="C298" s="1" t="n">
        <v>46204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59674-2023</t>
        </is>
      </c>
      <c r="B299" s="1" t="n">
        <v>45255</v>
      </c>
      <c r="C299" s="1" t="n">
        <v>46204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32531-2023</t>
        </is>
      </c>
      <c r="B300" s="1" t="n">
        <v>45121</v>
      </c>
      <c r="C300" s="1" t="n">
        <v>46204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10585-2024</t>
        </is>
      </c>
      <c r="B301" s="1" t="n">
        <v>45366</v>
      </c>
      <c r="C301" s="1" t="n">
        <v>46204</v>
      </c>
      <c r="D301" t="inlineStr">
        <is>
          <t>VÄSTRA GÖTALANDS LÄN</t>
        </is>
      </c>
      <c r="E301" t="inlineStr">
        <is>
          <t>UDDEVALLA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48132-2023</t>
        </is>
      </c>
      <c r="B302" s="1" t="n">
        <v>45205</v>
      </c>
      <c r="C302" s="1" t="n">
        <v>46204</v>
      </c>
      <c r="D302" t="inlineStr">
        <is>
          <t>VÄSTRA GÖTALANDS LÄN</t>
        </is>
      </c>
      <c r="E302" t="inlineStr">
        <is>
          <t>UDDEVALLA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18806-2024</t>
        </is>
      </c>
      <c r="B303" s="1" t="n">
        <v>45426</v>
      </c>
      <c r="C303" s="1" t="n">
        <v>46204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29526-2024</t>
        </is>
      </c>
      <c r="B304" s="1" t="n">
        <v>45484</v>
      </c>
      <c r="C304" s="1" t="n">
        <v>46204</v>
      </c>
      <c r="D304" t="inlineStr">
        <is>
          <t>VÄSTRA GÖTALANDS LÄN</t>
        </is>
      </c>
      <c r="E304" t="inlineStr">
        <is>
          <t>UDDEVALLA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7770-2023</t>
        </is>
      </c>
      <c r="B305" s="1" t="n">
        <v>44973</v>
      </c>
      <c r="C305" s="1" t="n">
        <v>46204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6887-2023</t>
        </is>
      </c>
      <c r="B306" s="1" t="n">
        <v>44967</v>
      </c>
      <c r="C306" s="1" t="n">
        <v>46204</v>
      </c>
      <c r="D306" t="inlineStr">
        <is>
          <t>VÄSTRA GÖTALANDS LÄN</t>
        </is>
      </c>
      <c r="E306" t="inlineStr">
        <is>
          <t>UDDEVALLA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34555-2022</t>
        </is>
      </c>
      <c r="B307" s="1" t="n">
        <v>44794</v>
      </c>
      <c r="C307" s="1" t="n">
        <v>46204</v>
      </c>
      <c r="D307" t="inlineStr">
        <is>
          <t>VÄSTRA GÖTALANDS LÄN</t>
        </is>
      </c>
      <c r="E307" t="inlineStr">
        <is>
          <t>UDDEVALLA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44325-2023</t>
        </is>
      </c>
      <c r="B308" s="1" t="n">
        <v>45188</v>
      </c>
      <c r="C308" s="1" t="n">
        <v>46204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46480-2023</t>
        </is>
      </c>
      <c r="B309" s="1" t="n">
        <v>45197</v>
      </c>
      <c r="C309" s="1" t="n">
        <v>46204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3077-2022</t>
        </is>
      </c>
      <c r="B310" s="1" t="n">
        <v>44582</v>
      </c>
      <c r="C310" s="1" t="n">
        <v>46204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43170-2021</t>
        </is>
      </c>
      <c r="B311" s="1" t="n">
        <v>44431</v>
      </c>
      <c r="C311" s="1" t="n">
        <v>46204</v>
      </c>
      <c r="D311" t="inlineStr">
        <is>
          <t>VÄSTRA GÖTALANDS LÄN</t>
        </is>
      </c>
      <c r="E311" t="inlineStr">
        <is>
          <t>UDDEVALLA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29642-2024</t>
        </is>
      </c>
      <c r="B312" s="1" t="n">
        <v>45484</v>
      </c>
      <c r="C312" s="1" t="n">
        <v>46204</v>
      </c>
      <c r="D312" t="inlineStr">
        <is>
          <t>VÄSTRA GÖTALANDS LÄN</t>
        </is>
      </c>
      <c r="E312" t="inlineStr">
        <is>
          <t>UDDEVALLA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13527-2024</t>
        </is>
      </c>
      <c r="B313" s="1" t="n">
        <v>45387</v>
      </c>
      <c r="C313" s="1" t="n">
        <v>46204</v>
      </c>
      <c r="D313" t="inlineStr">
        <is>
          <t>VÄSTRA GÖTALANDS LÄN</t>
        </is>
      </c>
      <c r="E313" t="inlineStr">
        <is>
          <t>UDDEVALLA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23462-2024</t>
        </is>
      </c>
      <c r="B314" s="1" t="n">
        <v>45453</v>
      </c>
      <c r="C314" s="1" t="n">
        <v>46204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19847-2025</t>
        </is>
      </c>
      <c r="B315" s="1" t="n">
        <v>45771</v>
      </c>
      <c r="C315" s="1" t="n">
        <v>46204</v>
      </c>
      <c r="D315" t="inlineStr">
        <is>
          <t>VÄSTRA GÖTALANDS LÄN</t>
        </is>
      </c>
      <c r="E315" t="inlineStr">
        <is>
          <t>UDDEVALLA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40027-2024</t>
        </is>
      </c>
      <c r="B316" s="1" t="n">
        <v>45553</v>
      </c>
      <c r="C316" s="1" t="n">
        <v>46204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5433-2023</t>
        </is>
      </c>
      <c r="B317" s="1" t="n">
        <v>44959</v>
      </c>
      <c r="C317" s="1" t="n">
        <v>46204</v>
      </c>
      <c r="D317" t="inlineStr">
        <is>
          <t>VÄSTRA GÖTALANDS LÄN</t>
        </is>
      </c>
      <c r="E317" t="inlineStr">
        <is>
          <t>UDDEVALLA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40571-2022</t>
        </is>
      </c>
      <c r="B318" s="1" t="n">
        <v>44823</v>
      </c>
      <c r="C318" s="1" t="n">
        <v>46204</v>
      </c>
      <c r="D318" t="inlineStr">
        <is>
          <t>VÄSTRA GÖTALANDS LÄN</t>
        </is>
      </c>
      <c r="E318" t="inlineStr">
        <is>
          <t>UDDEVALLA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60819-2024</t>
        </is>
      </c>
      <c r="B319" s="1" t="n">
        <v>45644</v>
      </c>
      <c r="C319" s="1" t="n">
        <v>46204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21102-2025</t>
        </is>
      </c>
      <c r="B320" s="1" t="n">
        <v>45777</v>
      </c>
      <c r="C320" s="1" t="n">
        <v>46204</v>
      </c>
      <c r="D320" t="inlineStr">
        <is>
          <t>VÄSTRA GÖTALANDS LÄN</t>
        </is>
      </c>
      <c r="E320" t="inlineStr">
        <is>
          <t>UDDEVALLA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6650-2025</t>
        </is>
      </c>
      <c r="B321" s="1" t="n">
        <v>45700</v>
      </c>
      <c r="C321" s="1" t="n">
        <v>46204</v>
      </c>
      <c r="D321" t="inlineStr">
        <is>
          <t>VÄSTRA GÖTALANDS LÄN</t>
        </is>
      </c>
      <c r="E321" t="inlineStr">
        <is>
          <t>UDDEVALLA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14021-2025</t>
        </is>
      </c>
      <c r="B322" s="1" t="n">
        <v>45740</v>
      </c>
      <c r="C322" s="1" t="n">
        <v>46204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14066-2025</t>
        </is>
      </c>
      <c r="B323" s="1" t="n">
        <v>45740</v>
      </c>
      <c r="C323" s="1" t="n">
        <v>46204</v>
      </c>
      <c r="D323" t="inlineStr">
        <is>
          <t>VÄSTRA GÖTALANDS LÄN</t>
        </is>
      </c>
      <c r="E323" t="inlineStr">
        <is>
          <t>UDDEVALLA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36562-2024</t>
        </is>
      </c>
      <c r="B324" s="1" t="n">
        <v>45537</v>
      </c>
      <c r="C324" s="1" t="n">
        <v>46204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10684-2022</t>
        </is>
      </c>
      <c r="B325" s="1" t="n">
        <v>44624</v>
      </c>
      <c r="C325" s="1" t="n">
        <v>46204</v>
      </c>
      <c r="D325" t="inlineStr">
        <is>
          <t>VÄSTRA GÖTALANDS LÄN</t>
        </is>
      </c>
      <c r="E325" t="inlineStr">
        <is>
          <t>UDDEVALLA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10900-2025</t>
        </is>
      </c>
      <c r="B326" s="1" t="n">
        <v>45722</v>
      </c>
      <c r="C326" s="1" t="n">
        <v>46204</v>
      </c>
      <c r="D326" t="inlineStr">
        <is>
          <t>VÄSTRA GÖTALANDS LÄN</t>
        </is>
      </c>
      <c r="E326" t="inlineStr">
        <is>
          <t>UDDEVALLA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39355-2024</t>
        </is>
      </c>
      <c r="B327" s="1" t="n">
        <v>45551</v>
      </c>
      <c r="C327" s="1" t="n">
        <v>46204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23895-2024</t>
        </is>
      </c>
      <c r="B328" s="1" t="n">
        <v>45455</v>
      </c>
      <c r="C328" s="1" t="n">
        <v>46204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11076-2025</t>
        </is>
      </c>
      <c r="B329" s="1" t="n">
        <v>45723</v>
      </c>
      <c r="C329" s="1" t="n">
        <v>46204</v>
      </c>
      <c r="D329" t="inlineStr">
        <is>
          <t>VÄSTRA GÖTALANDS LÄN</t>
        </is>
      </c>
      <c r="E329" t="inlineStr">
        <is>
          <t>UDDEVALLA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29928-2025</t>
        </is>
      </c>
      <c r="B330" s="1" t="n">
        <v>45826</v>
      </c>
      <c r="C330" s="1" t="n">
        <v>46204</v>
      </c>
      <c r="D330" t="inlineStr">
        <is>
          <t>VÄSTRA GÖTALANDS LÄN</t>
        </is>
      </c>
      <c r="E330" t="inlineStr">
        <is>
          <t>UDDEVALLA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2026-07-01T01:00:54Z</dcterms:created>
  <dcterms:modified xmlns:dcterms="http://purl.org/dc/terms/" xmlns:xsi="http://www.w3.org/2001/XMLSchema-instance" xsi:type="dcterms:W3CDTF">2026-07-01T01:00:55Z</dcterms:modified>
</cp:coreProperties>
</file>