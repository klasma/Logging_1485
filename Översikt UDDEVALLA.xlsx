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46254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46254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46254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46254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46254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46254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46254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46254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46254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46254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24986-2026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46174</v>
      </c>
      <c r="E12" s="1" t="n">
        <v>46254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2.4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Kråka
Gullviva
Revlummer</t>
        </is>
      </c>
      <c r="W12">
        <f>HYPERLINK("https://klasma.github.io/Logging_1485/artfynd/A 24986-2026 artfynd.xlsx", "A 24986-2026")</f>
        <v/>
      </c>
      <c r="X12">
        <f>HYPERLINK("https://klasma.github.io/Logging_1485/kartor/A 24986-2026 karta.png", "A 24986-2026")</f>
        <v/>
      </c>
      <c r="Y12">
        <f>HYPERLINK("https://klasma.github.io/Logging_1485/kartor_geotiff/A 24986-2026 georefererad karta.tif", "A 24986-2026")</f>
        <v/>
      </c>
      <c r="AA12">
        <f>HYPERLINK("https://klasma.github.io/Logging_1485/klagomål/A 24986-2026 FSC-klagomål.docx", "A 24986-2026")</f>
        <v/>
      </c>
      <c r="AB12">
        <f>HYPERLINK("https://klasma.github.io/Logging_1485/klagomålsmail/A 24986-2026 FSC-klagomål mail.docx", "A 24986-2026")</f>
        <v/>
      </c>
      <c r="AC12">
        <f>HYPERLINK("https://klasma.github.io/Logging_1485/tillsyn/A 24986-2026 tillsynsbegäran.docx", "A 24986-2026")</f>
        <v/>
      </c>
      <c r="AD12">
        <f>HYPERLINK("https://klasma.github.io/Logging_1485/tillsynsmail/A 24986-2026 tillsynsbegäran mail.docx", "A 24986-2026")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46254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46254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46254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46254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46254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3432-2024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46254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3.1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Klippfrullania
Västlig hakmossa</t>
        </is>
      </c>
      <c r="W18">
        <f>HYPERLINK("https://klasma.github.io/Logging_1485/artfynd/A 3432-2024 artfynd.xlsx", "A 3432-2024")</f>
        <v/>
      </c>
      <c r="X18">
        <f>HYPERLINK("https://klasma.github.io/Logging_1485/kartor/A 3432-2024 karta.png", "A 3432-2024")</f>
        <v/>
      </c>
      <c r="Y18">
        <f>HYPERLINK("https://klasma.github.io/Logging_1485/kartor_geotiff/A 3432-2024 georefererad karta.tif", "A 3432-2024")</f>
        <v/>
      </c>
      <c r="AA18">
        <f>HYPERLINK("https://klasma.github.io/Logging_1485/klagomål/A 3432-2024 FSC-klagomål.docx", "A 3432-2024")</f>
        <v/>
      </c>
      <c r="AB18">
        <f>HYPERLINK("https://klasma.github.io/Logging_1485/klagomålsmail/A 3432-2024 FSC-klagomål mail.docx", "A 3432-2024")</f>
        <v/>
      </c>
      <c r="AC18">
        <f>HYPERLINK("https://klasma.github.io/Logging_1485/tillsyn/A 3432-2024 tillsynsbegäran.docx", "A 3432-2024")</f>
        <v/>
      </c>
      <c r="AD18">
        <f>HYPERLINK("https://klasma.github.io/Logging_1485/tillsynsmail/A 3432-2024 tillsynsbegäran mail.docx", "A 3432-2024")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46254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46254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46254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46254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32808-2026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46241</v>
      </c>
      <c r="E23" s="1" t="n">
        <v>46254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5.9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Revlummer</t>
        </is>
      </c>
      <c r="W23">
        <f>HYPERLINK("https://klasma.github.io/Logging_1485/artfynd/A 32808-2026 artfynd.xlsx", "A 32808-2026")</f>
        <v/>
      </c>
      <c r="X23">
        <f>HYPERLINK("https://klasma.github.io/Logging_1485/kartor/A 32808-2026 karta.png", "A 32808-2026")</f>
        <v/>
      </c>
      <c r="Y23">
        <f>HYPERLINK("https://klasma.github.io/Logging_1485/kartor_geotiff/A 32808-2026 georefererad karta.tif", "A 32808-2026")</f>
        <v/>
      </c>
      <c r="AA23">
        <f>HYPERLINK("https://klasma.github.io/Logging_1485/klagomål/A 32808-2026 FSC-klagomål.docx", "A 32808-2026")</f>
        <v/>
      </c>
      <c r="AB23">
        <f>HYPERLINK("https://klasma.github.io/Logging_1485/klagomålsmail/A 32808-2026 FSC-klagomål mail.docx", "A 32808-2026")</f>
        <v/>
      </c>
      <c r="AC23">
        <f>HYPERLINK("https://klasma.github.io/Logging_1485/tillsyn/A 32808-2026 tillsynsbegäran.docx", "A 32808-2026")</f>
        <v/>
      </c>
      <c r="AD23">
        <f>HYPERLINK("https://klasma.github.io/Logging_1485/tillsynsmail/A 32808-2026 tillsynsbegäran mail.docx", "A 32808-2026")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46254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46254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46254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16882-2026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46113</v>
      </c>
      <c r="E27" s="1" t="n">
        <v>46254</v>
      </c>
      <c r="F27" t="inlineStr">
        <is>
          <t>VÄSTRA GÖTALANDS LÄN</t>
        </is>
      </c>
      <c r="G27" t="inlineStr">
        <is>
          <t>UDDEVALLA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Iller
Svinrot</t>
        </is>
      </c>
      <c r="W27">
        <f>HYPERLINK("https://klasma.github.io/Logging_1485/artfynd/A 16882-2026 artfynd.xlsx", "A 16882-2026")</f>
        <v/>
      </c>
      <c r="X27">
        <f>HYPERLINK("https://klasma.github.io/Logging_1485/kartor/A 16882-2026 karta.png", "A 16882-2026")</f>
        <v/>
      </c>
      <c r="Y27">
        <f>HYPERLINK("https://klasma.github.io/Logging_1485/kartor_geotiff/A 16882-2026 georefererad karta.tif", "A 16882-2026")</f>
        <v/>
      </c>
      <c r="AA27">
        <f>HYPERLINK("https://klasma.github.io/Logging_1485/klagomål/A 16882-2026 FSC-klagomål.docx", "A 16882-2026")</f>
        <v/>
      </c>
      <c r="AB27">
        <f>HYPERLINK("https://klasma.github.io/Logging_1485/klagomålsmail/A 16882-2026 FSC-klagomål mail.docx", "A 16882-2026")</f>
        <v/>
      </c>
      <c r="AC27">
        <f>HYPERLINK("https://klasma.github.io/Logging_1485/tillsyn/A 16882-2026 tillsynsbegäran.docx", "A 16882-2026")</f>
        <v/>
      </c>
      <c r="AD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46254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8666-2024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45352</v>
      </c>
      <c r="E29" s="1" t="n">
        <v>46254</v>
      </c>
      <c r="F29" t="inlineStr">
        <is>
          <t>VÄSTRA GÖTALANDS LÄN</t>
        </is>
      </c>
      <c r="G29" t="inlineStr">
        <is>
          <t>UDDEVALLA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6</v>
      </c>
      <c r="V29" s="2" t="inlineStr">
        <is>
          <t>Västlig hakmossa
Spillkråka</t>
        </is>
      </c>
      <c r="W29">
        <f>HYPERLINK("https://klasma.github.io/Logging_1485/artfynd/A 8666-2024 artfynd.xlsx", "A 8666-2024")</f>
        <v/>
      </c>
      <c r="X29">
        <f>HYPERLINK("https://klasma.github.io/Logging_1485/kartor/A 8666-2024 karta.png", "A 8666-2024")</f>
        <v/>
      </c>
      <c r="Y29">
        <f>HYPERLINK("https://klasma.github.io/Logging_1485/kartor_geotiff/A 8666-2024 georefererad karta.tif", "A 8666-2024")</f>
        <v/>
      </c>
      <c r="AA29">
        <f>HYPERLINK("https://klasma.github.io/Logging_1485/klagomål/A 8666-2024 FSC-klagomål.docx", "A 8666-2024")</f>
        <v/>
      </c>
      <c r="AB29">
        <f>HYPERLINK("https://klasma.github.io/Logging_1485/klagomålsmail/A 8666-2024 FSC-klagomål mail.docx", "A 8666-2024")</f>
        <v/>
      </c>
      <c r="AC29">
        <f>HYPERLINK("https://klasma.github.io/Logging_1485/tillsyn/A 8666-2024 tillsynsbegäran.docx", "A 8666-2024")</f>
        <v/>
      </c>
      <c r="AD29">
        <f>HYPERLINK("https://klasma.github.io/Logging_1485/tillsynsmail/A 8666-2024 tillsynsbegäran mail.docx", "A 8666-2024")</f>
        <v/>
      </c>
      <c r="AE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46254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46254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46254</v>
      </c>
      <c r="F32" t="inlineStr">
        <is>
          <t>VÄSTRA GÖTALANDS LÄN</t>
        </is>
      </c>
      <c r="G32" t="inlineStr">
        <is>
          <t>UDDEVALLA</t>
        </is>
      </c>
      <c r="I32" t="n">
        <v>3.2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HYPERLINK("https://klasma.github.io/Logging_1485/artfynd/A 51869-2021 artfynd.xlsx", "A 51869-2021")</f>
        <v/>
      </c>
      <c r="X32">
        <f>HYPERLINK("https://klasma.github.io/Logging_1485/kartor/A 51869-2021 karta.png", "A 51869-2021")</f>
        <v/>
      </c>
      <c r="Y32">
        <f>HYPERLINK("https://klasma.github.io/Logging_1485/kartor_geotiff/A 51869-2021 georefererad karta.tif", "A 51869-2021")</f>
        <v/>
      </c>
      <c r="AA32">
        <f>HYPERLINK("https://klasma.github.io/Logging_1485/klagomål/A 51869-2021 FSC-klagomål.docx", "A 51869-2021")</f>
        <v/>
      </c>
      <c r="AB32">
        <f>HYPERLINK("https://klasma.github.io/Logging_1485/klagomålsmail/A 51869-2021 FSC-klagomål mail.docx", "A 51869-2021")</f>
        <v/>
      </c>
      <c r="AC32">
        <f>HYPERLINK("https://klasma.github.io/Logging_1485/tillsyn/A 51869-2021 tillsynsbegäran.docx", "A 51869-2021")</f>
        <v/>
      </c>
      <c r="AD32">
        <f>HYPERLINK("https://klasma.github.io/Logging_1485/tillsynsmail/A 51869-2021 tillsynsbegäran mail.docx", "A 51869-2021")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46254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22603-2023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45071</v>
      </c>
      <c r="E34" s="1" t="n">
        <v>46254</v>
      </c>
      <c r="F34" t="inlineStr">
        <is>
          <t>VÄSTRA GÖTALANDS LÄN</t>
        </is>
      </c>
      <c r="G34" t="inlineStr">
        <is>
          <t>UDDEVALLA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Gröngöling</t>
        </is>
      </c>
      <c r="W34">
        <f>HYPERLINK("https://klasma.github.io/Logging_1485/artfynd/A 22603-2023 artfynd.xlsx", "A 22603-2023")</f>
        <v/>
      </c>
      <c r="X34">
        <f>HYPERLINK("https://klasma.github.io/Logging_1485/kartor/A 22603-2023 karta.png", "A 22603-2023")</f>
        <v/>
      </c>
      <c r="Y34">
        <f>HYPERLINK("https://klasma.github.io/Logging_1485/kartor_geotiff/A 22603-2023 georefererad karta.tif", "A 22603-2023")</f>
        <v/>
      </c>
      <c r="AA34">
        <f>HYPERLINK("https://klasma.github.io/Logging_1485/klagomål/A 22603-2023 FSC-klagomål.docx", "A 22603-2023")</f>
        <v/>
      </c>
      <c r="AB34">
        <f>HYPERLINK("https://klasma.github.io/Logging_1485/klagomålsmail/A 22603-2023 FSC-klagomål mail.docx", "A 22603-2023")</f>
        <v/>
      </c>
      <c r="AC34">
        <f>HYPERLINK("https://klasma.github.io/Logging_1485/tillsyn/A 22603-2023 tillsynsbegäran.docx", "A 22603-2023")</f>
        <v/>
      </c>
      <c r="AD34">
        <f>HYPERLINK("https://klasma.github.io/Logging_1485/tillsynsmail/A 22603-2023 tillsynsbegäran mail.docx", "A 22603-2023")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46254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Rödgul trumpetsvamp</t>
        </is>
      </c>
      <c r="W35">
        <f>HYPERLINK("https://klasma.github.io/Logging_1485/artfynd/A 236-2023 artfynd.xlsx", "A 236-2023")</f>
        <v/>
      </c>
      <c r="X35">
        <f>HYPERLINK("https://klasma.github.io/Logging_1485/kartor/A 236-2023 karta.png", "A 236-2023")</f>
        <v/>
      </c>
      <c r="Y35">
        <f>HYPERLINK("https://klasma.github.io/Logging_1485/kartor_geotiff/A 236-2023 georefererad karta.tif", "A 236-2023")</f>
        <v/>
      </c>
      <c r="AA35">
        <f>HYPERLINK("https://klasma.github.io/Logging_1485/klagomål/A 236-2023 FSC-klagomål.docx", "A 236-2023")</f>
        <v/>
      </c>
      <c r="AB35">
        <f>HYPERLINK("https://klasma.github.io/Logging_1485/klagomålsmail/A 236-2023 FSC-klagomål mail.docx", "A 236-2023")</f>
        <v/>
      </c>
      <c r="AC35">
        <f>HYPERLINK("https://klasma.github.io/Logging_1485/tillsyn/A 236-2023 tillsynsbegäran.docx", "A 236-2023")</f>
        <v/>
      </c>
      <c r="AD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46254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10865-2022 artfynd.xlsx", "A 10865-2022")</f>
        <v/>
      </c>
      <c r="X36">
        <f>HYPERLINK("https://klasma.github.io/Logging_1485/kartor/A 10865-2022 karta.png", "A 10865-2022")</f>
        <v/>
      </c>
      <c r="Y36">
        <f>HYPERLINK("https://klasma.github.io/Logging_1485/kartor_geotiff/A 10865-2022 georefererad karta.tif", "A 10865-2022")</f>
        <v/>
      </c>
      <c r="AA36">
        <f>HYPERLINK("https://klasma.github.io/Logging_1485/klagomål/A 10865-2022 FSC-klagomål.docx", "A 10865-2022")</f>
        <v/>
      </c>
      <c r="AB36">
        <f>HYPERLINK("https://klasma.github.io/Logging_1485/klagomålsmail/A 10865-2022 FSC-klagomål mail.docx", "A 10865-2022")</f>
        <v/>
      </c>
      <c r="AC36">
        <f>HYPERLINK("https://klasma.github.io/Logging_1485/tillsyn/A 10865-2022 tillsynsbegäran.docx", "A 10865-2022")</f>
        <v/>
      </c>
      <c r="AD36">
        <f>HYPERLINK("https://klasma.github.io/Logging_1485/tillsynsmail/A 10865-2022 tillsynsbegäran mail.docx", "A 10865-2022")</f>
        <v/>
      </c>
    </row>
    <row r="37" ht="15" customHeight="1">
      <c r="A37" t="inlineStr">
        <is>
          <t>A 55288-2023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45237</v>
      </c>
      <c r="E37" s="1" t="n">
        <v>46254</v>
      </c>
      <c r="F37" t="inlineStr">
        <is>
          <t>VÄSTRA GÖTALANDS LÄN</t>
        </is>
      </c>
      <c r="G37" t="inlineStr">
        <is>
          <t>UDDEVALLA</t>
        </is>
      </c>
      <c r="I37" t="n">
        <v>5.2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55288-2023 artfynd.xlsx", "A 55288-2023")</f>
        <v/>
      </c>
      <c r="X37">
        <f>HYPERLINK("https://klasma.github.io/Logging_1485/kartor/A 55288-2023 karta.png", "A 55288-2023")</f>
        <v/>
      </c>
      <c r="Y37">
        <f>HYPERLINK("https://klasma.github.io/Logging_1485/kartor_geotiff/A 55288-2023 georefererad karta.tif", "A 55288-2023")</f>
        <v/>
      </c>
      <c r="AA37">
        <f>HYPERLINK("https://klasma.github.io/Logging_1485/klagomål/A 55288-2023 FSC-klagomål.docx", "A 55288-2023")</f>
        <v/>
      </c>
      <c r="AB37">
        <f>HYPERLINK("https://klasma.github.io/Logging_1485/klagomålsmail/A 55288-2023 FSC-klagomål mail.docx", "A 55288-2023")</f>
        <v/>
      </c>
      <c r="AC37">
        <f>HYPERLINK("https://klasma.github.io/Logging_1485/tillsyn/A 55288-2023 tillsynsbegäran.docx", "A 55288-2023")</f>
        <v/>
      </c>
      <c r="AD37">
        <f>HYPERLINK("https://klasma.github.io/Logging_1485/tillsynsmail/A 55288-2023 tillsynsbegäran mail.docx", "A 55288-2023")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46254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46254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2429-2026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46036</v>
      </c>
      <c r="E40" s="1" t="n">
        <v>46254</v>
      </c>
      <c r="F40" t="inlineStr">
        <is>
          <t>VÄSTRA GÖTALANDS LÄN</t>
        </is>
      </c>
      <c r="G40" t="inlineStr">
        <is>
          <t>UDDEVALLA</t>
        </is>
      </c>
      <c r="I40" t="n">
        <v>7.6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HYPERLINK("https://klasma.github.io/Logging_1485/artfynd/A 2429-2026 artfynd.xlsx", "A 2429-2026")</f>
        <v/>
      </c>
      <c r="X40">
        <f>HYPERLINK("https://klasma.github.io/Logging_1485/kartor/A 2429-2026 karta.png", "A 2429-2026")</f>
        <v/>
      </c>
      <c r="Y40">
        <f>HYPERLINK("https://klasma.github.io/Logging_1485/kartor_geotiff/A 2429-2026 georefererad karta.tif", "A 2429-2026")</f>
        <v/>
      </c>
      <c r="AA40">
        <f>HYPERLINK("https://klasma.github.io/Logging_1485/klagomål/A 2429-2026 FSC-klagomål.docx", "A 2429-2026")</f>
        <v/>
      </c>
      <c r="AB40">
        <f>HYPERLINK("https://klasma.github.io/Logging_1485/klagomålsmail/A 2429-2026 FSC-klagomål mail.docx", "A 2429-2026")</f>
        <v/>
      </c>
      <c r="AC40">
        <f>HYPERLINK("https://klasma.github.io/Logging_1485/tillsyn/A 2429-2026 tillsynsbegäran.docx", "A 2429-2026")</f>
        <v/>
      </c>
      <c r="AD40">
        <f>HYPERLINK("https://klasma.github.io/Logging_1485/tillsynsmail/A 2429-2026 tillsynsbegäran mail.docx", "A 2429-2026")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46254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34058-2023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45135</v>
      </c>
      <c r="E42" s="1" t="n">
        <v>46254</v>
      </c>
      <c r="F42" t="inlineStr">
        <is>
          <t>VÄSTRA GÖTALANDS LÄN</t>
        </is>
      </c>
      <c r="G42" t="inlineStr">
        <is>
          <t>UDDEVALLA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Lundvaxskivling</t>
        </is>
      </c>
      <c r="W42">
        <f>HYPERLINK("https://klasma.github.io/Logging_1485/artfynd/A 34058-2023 artfynd.xlsx", "A 34058-2023")</f>
        <v/>
      </c>
      <c r="X42">
        <f>HYPERLINK("https://klasma.github.io/Logging_1485/kartor/A 34058-2023 karta.png", "A 34058-2023")</f>
        <v/>
      </c>
      <c r="Y42">
        <f>HYPERLINK("https://klasma.github.io/Logging_1485/kartor_geotiff/A 34058-2023 georefererad karta.tif", "A 34058-2023")</f>
        <v/>
      </c>
      <c r="AA42">
        <f>HYPERLINK("https://klasma.github.io/Logging_1485/klagomål/A 34058-2023 FSC-klagomål.docx", "A 34058-2023")</f>
        <v/>
      </c>
      <c r="AB42">
        <f>HYPERLINK("https://klasma.github.io/Logging_1485/klagomålsmail/A 34058-2023 FSC-klagomål mail.docx", "A 34058-2023")</f>
        <v/>
      </c>
      <c r="AC42">
        <f>HYPERLINK("https://klasma.github.io/Logging_1485/tillsyn/A 34058-2023 tillsynsbegäran.docx", "A 34058-2023")</f>
        <v/>
      </c>
      <c r="AD42">
        <f>HYPERLINK("https://klasma.github.io/Logging_1485/tillsynsmail/A 34058-2023 tillsynsbegäran mail.docx", "A 34058-2023")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46254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46254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46254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46254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23322-2025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46254</v>
      </c>
      <c r="F47" t="inlineStr">
        <is>
          <t>VÄSTRA GÖTALANDS LÄN</t>
        </is>
      </c>
      <c r="G47" t="inlineStr">
        <is>
          <t>UDDEVALLA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HYPERLINK("https://klasma.github.io/Logging_1485/artfynd/A 23322-2025 artfynd.xlsx", "A 23322-2025")</f>
        <v/>
      </c>
      <c r="X47">
        <f>HYPERLINK("https://klasma.github.io/Logging_1485/kartor/A 23322-2025 karta.png", "A 23322-2025")</f>
        <v/>
      </c>
      <c r="Y47">
        <f>HYPERLINK("https://klasma.github.io/Logging_1485/kartor_geotiff/A 23322-2025 georefererad karta.tif", "A 23322-2025")</f>
        <v/>
      </c>
      <c r="AA47">
        <f>HYPERLINK("https://klasma.github.io/Logging_1485/klagomål/A 23322-2025 FSC-klagomål.docx", "A 23322-2025")</f>
        <v/>
      </c>
      <c r="AB47">
        <f>HYPERLINK("https://klasma.github.io/Logging_1485/klagomålsmail/A 23322-2025 FSC-klagomål mail.docx", "A 23322-2025")</f>
        <v/>
      </c>
      <c r="AC47">
        <f>HYPERLINK("https://klasma.github.io/Logging_1485/tillsyn/A 23322-2025 tillsynsbegäran.docx", "A 23322-2025")</f>
        <v/>
      </c>
      <c r="AD47">
        <f>HYPERLINK("https://klasma.github.io/Logging_1485/tillsynsmail/A 23322-2025 tillsynsbegäran mail.docx", "A 23322-2025")</f>
        <v/>
      </c>
      <c r="AE47">
        <f>HYPERLINK("https://klasma.github.io/Logging_1485/fåglar/A 23322-2025 prioriterade fågelarter.docx", "A 23322-2025")</f>
        <v/>
      </c>
    </row>
    <row r="48" ht="15" customHeight="1">
      <c r="A48" t="inlineStr">
        <is>
          <t>A 30954-2025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45832</v>
      </c>
      <c r="E48" s="1" t="n">
        <v>46254</v>
      </c>
      <c r="F48" t="inlineStr">
        <is>
          <t>VÄSTRA GÖTALANDS LÄN</t>
        </is>
      </c>
      <c r="G48" t="inlineStr">
        <is>
          <t>UDDEVALLA</t>
        </is>
      </c>
      <c r="I48" t="n">
        <v>11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HYPERLINK("https://klasma.github.io/Logging_1485/artfynd/A 30954-2025 artfynd.xlsx", "A 30954-2025")</f>
        <v/>
      </c>
      <c r="X48">
        <f>HYPERLINK("https://klasma.github.io/Logging_1485/kartor/A 30954-2025 karta.png", "A 30954-2025")</f>
        <v/>
      </c>
      <c r="Y48">
        <f>HYPERLINK("https://klasma.github.io/Logging_1485/kartor_geotiff/A 30954-2025 georefererad karta.tif", "A 30954-2025")</f>
        <v/>
      </c>
      <c r="AA48">
        <f>HYPERLINK("https://klasma.github.io/Logging_1485/klagomål/A 30954-2025 FSC-klagomål.docx", "A 30954-2025")</f>
        <v/>
      </c>
      <c r="AB48">
        <f>HYPERLINK("https://klasma.github.io/Logging_1485/klagomålsmail/A 30954-2025 FSC-klagomål mail.docx", "A 30954-2025")</f>
        <v/>
      </c>
      <c r="AC48">
        <f>HYPERLINK("https://klasma.github.io/Logging_1485/tillsyn/A 30954-2025 tillsynsbegäran.docx", "A 30954-2025")</f>
        <v/>
      </c>
      <c r="AD48">
        <f>HYPERLINK("https://klasma.github.io/Logging_1485/tillsynsmail/A 30954-2025 tillsynsbegäran mail.docx", "A 30954-2025")</f>
        <v/>
      </c>
    </row>
    <row r="49" ht="15" customHeight="1">
      <c r="A49" t="inlineStr">
        <is>
          <t>S 337-2024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45328</v>
      </c>
      <c r="E49" s="1" t="n">
        <v>46254</v>
      </c>
      <c r="F49" t="inlineStr">
        <is>
          <t>VÄSTRA GÖTALANDS LÄN</t>
        </is>
      </c>
      <c r="G49" t="inlineStr">
        <is>
          <t>UDDEVALLA</t>
        </is>
      </c>
      <c r="I49" t="n">
        <v>38.5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HYPERLINK("https://klasma.github.io/Logging_1485/artfynd/S 337-2024 artfynd.xlsx", "S 337-2024")</f>
        <v/>
      </c>
      <c r="X49">
        <f>HYPERLINK("https://klasma.github.io/Logging_1485/kartor/S 337-2024 karta.png", "S 337-2024")</f>
        <v/>
      </c>
      <c r="Y49">
        <f>HYPERLINK("https://klasma.github.io/Logging_1485/kartor_geotiff/S 337-2024 georefererad karta.tif", "S 337-2024")</f>
        <v/>
      </c>
      <c r="AA49">
        <f>HYPERLINK("https://klasma.github.io/Logging_1485/klagomål/S 337-2024 FSC-klagomål.docx", "S 337-2024")</f>
        <v/>
      </c>
      <c r="AB49">
        <f>HYPERLINK("https://klasma.github.io/Logging_1485/klagomålsmail/S 337-2024 FSC-klagomål mail.docx", "S 337-2024")</f>
        <v/>
      </c>
      <c r="AC49">
        <f>HYPERLINK("https://klasma.github.io/Logging_1485/tillsyn/S 337-2024 tillsynsbegäran.docx", "S 337-2024")</f>
        <v/>
      </c>
      <c r="AD49">
        <f>HYPERLINK("https://klasma.github.io/Logging_1485/tillsynsmail/S 337-2024 tillsynsbegäran mail.docx", "S 337-2024")</f>
        <v/>
      </c>
      <c r="AE49">
        <f>HYPERLINK("https://klasma.github.io/Logging_1485/fåglar/S 337-2024 prioriterade fågelarter.docx", "S 337-2024")</f>
        <v/>
      </c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46254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46254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44449</v>
      </c>
      <c r="E52" s="1" t="n">
        <v>46254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46254</v>
      </c>
      <c r="F53" t="inlineStr">
        <is>
          <t>VÄSTRA GÖTALANDS LÄN</t>
        </is>
      </c>
      <c r="G53" t="inlineStr">
        <is>
          <t>UDDEVALLA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25811-2022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46254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44445</v>
      </c>
      <c r="E55" s="1" t="n">
        <v>46254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46254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46254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46254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46254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46254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46254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46254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46254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46254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46254</v>
      </c>
      <c r="F65" t="inlineStr">
        <is>
          <t>VÄSTRA GÖTALANDS LÄN</t>
        </is>
      </c>
      <c r="G65" t="inlineStr">
        <is>
          <t>UDDEVALLA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46254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46254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46254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46254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46254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46254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46254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46254</v>
      </c>
      <c r="F73" t="inlineStr">
        <is>
          <t>VÄSTRA GÖTALANDS LÄN</t>
        </is>
      </c>
      <c r="G73" t="inlineStr">
        <is>
          <t>UDDEVALLA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46254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46254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46254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46254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46254</v>
      </c>
      <c r="F78" t="inlineStr">
        <is>
          <t>VÄSTRA GÖTALANDS LÄN</t>
        </is>
      </c>
      <c r="G78" t="inlineStr">
        <is>
          <t>UDDEVALLA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46254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46254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46254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44960</v>
      </c>
      <c r="E82" s="1" t="n">
        <v>46254</v>
      </c>
      <c r="F82" t="inlineStr">
        <is>
          <t>VÄSTRA GÖTALANDS LÄN</t>
        </is>
      </c>
      <c r="G82" t="inlineStr">
        <is>
          <t>UDDEVALLA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46254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46254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46254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46254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46254</v>
      </c>
      <c r="F87" t="inlineStr">
        <is>
          <t>VÄSTRA GÖTALANDS LÄN</t>
        </is>
      </c>
      <c r="G87" t="inlineStr">
        <is>
          <t>UDDEVALLA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44634</v>
      </c>
      <c r="E88" s="1" t="n">
        <v>46254</v>
      </c>
      <c r="F88" t="inlineStr">
        <is>
          <t>VÄSTRA GÖTALANDS LÄN</t>
        </is>
      </c>
      <c r="G88" t="inlineStr">
        <is>
          <t>UDDEVALLA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46254</v>
      </c>
      <c r="F89" t="inlineStr">
        <is>
          <t>VÄSTRA GÖTALANDS LÄN</t>
        </is>
      </c>
      <c r="G89" t="inlineStr">
        <is>
          <t>UDDEVALLA</t>
        </is>
      </c>
      <c r="I89" t="n">
        <v>12.2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46254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46254</v>
      </c>
      <c r="F91" t="inlineStr">
        <is>
          <t>VÄSTRA GÖTALANDS LÄN</t>
        </is>
      </c>
      <c r="G91" t="inlineStr">
        <is>
          <t>UDDEVALLA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46254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46254</v>
      </c>
      <c r="F93" t="inlineStr">
        <is>
          <t>VÄSTRA GÖTALANDS LÄN</t>
        </is>
      </c>
      <c r="G93" t="inlineStr">
        <is>
          <t>UDDEVALLA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46254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44592</v>
      </c>
      <c r="E95" s="1" t="n">
        <v>46254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46254</v>
      </c>
      <c r="F96" t="inlineStr">
        <is>
          <t>VÄSTRA GÖTALANDS LÄN</t>
        </is>
      </c>
      <c r="G96" t="inlineStr">
        <is>
          <t>UDDEVALLA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46254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46254</v>
      </c>
      <c r="F98" t="inlineStr">
        <is>
          <t>VÄSTRA GÖTALANDS LÄN</t>
        </is>
      </c>
      <c r="G98" t="inlineStr">
        <is>
          <t>UDDEVALLA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46254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45572</v>
      </c>
      <c r="E100" s="1" t="n">
        <v>46254</v>
      </c>
      <c r="F100" t="inlineStr">
        <is>
          <t>VÄSTRA GÖTALANDS LÄN</t>
        </is>
      </c>
      <c r="G100" t="inlineStr">
        <is>
          <t>UDDEVALLA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46254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46254</v>
      </c>
      <c r="F102" t="inlineStr">
        <is>
          <t>VÄSTRA GÖTALANDS LÄN</t>
        </is>
      </c>
      <c r="G102" t="inlineStr">
        <is>
          <t>UDDEVALLA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44489</v>
      </c>
      <c r="E103" s="1" t="n">
        <v>46254</v>
      </c>
      <c r="F103" t="inlineStr">
        <is>
          <t>VÄSTRA GÖTALANDS LÄN</t>
        </is>
      </c>
      <c r="G103" t="inlineStr">
        <is>
          <t>UDDEVALLA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46254</v>
      </c>
      <c r="F104" t="inlineStr">
        <is>
          <t>VÄSTRA GÖTALANDS LÄN</t>
        </is>
      </c>
      <c r="G104" t="inlineStr">
        <is>
          <t>UDDEVALLA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46254</v>
      </c>
      <c r="F105" t="inlineStr">
        <is>
          <t>VÄSTRA GÖTALANDS LÄN</t>
        </is>
      </c>
      <c r="G105" t="inlineStr">
        <is>
          <t>UDDEVALLA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46254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45150</v>
      </c>
      <c r="E107" s="1" t="n">
        <v>46254</v>
      </c>
      <c r="F107" t="inlineStr">
        <is>
          <t>VÄSTRA GÖTALANDS LÄN</t>
        </is>
      </c>
      <c r="G107" t="inlineStr">
        <is>
          <t>UDDEVALLA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46254</v>
      </c>
      <c r="F108" t="inlineStr">
        <is>
          <t>VÄSTRA GÖTALANDS LÄN</t>
        </is>
      </c>
      <c r="G108" t="inlineStr">
        <is>
          <t>UDDEVALLA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41511-2024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46254</v>
      </c>
      <c r="F109" t="inlineStr">
        <is>
          <t>VÄSTRA GÖTALANDS LÄN</t>
        </is>
      </c>
      <c r="G109" t="inlineStr">
        <is>
          <t>UDDEVALLA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46254</v>
      </c>
      <c r="F110" t="inlineStr">
        <is>
          <t>VÄSTRA GÖTALANDS LÄN</t>
        </is>
      </c>
      <c r="G110" t="inlineStr">
        <is>
          <t>UDDEVALLA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39395-2025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46254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73437-2021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46254</v>
      </c>
      <c r="F112" t="inlineStr">
        <is>
          <t>VÄSTRA GÖTALANDS LÄN</t>
        </is>
      </c>
      <c r="G112" t="inlineStr">
        <is>
          <t>UDDEVALLA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46254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45302</v>
      </c>
      <c r="E114" s="1" t="n">
        <v>46254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44715</v>
      </c>
      <c r="E115" s="1" t="n">
        <v>46254</v>
      </c>
      <c r="F115" t="inlineStr">
        <is>
          <t>VÄSTRA GÖTALANDS LÄN</t>
        </is>
      </c>
      <c r="G115" t="inlineStr">
        <is>
          <t>UDDEVALLA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46254</v>
      </c>
      <c r="F116" t="inlineStr">
        <is>
          <t>VÄSTRA GÖTALANDS LÄN</t>
        </is>
      </c>
      <c r="G116" t="inlineStr">
        <is>
          <t>UDDEVALLA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46254</v>
      </c>
      <c r="F117" t="inlineStr">
        <is>
          <t>VÄSTRA GÖTALANDS LÄN</t>
        </is>
      </c>
      <c r="G117" t="inlineStr">
        <is>
          <t>UDDEVALLA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46254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46254</v>
      </c>
      <c r="F119" t="inlineStr">
        <is>
          <t>VÄSTRA GÖTALANDS LÄN</t>
        </is>
      </c>
      <c r="G119" t="inlineStr">
        <is>
          <t>UDDEVALLA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20401-2026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46139</v>
      </c>
      <c r="E120" s="1" t="n">
        <v>46254</v>
      </c>
      <c r="F120" t="inlineStr">
        <is>
          <t>VÄSTRA GÖTALANDS LÄN</t>
        </is>
      </c>
      <c r="G120" t="inlineStr">
        <is>
          <t>UDDEVALLA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46254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46254</v>
      </c>
      <c r="F122" t="inlineStr">
        <is>
          <t>VÄSTRA GÖTALANDS LÄN</t>
        </is>
      </c>
      <c r="G122" t="inlineStr">
        <is>
          <t>UDDEVALLA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46254</v>
      </c>
      <c r="F123" t="inlineStr">
        <is>
          <t>VÄSTRA GÖTALANDS LÄN</t>
        </is>
      </c>
      <c r="G123" t="inlineStr">
        <is>
          <t>UDDEVALLA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59513-2024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46254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19980-2025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46254</v>
      </c>
      <c r="F125" t="inlineStr">
        <is>
          <t>VÄSTRA GÖTALANDS LÄN</t>
        </is>
      </c>
      <c r="G125" t="inlineStr">
        <is>
          <t>UDDEVALLA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46254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46254</v>
      </c>
      <c r="F127" t="inlineStr">
        <is>
          <t>VÄSTRA GÖTALANDS LÄN</t>
        </is>
      </c>
      <c r="G127" t="inlineStr">
        <is>
          <t>UDDEVALLA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46254</v>
      </c>
      <c r="F128" t="inlineStr">
        <is>
          <t>VÄSTRA GÖTALANDS LÄN</t>
        </is>
      </c>
      <c r="G128" t="inlineStr">
        <is>
          <t>UDDEVALLA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46254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46254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46254</v>
      </c>
      <c r="F131" t="inlineStr">
        <is>
          <t>VÄSTRA GÖTALANDS LÄN</t>
        </is>
      </c>
      <c r="G131" t="inlineStr">
        <is>
          <t>UDDEVALLA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46254</v>
      </c>
      <c r="F132" t="inlineStr">
        <is>
          <t>VÄSTRA GÖTALANDS LÄN</t>
        </is>
      </c>
      <c r="G132" t="inlineStr">
        <is>
          <t>UDDEVALLA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46153</v>
      </c>
      <c r="E133" s="1" t="n">
        <v>46254</v>
      </c>
      <c r="F133" t="inlineStr">
        <is>
          <t>VÄSTRA GÖTALANDS LÄN</t>
        </is>
      </c>
      <c r="G133" t="inlineStr">
        <is>
          <t>UDDEVALLA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46254</v>
      </c>
      <c r="F134" t="inlineStr">
        <is>
          <t>VÄSTRA GÖTALANDS LÄN</t>
        </is>
      </c>
      <c r="G134" t="inlineStr">
        <is>
          <t>UDDEVALLA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46254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46254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46254</v>
      </c>
      <c r="F137" t="inlineStr">
        <is>
          <t>VÄSTRA GÖTALANDS LÄN</t>
        </is>
      </c>
      <c r="G137" t="inlineStr">
        <is>
          <t>UDDEVALLA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46254</v>
      </c>
      <c r="F138" t="inlineStr">
        <is>
          <t>VÄSTRA GÖTALANDS LÄN</t>
        </is>
      </c>
      <c r="G138" t="inlineStr">
        <is>
          <t>UDDEVALLA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46254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45914</v>
      </c>
      <c r="E140" s="1" t="n">
        <v>46254</v>
      </c>
      <c r="F140" t="inlineStr">
        <is>
          <t>VÄSTRA GÖTALANDS LÄN</t>
        </is>
      </c>
      <c r="G140" t="inlineStr">
        <is>
          <t>UDDEVALLA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44086-2025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45914</v>
      </c>
      <c r="E141" s="1" t="n">
        <v>46254</v>
      </c>
      <c r="F141" t="inlineStr">
        <is>
          <t>VÄSTRA GÖTALANDS LÄN</t>
        </is>
      </c>
      <c r="G141" t="inlineStr">
        <is>
          <t>UDDEVALLA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46254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Övriga statliga verk och myndigheter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46164</v>
      </c>
      <c r="E143" s="1" t="n">
        <v>46254</v>
      </c>
      <c r="F143" t="inlineStr">
        <is>
          <t>VÄSTRA GÖTALANDS LÄN</t>
        </is>
      </c>
      <c r="G143" t="inlineStr">
        <is>
          <t>UDDEVALLA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46254</v>
      </c>
      <c r="F144" t="inlineStr">
        <is>
          <t>VÄSTRA GÖTALANDS LÄN</t>
        </is>
      </c>
      <c r="G144" t="inlineStr">
        <is>
          <t>UDDEVALLA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46254</v>
      </c>
      <c r="F145" t="inlineStr">
        <is>
          <t>VÄSTRA GÖTALANDS LÄN</t>
        </is>
      </c>
      <c r="G145" t="inlineStr">
        <is>
          <t>UDDEVALLA</t>
        </is>
      </c>
      <c r="I145" t="n">
        <v>19.4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46254</v>
      </c>
      <c r="F146" t="inlineStr">
        <is>
          <t>VÄSTRA GÖTALANDS LÄN</t>
        </is>
      </c>
      <c r="G146" t="inlineStr">
        <is>
          <t>UDDEVALLA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46254</v>
      </c>
      <c r="F147" t="inlineStr">
        <is>
          <t>VÄSTRA GÖTALANDS LÄN</t>
        </is>
      </c>
      <c r="G147" t="inlineStr">
        <is>
          <t>UDDEVALLA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46254</v>
      </c>
      <c r="F148" t="inlineStr">
        <is>
          <t>VÄSTRA GÖTALANDS LÄN</t>
        </is>
      </c>
      <c r="G148" t="inlineStr">
        <is>
          <t>UDDEVALLA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30815-2026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46212</v>
      </c>
      <c r="E149" s="1" t="n">
        <v>46254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45495</v>
      </c>
      <c r="E150" s="1" t="n">
        <v>46254</v>
      </c>
      <c r="F150" t="inlineStr">
        <is>
          <t>VÄSTRA GÖTALANDS LÄN</t>
        </is>
      </c>
      <c r="G150" t="inlineStr">
        <is>
          <t>UDDEVALLA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46254</v>
      </c>
      <c r="F151" t="inlineStr">
        <is>
          <t>VÄSTRA GÖTALANDS LÄN</t>
        </is>
      </c>
      <c r="G151" t="inlineStr">
        <is>
          <t>UDDEVALLA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46254</v>
      </c>
      <c r="F152" t="inlineStr">
        <is>
          <t>VÄSTRA GÖTALANDS LÄN</t>
        </is>
      </c>
      <c r="G152" t="inlineStr">
        <is>
          <t>UDDEVALLA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46254</v>
      </c>
      <c r="F153" t="inlineStr">
        <is>
          <t>VÄSTRA GÖTALANDS LÄN</t>
        </is>
      </c>
      <c r="G153" t="inlineStr">
        <is>
          <t>UDDEVALLA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46254</v>
      </c>
      <c r="F154" t="inlineStr">
        <is>
          <t>VÄSTRA GÖTALANDS LÄN</t>
        </is>
      </c>
      <c r="G154" t="inlineStr">
        <is>
          <t>UDDEVALLA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46254</v>
      </c>
      <c r="F155" t="inlineStr">
        <is>
          <t>VÄSTRA GÖTALANDS LÄN</t>
        </is>
      </c>
      <c r="G155" t="inlineStr">
        <is>
          <t>UDDEVALLA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46254</v>
      </c>
      <c r="F156" t="inlineStr">
        <is>
          <t>VÄSTRA GÖTALANDS LÄN</t>
        </is>
      </c>
      <c r="G156" t="inlineStr">
        <is>
          <t>UDDEVALLA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45764</v>
      </c>
      <c r="E157" s="1" t="n">
        <v>46254</v>
      </c>
      <c r="F157" t="inlineStr">
        <is>
          <t>VÄSTRA GÖTALANDS LÄN</t>
        </is>
      </c>
      <c r="G157" t="inlineStr">
        <is>
          <t>UDDEVALLA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47103-2025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46254</v>
      </c>
      <c r="F158" t="inlineStr">
        <is>
          <t>VÄSTRA GÖTALANDS LÄN</t>
        </is>
      </c>
      <c r="G158" t="inlineStr">
        <is>
          <t>UDDEVALLA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46254</v>
      </c>
      <c r="F159" t="inlineStr">
        <is>
          <t>VÄSTRA GÖTALANDS LÄN</t>
        </is>
      </c>
      <c r="G159" t="inlineStr">
        <is>
          <t>UDDEVALLA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46254</v>
      </c>
      <c r="F160" t="inlineStr">
        <is>
          <t>VÄSTRA GÖTALANDS LÄN</t>
        </is>
      </c>
      <c r="G160" t="inlineStr">
        <is>
          <t>UDDEVALLA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45374</v>
      </c>
      <c r="E161" s="1" t="n">
        <v>46254</v>
      </c>
      <c r="F161" t="inlineStr">
        <is>
          <t>VÄSTRA GÖTALANDS LÄN</t>
        </is>
      </c>
      <c r="G161" t="inlineStr">
        <is>
          <t>UDDEVALLA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46254</v>
      </c>
      <c r="F162" t="inlineStr">
        <is>
          <t>VÄSTRA GÖTALANDS LÄN</t>
        </is>
      </c>
      <c r="G162" t="inlineStr">
        <is>
          <t>UDDEVALLA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45656</v>
      </c>
      <c r="E163" s="1" t="n">
        <v>46254</v>
      </c>
      <c r="F163" t="inlineStr">
        <is>
          <t>VÄSTRA GÖTALANDS LÄN</t>
        </is>
      </c>
      <c r="G163" t="inlineStr">
        <is>
          <t>UDDEVALLA</t>
        </is>
      </c>
      <c r="H163" t="inlineStr">
        <is>
          <t>Kommuner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46254</v>
      </c>
      <c r="F164" t="inlineStr">
        <is>
          <t>VÄSTRA GÖTALANDS LÄN</t>
        </is>
      </c>
      <c r="G164" t="inlineStr">
        <is>
          <t>UDDEVALLA</t>
        </is>
      </c>
      <c r="H164" t="inlineStr">
        <is>
          <t>Kommuner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44928</v>
      </c>
      <c r="E165" s="1" t="n">
        <v>46254</v>
      </c>
      <c r="F165" t="inlineStr">
        <is>
          <t>VÄSTRA GÖTALANDS LÄN</t>
        </is>
      </c>
      <c r="G165" t="inlineStr">
        <is>
          <t>UDDEVALLA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46222</v>
      </c>
      <c r="E166" s="1" t="n">
        <v>46254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Kommuner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46254</v>
      </c>
      <c r="F167" t="inlineStr">
        <is>
          <t>VÄSTRA GÖTALANDS LÄN</t>
        </is>
      </c>
      <c r="G167" t="inlineStr">
        <is>
          <t>UDDEVALLA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46254</v>
      </c>
      <c r="F168" t="inlineStr">
        <is>
          <t>VÄSTRA GÖTALANDS LÄN</t>
        </is>
      </c>
      <c r="G168" t="inlineStr">
        <is>
          <t>UDDEVALLA</t>
        </is>
      </c>
      <c r="H168" t="inlineStr">
        <is>
          <t>Kommuner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46254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46254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46254</v>
      </c>
      <c r="F171" t="inlineStr">
        <is>
          <t>VÄSTRA GÖTALANDS LÄN</t>
        </is>
      </c>
      <c r="G171" t="inlineStr">
        <is>
          <t>UDDEVALLA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46254</v>
      </c>
      <c r="F172" t="inlineStr">
        <is>
          <t>VÄSTRA GÖTALANDS LÄN</t>
        </is>
      </c>
      <c r="G172" t="inlineStr">
        <is>
          <t>UDDEVALLA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46254</v>
      </c>
      <c r="F173" t="inlineStr">
        <is>
          <t>VÄSTRA GÖTALANDS LÄN</t>
        </is>
      </c>
      <c r="G173" t="inlineStr">
        <is>
          <t>UDDEVALLA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60241-2024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45642</v>
      </c>
      <c r="E174" s="1" t="n">
        <v>46254</v>
      </c>
      <c r="F174" t="inlineStr">
        <is>
          <t>VÄSTRA GÖTALANDS LÄN</t>
        </is>
      </c>
      <c r="G174" t="inlineStr">
        <is>
          <t>UDDEVALLA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45470</v>
      </c>
      <c r="E175" s="1" t="n">
        <v>46254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46254</v>
      </c>
      <c r="F176" t="inlineStr">
        <is>
          <t>VÄSTRA GÖTALANDS LÄN</t>
        </is>
      </c>
      <c r="G176" t="inlineStr">
        <is>
          <t>UDDEVALLA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46254</v>
      </c>
      <c r="F177" t="inlineStr">
        <is>
          <t>VÄSTRA GÖTALANDS LÄN</t>
        </is>
      </c>
      <c r="G177" t="inlineStr">
        <is>
          <t>UDDEVALLA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46254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Kommuner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46254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46254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46254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Kommuner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46254</v>
      </c>
      <c r="F182" t="inlineStr">
        <is>
          <t>VÄSTRA GÖTALANDS LÄN</t>
        </is>
      </c>
      <c r="G182" t="inlineStr">
        <is>
          <t>UDDEVALLA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73437-2021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46254</v>
      </c>
      <c r="F183" t="inlineStr">
        <is>
          <t>VÄSTRA GÖTALANDS LÄN</t>
        </is>
      </c>
      <c r="G183" t="inlineStr">
        <is>
          <t>UDDEVALLA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46254</v>
      </c>
      <c r="F184" t="inlineStr">
        <is>
          <t>VÄSTRA GÖTALANDS LÄN</t>
        </is>
      </c>
      <c r="G184" t="inlineStr">
        <is>
          <t>UDDEVALLA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46254</v>
      </c>
      <c r="F185" t="inlineStr">
        <is>
          <t>VÄSTRA GÖTALANDS LÄN</t>
        </is>
      </c>
      <c r="G185" t="inlineStr">
        <is>
          <t>UDDEVALLA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46254</v>
      </c>
      <c r="F186" t="inlineStr">
        <is>
          <t>VÄSTRA GÖTALANDS LÄN</t>
        </is>
      </c>
      <c r="G186" t="inlineStr">
        <is>
          <t>UDDEVALLA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46254</v>
      </c>
      <c r="F187" t="inlineStr">
        <is>
          <t>VÄSTRA GÖTALANDS LÄN</t>
        </is>
      </c>
      <c r="G187" t="inlineStr">
        <is>
          <t>UDDEVALLA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46254</v>
      </c>
      <c r="F188" t="inlineStr">
        <is>
          <t>VÄSTRA GÖTALANDS LÄN</t>
        </is>
      </c>
      <c r="G188" t="inlineStr">
        <is>
          <t>UDDEVALLA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46254</v>
      </c>
      <c r="F189" t="inlineStr">
        <is>
          <t>VÄSTRA GÖTALANDS LÄN</t>
        </is>
      </c>
      <c r="G189" t="inlineStr">
        <is>
          <t>UDDEVALLA</t>
        </is>
      </c>
      <c r="I189" t="n">
        <v>11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46254</v>
      </c>
      <c r="F190" t="inlineStr">
        <is>
          <t>VÄSTRA GÖTALANDS LÄN</t>
        </is>
      </c>
      <c r="G190" t="inlineStr">
        <is>
          <t>UDDEVALLA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46254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51747-2025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45950</v>
      </c>
      <c r="E192" s="1" t="n">
        <v>46254</v>
      </c>
      <c r="F192" t="inlineStr">
        <is>
          <t>VÄSTRA GÖTALANDS LÄN</t>
        </is>
      </c>
      <c r="G192" t="inlineStr">
        <is>
          <t>UDDEVALLA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46254</v>
      </c>
      <c r="F193" t="inlineStr">
        <is>
          <t>VÄSTRA GÖTALANDS LÄN</t>
        </is>
      </c>
      <c r="G193" t="inlineStr">
        <is>
          <t>UDDEVALLA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45133</v>
      </c>
      <c r="E194" s="1" t="n">
        <v>46254</v>
      </c>
      <c r="F194" t="inlineStr">
        <is>
          <t>VÄSTRA GÖTALANDS LÄN</t>
        </is>
      </c>
      <c r="G194" t="inlineStr">
        <is>
          <t>UDDEVALLA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8893-2024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45355</v>
      </c>
      <c r="E195" s="1" t="n">
        <v>46254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46254</v>
      </c>
      <c r="F196" t="inlineStr">
        <is>
          <t>VÄSTRA GÖTALANDS LÄN</t>
        </is>
      </c>
      <c r="G196" t="inlineStr">
        <is>
          <t>UDDEVALLA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44578</v>
      </c>
      <c r="E197" s="1" t="n">
        <v>46254</v>
      </c>
      <c r="F197" t="inlineStr">
        <is>
          <t>VÄSTRA GÖTALANDS LÄN</t>
        </is>
      </c>
      <c r="G197" t="inlineStr">
        <is>
          <t>UDDEVALLA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46254</v>
      </c>
      <c r="F198" t="inlineStr">
        <is>
          <t>VÄSTRA GÖTALANDS LÄN</t>
        </is>
      </c>
      <c r="G198" t="inlineStr">
        <is>
          <t>UDDEVALLA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46254</v>
      </c>
      <c r="F199" t="inlineStr">
        <is>
          <t>VÄSTRA GÖTALANDS LÄN</t>
        </is>
      </c>
      <c r="G199" t="inlineStr">
        <is>
          <t>UDDEVALLA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46254</v>
      </c>
      <c r="F200" t="inlineStr">
        <is>
          <t>VÄSTRA GÖTALANDS LÄN</t>
        </is>
      </c>
      <c r="G200" t="inlineStr">
        <is>
          <t>UDDEVALLA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45975</v>
      </c>
      <c r="E201" s="1" t="n">
        <v>46254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45097</v>
      </c>
      <c r="E202" s="1" t="n">
        <v>46254</v>
      </c>
      <c r="F202" t="inlineStr">
        <is>
          <t>VÄSTRA GÖTALANDS LÄN</t>
        </is>
      </c>
      <c r="G202" t="inlineStr">
        <is>
          <t>UDDEVALLA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46254</v>
      </c>
      <c r="F203" t="inlineStr">
        <is>
          <t>VÄSTRA GÖTALANDS LÄN</t>
        </is>
      </c>
      <c r="G203" t="inlineStr">
        <is>
          <t>UDDEVALLA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46254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46254</v>
      </c>
      <c r="F205" t="inlineStr">
        <is>
          <t>VÄSTRA GÖTALANDS LÄN</t>
        </is>
      </c>
      <c r="G205" t="inlineStr">
        <is>
          <t>UDDEVALLA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46254</v>
      </c>
      <c r="F206" t="inlineStr">
        <is>
          <t>VÄSTRA GÖTALANDS LÄN</t>
        </is>
      </c>
      <c r="G206" t="inlineStr">
        <is>
          <t>UDDEVALLA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46254</v>
      </c>
      <c r="F207" t="inlineStr">
        <is>
          <t>VÄSTRA GÖTALANDS LÄN</t>
        </is>
      </c>
      <c r="G207" t="inlineStr">
        <is>
          <t>UDDEVALLA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46254</v>
      </c>
      <c r="F208" t="inlineStr">
        <is>
          <t>VÄSTRA GÖTALANDS LÄN</t>
        </is>
      </c>
      <c r="G208" t="inlineStr">
        <is>
          <t>UDDEVALLA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46254</v>
      </c>
      <c r="F209" t="inlineStr">
        <is>
          <t>VÄSTRA GÖTALANDS LÄN</t>
        </is>
      </c>
      <c r="G209" t="inlineStr">
        <is>
          <t>UDDEVALLA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46254</v>
      </c>
      <c r="F210" t="inlineStr">
        <is>
          <t>VÄSTRA GÖTALANDS LÄN</t>
        </is>
      </c>
      <c r="G210" t="inlineStr">
        <is>
          <t>UDDEVALLA</t>
        </is>
      </c>
      <c r="H210" t="inlineStr">
        <is>
          <t>Kommuner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46254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46254</v>
      </c>
      <c r="F212" t="inlineStr">
        <is>
          <t>VÄSTRA GÖTALANDS LÄN</t>
        </is>
      </c>
      <c r="G212" t="inlineStr">
        <is>
          <t>UDDEVALLA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46211</v>
      </c>
      <c r="E213" s="1" t="n">
        <v>46254</v>
      </c>
      <c r="F213" t="inlineStr">
        <is>
          <t>VÄSTRA GÖTALANDS LÄN</t>
        </is>
      </c>
      <c r="G213" t="inlineStr">
        <is>
          <t>UDDEVALLA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46254</v>
      </c>
      <c r="F214" t="inlineStr">
        <is>
          <t>VÄSTRA GÖTALANDS LÄN</t>
        </is>
      </c>
      <c r="G214" t="inlineStr">
        <is>
          <t>UDDEVALLA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46254</v>
      </c>
      <c r="F215" t="inlineStr">
        <is>
          <t>VÄSTRA GÖTALANDS LÄN</t>
        </is>
      </c>
      <c r="G215" t="inlineStr">
        <is>
          <t>UDDEVALLA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46254</v>
      </c>
      <c r="F216" t="inlineStr">
        <is>
          <t>VÄSTRA GÖTALANDS LÄN</t>
        </is>
      </c>
      <c r="G216" t="inlineStr">
        <is>
          <t>UDDEVALLA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45517</v>
      </c>
      <c r="E217" s="1" t="n">
        <v>46254</v>
      </c>
      <c r="F217" t="inlineStr">
        <is>
          <t>VÄSTRA GÖTALANDS LÄN</t>
        </is>
      </c>
      <c r="G217" t="inlineStr">
        <is>
          <t>UDDEVALLA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44733</v>
      </c>
      <c r="E218" s="1" t="n">
        <v>46254</v>
      </c>
      <c r="F218" t="inlineStr">
        <is>
          <t>VÄSTRA GÖTALANDS LÄN</t>
        </is>
      </c>
      <c r="G218" t="inlineStr">
        <is>
          <t>UDDEVALLA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46254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46254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46254</v>
      </c>
      <c r="F221" t="inlineStr">
        <is>
          <t>VÄSTRA GÖTALANDS LÄN</t>
        </is>
      </c>
      <c r="G221" t="inlineStr">
        <is>
          <t>UDDEVALLA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63878-2021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46254</v>
      </c>
      <c r="F222" t="inlineStr">
        <is>
          <t>VÄSTRA GÖTALANDS LÄN</t>
        </is>
      </c>
      <c r="G222" t="inlineStr">
        <is>
          <t>UDDEVALLA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46254</v>
      </c>
      <c r="F223" t="inlineStr">
        <is>
          <t>VÄSTRA GÖTALANDS LÄN</t>
        </is>
      </c>
      <c r="G223" t="inlineStr">
        <is>
          <t>UDDEVALLA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46254</v>
      </c>
      <c r="F224" t="inlineStr">
        <is>
          <t>VÄSTRA GÖTALANDS LÄN</t>
        </is>
      </c>
      <c r="G224" t="inlineStr">
        <is>
          <t>UDDEVALLA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46254</v>
      </c>
      <c r="F225" t="inlineStr">
        <is>
          <t>VÄSTRA GÖTALANDS LÄN</t>
        </is>
      </c>
      <c r="G225" t="inlineStr">
        <is>
          <t>UDDEVALLA</t>
        </is>
      </c>
      <c r="I225" t="n">
        <v>9.6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46254</v>
      </c>
      <c r="F226" t="inlineStr">
        <is>
          <t>VÄSTRA GÖTALANDS LÄN</t>
        </is>
      </c>
      <c r="G226" t="inlineStr">
        <is>
          <t>UDDEVALLA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46254</v>
      </c>
      <c r="F227" t="inlineStr">
        <is>
          <t>VÄSTRA GÖTALANDS LÄN</t>
        </is>
      </c>
      <c r="G227" t="inlineStr">
        <is>
          <t>UDDEVALLA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46254</v>
      </c>
      <c r="F228" t="inlineStr">
        <is>
          <t>VÄSTRA GÖTALANDS LÄN</t>
        </is>
      </c>
      <c r="G228" t="inlineStr">
        <is>
          <t>UDDEVALLA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46254</v>
      </c>
      <c r="F229" t="inlineStr">
        <is>
          <t>VÄSTRA GÖTALANDS LÄN</t>
        </is>
      </c>
      <c r="G229" t="inlineStr">
        <is>
          <t>UDDEVALLA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46254</v>
      </c>
      <c r="F230" t="inlineStr">
        <is>
          <t>VÄSTRA GÖTALANDS LÄN</t>
        </is>
      </c>
      <c r="G230" t="inlineStr">
        <is>
          <t>UDDEVALLA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46254</v>
      </c>
      <c r="F231" t="inlineStr">
        <is>
          <t>VÄSTRA GÖTALANDS LÄN</t>
        </is>
      </c>
      <c r="G231" t="inlineStr">
        <is>
          <t>UDDEVALLA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46254</v>
      </c>
      <c r="F232" t="inlineStr">
        <is>
          <t>VÄSTRA GÖTALANDS LÄN</t>
        </is>
      </c>
      <c r="G232" t="inlineStr">
        <is>
          <t>UDDEVALLA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45035</v>
      </c>
      <c r="E233" s="1" t="n">
        <v>46254</v>
      </c>
      <c r="F233" t="inlineStr">
        <is>
          <t>VÄSTRA GÖTALANDS LÄN</t>
        </is>
      </c>
      <c r="G233" t="inlineStr">
        <is>
          <t>UDDEVALLA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46254</v>
      </c>
      <c r="F234" t="inlineStr">
        <is>
          <t>VÄSTRA GÖTALANDS LÄN</t>
        </is>
      </c>
      <c r="G234" t="inlineStr">
        <is>
          <t>UDDEVALLA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46254</v>
      </c>
      <c r="F235" t="inlineStr">
        <is>
          <t>VÄSTRA GÖTALANDS LÄN</t>
        </is>
      </c>
      <c r="G235" t="inlineStr">
        <is>
          <t>UDDEVALLA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45251</v>
      </c>
      <c r="E236" s="1" t="n">
        <v>46254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46254</v>
      </c>
      <c r="F237" t="inlineStr">
        <is>
          <t>VÄSTRA GÖTALANDS LÄN</t>
        </is>
      </c>
      <c r="G237" t="inlineStr">
        <is>
          <t>UDDEVALLA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46254</v>
      </c>
      <c r="F238" t="inlineStr">
        <is>
          <t>VÄSTRA GÖTALANDS LÄN</t>
        </is>
      </c>
      <c r="G238" t="inlineStr">
        <is>
          <t>UDDEVALLA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17058-2025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45754</v>
      </c>
      <c r="E239" s="1" t="n">
        <v>46254</v>
      </c>
      <c r="F239" t="inlineStr">
        <is>
          <t>VÄSTRA GÖTALANDS LÄN</t>
        </is>
      </c>
      <c r="G239" t="inlineStr">
        <is>
          <t>UDDEVALLA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58625-2024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45635</v>
      </c>
      <c r="E240" s="1" t="n">
        <v>46254</v>
      </c>
      <c r="F240" t="inlineStr">
        <is>
          <t>VÄSTRA GÖTALANDS LÄN</t>
        </is>
      </c>
      <c r="G240" t="inlineStr">
        <is>
          <t>UDDEVALLA</t>
        </is>
      </c>
      <c r="I240" t="n">
        <v>14.9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46254</v>
      </c>
      <c r="F241" t="inlineStr">
        <is>
          <t>VÄSTRA GÖTALANDS LÄN</t>
        </is>
      </c>
      <c r="G241" t="inlineStr">
        <is>
          <t>UDDEVALLA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39088-2022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44817</v>
      </c>
      <c r="E242" s="1" t="n">
        <v>46254</v>
      </c>
      <c r="F242" t="inlineStr">
        <is>
          <t>VÄSTRA GÖTALANDS LÄN</t>
        </is>
      </c>
      <c r="G242" t="inlineStr">
        <is>
          <t>UDDEVALLA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46254</v>
      </c>
      <c r="F243" t="inlineStr">
        <is>
          <t>VÄSTRA GÖTALANDS LÄN</t>
        </is>
      </c>
      <c r="G243" t="inlineStr">
        <is>
          <t>UDDEVALLA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46254</v>
      </c>
      <c r="F244" t="inlineStr">
        <is>
          <t>VÄSTRA GÖTALANDS LÄN</t>
        </is>
      </c>
      <c r="G244" t="inlineStr">
        <is>
          <t>UDDEVALLA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39621-2023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46254</v>
      </c>
      <c r="F245" t="inlineStr">
        <is>
          <t>VÄSTRA GÖTALANDS LÄN</t>
        </is>
      </c>
      <c r="G245" t="inlineStr">
        <is>
          <t>UDDEVALLA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45251</v>
      </c>
      <c r="E246" s="1" t="n">
        <v>46254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44935</v>
      </c>
      <c r="E247" s="1" t="n">
        <v>46254</v>
      </c>
      <c r="F247" t="inlineStr">
        <is>
          <t>VÄSTRA GÖTALANDS LÄN</t>
        </is>
      </c>
      <c r="G247" t="inlineStr">
        <is>
          <t>UDDEVALLA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46254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46254</v>
      </c>
      <c r="F249" t="inlineStr">
        <is>
          <t>VÄSTRA GÖTALANDS LÄN</t>
        </is>
      </c>
      <c r="G249" t="inlineStr">
        <is>
          <t>UDDEVALLA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46254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46254</v>
      </c>
      <c r="F251" t="inlineStr">
        <is>
          <t>VÄSTRA GÖTALANDS LÄN</t>
        </is>
      </c>
      <c r="G251" t="inlineStr">
        <is>
          <t>UDDEVALLA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46254</v>
      </c>
      <c r="F252" t="inlineStr">
        <is>
          <t>VÄSTRA GÖTALANDS LÄN</t>
        </is>
      </c>
      <c r="G252" t="inlineStr">
        <is>
          <t>UDDEVALLA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9797-2023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44984</v>
      </c>
      <c r="E253" s="1" t="n">
        <v>46254</v>
      </c>
      <c r="F253" t="inlineStr">
        <is>
          <t>VÄSTRA GÖTALANDS LÄN</t>
        </is>
      </c>
      <c r="G253" t="inlineStr">
        <is>
          <t>UDDEVALLA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46254</v>
      </c>
      <c r="F254" t="inlineStr">
        <is>
          <t>VÄSTRA GÖTALANDS LÄN</t>
        </is>
      </c>
      <c r="G254" t="inlineStr">
        <is>
          <t>UDDEVALLA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10436-2026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46076</v>
      </c>
      <c r="E255" s="1" t="n">
        <v>46254</v>
      </c>
      <c r="F255" t="inlineStr">
        <is>
          <t>VÄSTRA GÖTALANDS LÄN</t>
        </is>
      </c>
      <c r="G255" t="inlineStr">
        <is>
          <t>UDDEVALLA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46254</v>
      </c>
      <c r="F256" t="inlineStr">
        <is>
          <t>VÄSTRA GÖTALANDS LÄN</t>
        </is>
      </c>
      <c r="G256" t="inlineStr">
        <is>
          <t>UDDEVALLA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46254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Kyrkan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46254</v>
      </c>
      <c r="F258" t="inlineStr">
        <is>
          <t>VÄSTRA GÖTALANDS LÄN</t>
        </is>
      </c>
      <c r="G258" t="inlineStr">
        <is>
          <t>UDDEVALLA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69198-2021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46254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45554</v>
      </c>
      <c r="E260" s="1" t="n">
        <v>46254</v>
      </c>
      <c r="F260" t="inlineStr">
        <is>
          <t>VÄSTRA GÖTALANDS LÄN</t>
        </is>
      </c>
      <c r="G260" t="inlineStr">
        <is>
          <t>UDDEVALLA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46254</v>
      </c>
      <c r="F261" t="inlineStr">
        <is>
          <t>VÄSTRA GÖTALANDS LÄN</t>
        </is>
      </c>
      <c r="G261" t="inlineStr">
        <is>
          <t>UDDEVALLA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46254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46254</v>
      </c>
      <c r="F263" t="inlineStr">
        <is>
          <t>VÄSTRA GÖTALANDS LÄN</t>
        </is>
      </c>
      <c r="G263" t="inlineStr">
        <is>
          <t>UDDEVALLA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46254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46254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46254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59674-2023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45255</v>
      </c>
      <c r="E267" s="1" t="n">
        <v>46254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46254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46254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46254</v>
      </c>
      <c r="F270" t="inlineStr">
        <is>
          <t>VÄSTRA GÖTALANDS LÄN</t>
        </is>
      </c>
      <c r="G270" t="inlineStr">
        <is>
          <t>UDDEVALLA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46254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46254</v>
      </c>
      <c r="F272" t="inlineStr">
        <is>
          <t>VÄSTRA GÖTALANDS LÄN</t>
        </is>
      </c>
      <c r="G272" t="inlineStr">
        <is>
          <t>UDDEVALLA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46254</v>
      </c>
      <c r="F273" t="inlineStr">
        <is>
          <t>VÄSTRA GÖTALANDS LÄN</t>
        </is>
      </c>
      <c r="G273" t="inlineStr">
        <is>
          <t>UDDEVALLA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45205</v>
      </c>
      <c r="E274" s="1" t="n">
        <v>46254</v>
      </c>
      <c r="F274" t="inlineStr">
        <is>
          <t>VÄSTRA GÖTALANDS LÄN</t>
        </is>
      </c>
      <c r="G274" t="inlineStr">
        <is>
          <t>UDDEVALLA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45426</v>
      </c>
      <c r="E275" s="1" t="n">
        <v>46254</v>
      </c>
      <c r="F275" t="inlineStr">
        <is>
          <t>VÄSTRA GÖTALANDS LÄN</t>
        </is>
      </c>
      <c r="G275" t="inlineStr">
        <is>
          <t>UDDEVALLA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46254</v>
      </c>
      <c r="F276" t="inlineStr">
        <is>
          <t>VÄSTRA GÖTALANDS LÄN</t>
        </is>
      </c>
      <c r="G276" t="inlineStr">
        <is>
          <t>UDDEVALLA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46254</v>
      </c>
      <c r="F277" t="inlineStr">
        <is>
          <t>VÄSTRA GÖTALANDS LÄN</t>
        </is>
      </c>
      <c r="G277" t="inlineStr">
        <is>
          <t>UDDEVALLA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44967</v>
      </c>
      <c r="E278" s="1" t="n">
        <v>46254</v>
      </c>
      <c r="F278" t="inlineStr">
        <is>
          <t>VÄSTRA GÖTALANDS LÄN</t>
        </is>
      </c>
      <c r="G278" t="inlineStr">
        <is>
          <t>UDDEVALLA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46254</v>
      </c>
      <c r="F279" t="inlineStr">
        <is>
          <t>VÄSTRA GÖTALANDS LÄN</t>
        </is>
      </c>
      <c r="G279" t="inlineStr">
        <is>
          <t>UDDEVALLA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44794</v>
      </c>
      <c r="E280" s="1" t="n">
        <v>46254</v>
      </c>
      <c r="F280" t="inlineStr">
        <is>
          <t>VÄSTRA GÖTALANDS LÄN</t>
        </is>
      </c>
      <c r="G280" t="inlineStr">
        <is>
          <t>UDDEVALLA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16819-2026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46113</v>
      </c>
      <c r="E281" s="1" t="n">
        <v>46254</v>
      </c>
      <c r="F281" t="inlineStr">
        <is>
          <t>VÄSTRA GÖTALANDS LÄN</t>
        </is>
      </c>
      <c r="G281" t="inlineStr">
        <is>
          <t>UDDEVALLA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46254</v>
      </c>
      <c r="F282" t="inlineStr">
        <is>
          <t>VÄSTRA GÖTALANDS LÄN</t>
        </is>
      </c>
      <c r="G282" t="inlineStr">
        <is>
          <t>UDDEVALLA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46254</v>
      </c>
      <c r="F283" t="inlineStr">
        <is>
          <t>VÄSTRA GÖTALANDS LÄN</t>
        </is>
      </c>
      <c r="G283" t="inlineStr">
        <is>
          <t>UDDEVALLA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46254</v>
      </c>
      <c r="F284" t="inlineStr">
        <is>
          <t>VÄSTRA GÖTALANDS LÄN</t>
        </is>
      </c>
      <c r="G284" t="inlineStr">
        <is>
          <t>UDDEVALLA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46254</v>
      </c>
      <c r="F285" t="inlineStr">
        <is>
          <t>VÄSTRA GÖTALANDS LÄN</t>
        </is>
      </c>
      <c r="G285" t="inlineStr">
        <is>
          <t>UDDEVALLA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46254</v>
      </c>
      <c r="F286" t="inlineStr">
        <is>
          <t>VÄSTRA GÖTALANDS LÄN</t>
        </is>
      </c>
      <c r="G286" t="inlineStr">
        <is>
          <t>UDDEVALLA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45197</v>
      </c>
      <c r="E287" s="1" t="n">
        <v>46254</v>
      </c>
      <c r="F287" t="inlineStr">
        <is>
          <t>VÄSTRA GÖTALANDS LÄN</t>
        </is>
      </c>
      <c r="G287" t="inlineStr">
        <is>
          <t>UDDEVALLA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44582</v>
      </c>
      <c r="E288" s="1" t="n">
        <v>46254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43170-2021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44431</v>
      </c>
      <c r="E289" s="1" t="n">
        <v>46254</v>
      </c>
      <c r="F289" t="inlineStr">
        <is>
          <t>VÄSTRA GÖTALANDS LÄN</t>
        </is>
      </c>
      <c r="G289" t="inlineStr">
        <is>
          <t>UDDEVALLA</t>
        </is>
      </c>
      <c r="I289" t="n">
        <v>13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46254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Kommuner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46254</v>
      </c>
      <c r="F291" t="inlineStr">
        <is>
          <t>VÄSTRA GÖTALANDS LÄN</t>
        </is>
      </c>
      <c r="G291" t="inlineStr">
        <is>
          <t>UDDEVALLA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18207-2026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46254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45387</v>
      </c>
      <c r="E293" s="1" t="n">
        <v>46254</v>
      </c>
      <c r="F293" t="inlineStr">
        <is>
          <t>VÄSTRA GÖTALANDS LÄN</t>
        </is>
      </c>
      <c r="G293" t="inlineStr">
        <is>
          <t>UDDEVALLA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46254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46254</v>
      </c>
      <c r="F295" t="inlineStr">
        <is>
          <t>VÄSTRA GÖTALANDS LÄN</t>
        </is>
      </c>
      <c r="G295" t="inlineStr">
        <is>
          <t>UDDEVALLA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46254</v>
      </c>
      <c r="F296" t="inlineStr">
        <is>
          <t>VÄSTRA GÖTALANDS LÄN</t>
        </is>
      </c>
      <c r="G296" t="inlineStr">
        <is>
          <t>UDDEVALLA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46254</v>
      </c>
      <c r="F297" t="inlineStr">
        <is>
          <t>VÄSTRA GÖTALANDS LÄN</t>
        </is>
      </c>
      <c r="G297" t="inlineStr">
        <is>
          <t>UDDEVALLA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46128</v>
      </c>
      <c r="E298" s="1" t="n">
        <v>46254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46254</v>
      </c>
      <c r="F299" t="inlineStr">
        <is>
          <t>VÄSTRA GÖTALANDS LÄN</t>
        </is>
      </c>
      <c r="G299" t="inlineStr">
        <is>
          <t>UDDEVALLA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46254</v>
      </c>
      <c r="F300" t="inlineStr">
        <is>
          <t>VÄSTRA GÖTALANDS LÄN</t>
        </is>
      </c>
      <c r="G300" t="inlineStr">
        <is>
          <t>UDDEVALLA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44823</v>
      </c>
      <c r="E301" s="1" t="n">
        <v>46254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60819-2024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45644</v>
      </c>
      <c r="E302" s="1" t="n">
        <v>46254</v>
      </c>
      <c r="F302" t="inlineStr">
        <is>
          <t>VÄSTRA GÖTALANDS LÄN</t>
        </is>
      </c>
      <c r="G302" t="inlineStr">
        <is>
          <t>UDDEVALLA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46254</v>
      </c>
      <c r="F303" t="inlineStr">
        <is>
          <t>VÄSTRA GÖTALANDS LÄN</t>
        </is>
      </c>
      <c r="G303" t="inlineStr">
        <is>
          <t>UDDEVALLA</t>
        </is>
      </c>
      <c r="I303" t="n">
        <v>12.9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45059-2025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46254</v>
      </c>
      <c r="F304" t="inlineStr">
        <is>
          <t>VÄSTRA GÖTALANDS LÄN</t>
        </is>
      </c>
      <c r="G304" t="inlineStr">
        <is>
          <t>UDDEVALLA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46254</v>
      </c>
      <c r="F305" t="inlineStr">
        <is>
          <t>VÄSTRA GÖTALANDS LÄN</t>
        </is>
      </c>
      <c r="G305" t="inlineStr">
        <is>
          <t>UDDEVALLA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46254</v>
      </c>
      <c r="F306" t="inlineStr">
        <is>
          <t>VÄSTRA GÖTALANDS LÄN</t>
        </is>
      </c>
      <c r="G306" t="inlineStr">
        <is>
          <t>UDDEVALLA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46254</v>
      </c>
      <c r="F307" t="inlineStr">
        <is>
          <t>VÄSTRA GÖTALANDS LÄN</t>
        </is>
      </c>
      <c r="G307" t="inlineStr">
        <is>
          <t>UDDEVALLA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46254</v>
      </c>
      <c r="F308" t="inlineStr">
        <is>
          <t>VÄSTRA GÖTALANDS LÄN</t>
        </is>
      </c>
      <c r="G308" t="inlineStr">
        <is>
          <t>UDDEVALLA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45656</v>
      </c>
      <c r="E309" s="1" t="n">
        <v>46254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Kommuner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46254</v>
      </c>
      <c r="F310" t="inlineStr">
        <is>
          <t>VÄSTRA GÖTALANDS LÄN</t>
        </is>
      </c>
      <c r="G310" t="inlineStr">
        <is>
          <t>UDDEVALLA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46254</v>
      </c>
      <c r="F311" t="inlineStr">
        <is>
          <t>VÄSTRA GÖTALANDS LÄN</t>
        </is>
      </c>
      <c r="G311" t="inlineStr">
        <is>
          <t>UDDEVALLA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46254</v>
      </c>
      <c r="F312" t="inlineStr">
        <is>
          <t>VÄSTRA GÖTALANDS LÄN</t>
        </is>
      </c>
      <c r="G312" t="inlineStr">
        <is>
          <t>UDDEVALLA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46254</v>
      </c>
      <c r="F313" t="inlineStr">
        <is>
          <t>VÄSTRA GÖTALANDS LÄN</t>
        </is>
      </c>
      <c r="G313" t="inlineStr">
        <is>
          <t>UDDEVALLA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10684-2022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46254</v>
      </c>
      <c r="F314" t="inlineStr">
        <is>
          <t>VÄSTRA GÖTALANDS LÄN</t>
        </is>
      </c>
      <c r="G314" t="inlineStr">
        <is>
          <t>UDDEVALLA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45722</v>
      </c>
      <c r="E315" s="1" t="n">
        <v>46254</v>
      </c>
      <c r="F315" t="inlineStr">
        <is>
          <t>VÄSTRA GÖTALANDS LÄN</t>
        </is>
      </c>
      <c r="G315" t="inlineStr">
        <is>
          <t>UDDEVALLA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45551</v>
      </c>
      <c r="E316" s="1" t="n">
        <v>46254</v>
      </c>
      <c r="F316" t="inlineStr">
        <is>
          <t>VÄSTRA GÖTALANDS LÄN</t>
        </is>
      </c>
      <c r="G316" t="inlineStr">
        <is>
          <t>UDDEVALLA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45455</v>
      </c>
      <c r="E317" s="1" t="n">
        <v>46254</v>
      </c>
      <c r="F317" t="inlineStr">
        <is>
          <t>VÄSTRA GÖTALANDS LÄN</t>
        </is>
      </c>
      <c r="G317" t="inlineStr">
        <is>
          <t>UDDEVALLA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45723</v>
      </c>
      <c r="E318" s="1" t="n">
        <v>46254</v>
      </c>
      <c r="F318" t="inlineStr">
        <is>
          <t>VÄSTRA GÖTALANDS LÄN</t>
        </is>
      </c>
      <c r="G318" t="inlineStr">
        <is>
          <t>UDDEVALLA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46254</v>
      </c>
      <c r="F319" t="inlineStr">
        <is>
          <t>VÄSTRA GÖTALANDS LÄN</t>
        </is>
      </c>
      <c r="G319" t="inlineStr">
        <is>
          <t>UDDEVALLA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45826</v>
      </c>
      <c r="E320" s="1" t="n">
        <v>46254</v>
      </c>
      <c r="F320" t="inlineStr">
        <is>
          <t>VÄSTRA GÖTALANDS LÄN</t>
        </is>
      </c>
      <c r="G320" t="inlineStr">
        <is>
          <t>UDDEVALLA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46254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46254</v>
      </c>
      <c r="F322" t="inlineStr">
        <is>
          <t>VÄSTRA GÖTALANDS LÄN</t>
        </is>
      </c>
      <c r="G322" t="inlineStr">
        <is>
          <t>UDDEVALLA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45843</v>
      </c>
      <c r="E323" s="1" t="n">
        <v>46254</v>
      </c>
      <c r="F323" t="inlineStr">
        <is>
          <t>VÄSTRA GÖTALANDS LÄN</t>
        </is>
      </c>
      <c r="G323" t="inlineStr">
        <is>
          <t>UDDEVALLA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46254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46254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45455</v>
      </c>
      <c r="E326" s="1" t="n">
        <v>46254</v>
      </c>
      <c r="F326" t="inlineStr">
        <is>
          <t>VÄSTRA GÖTALANDS LÄN</t>
        </is>
      </c>
      <c r="G326" t="inlineStr">
        <is>
          <t>UDDEVALLA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46254</v>
      </c>
      <c r="F327" t="inlineStr">
        <is>
          <t>VÄSTRA GÖTALANDS LÄN</t>
        </is>
      </c>
      <c r="G327" t="inlineStr">
        <is>
          <t>UDDEVALLA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2115-2025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45672</v>
      </c>
      <c r="E328" s="1" t="n">
        <v>46254</v>
      </c>
      <c r="F328" t="inlineStr">
        <is>
          <t>VÄSTRA GÖTALANDS LÄN</t>
        </is>
      </c>
      <c r="G328" t="inlineStr">
        <is>
          <t>UDDEVALLA</t>
        </is>
      </c>
      <c r="I328" t="n">
        <v>14.1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46254</v>
      </c>
      <c r="F329" t="inlineStr">
        <is>
          <t>VÄSTRA GÖTALANDS LÄN</t>
        </is>
      </c>
      <c r="G329" t="inlineStr">
        <is>
          <t>UDDEVALLA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46254</v>
      </c>
      <c r="F330" t="inlineStr">
        <is>
          <t>VÄSTRA GÖTALANDS LÄN</t>
        </is>
      </c>
      <c r="G330" t="inlineStr">
        <is>
          <t>UDDEVALLA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46254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46254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46254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46254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2026-08-20T01:50:01Z</dcterms:created>
  <dcterms:modified xmlns:dcterms="http://purl.org/dc/terms/" xmlns:xsi="http://www.w3.org/2001/XMLSchema-instance" xsi:type="dcterms:W3CDTF">2026-08-20T01:50:01Z</dcterms:modified>
</cp:coreProperties>
</file>