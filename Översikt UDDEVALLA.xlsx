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46312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46312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46312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46312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46312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46312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46312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46312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46312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46312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46312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46312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46312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46312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46312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46312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46312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46312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3432-2024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45317</v>
      </c>
      <c r="E21" s="1" t="n">
        <v>46312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3.1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Klippfrullania
Västlig hakmossa</t>
        </is>
      </c>
      <c r="W21">
        <f>HYPERLINK("https://klasma.github.io/Logging_1485/artfynd/A 3432-2024 artfynd.xlsx", "A 3432-2024")</f>
        <v/>
      </c>
      <c r="X21">
        <f>HYPERLINK("https://klasma.github.io/Logging_1485/kartor/A 3432-2024 karta.png", "A 3432-2024")</f>
        <v/>
      </c>
      <c r="Y21">
        <f>HYPERLINK("https://klasma.github.io/Logging_1485/kartor_geotiff/A 3432-2024 georefererad karta.tif", "A 3432-2024")</f>
        <v/>
      </c>
      <c r="AA21">
        <f>HYPERLINK("https://klasma.github.io/Logging_1485/klagomål/A 3432-2024 FSC-klagomål.docx", "A 3432-2024")</f>
        <v/>
      </c>
      <c r="AB21">
        <f>HYPERLINK("https://klasma.github.io/Logging_1485/klagomålsmail/A 3432-2024 FSC-klagomål mail.docx", "A 3432-2024")</f>
        <v/>
      </c>
      <c r="AC21">
        <f>HYPERLINK("https://klasma.github.io/Logging_1485/tillsyn/A 3432-2024 tillsynsbegäran.docx", "A 3432-2024")</f>
        <v/>
      </c>
      <c r="AD21">
        <f>HYPERLINK("https://klasma.github.io/Logging_1485/tillsynsmail/A 3432-2024 tillsynsbegäran mail.docx", "A 3432-2024")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46312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51747-2025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45950</v>
      </c>
      <c r="E23" s="1" t="n">
        <v>46312</v>
      </c>
      <c r="F23" t="inlineStr">
        <is>
          <t>VÄSTRA GÖTALANDS LÄN</t>
        </is>
      </c>
      <c r="G23" t="inlineStr">
        <is>
          <t>UDDEVALLA</t>
        </is>
      </c>
      <c r="I23" t="n">
        <v>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Mattlummer
Äkta lopplummer</t>
        </is>
      </c>
      <c r="W23">
        <f>HYPERLINK("https://klasma.github.io/Logging_1485/artfynd/A 51747-2025 artfynd.xlsx", "A 51747-2025")</f>
        <v/>
      </c>
      <c r="X23">
        <f>HYPERLINK("https://klasma.github.io/Logging_1485/kartor/A 51747-2025 karta.png", "A 51747-2025")</f>
        <v/>
      </c>
      <c r="Y23">
        <f>HYPERLINK("https://klasma.github.io/Logging_1485/kartor_geotiff/A 51747-2025 georefererad karta.tif", "A 51747-2025")</f>
        <v/>
      </c>
      <c r="AA23">
        <f>HYPERLINK("https://klasma.github.io/Logging_1485/klagomål/A 51747-2025 FSC-klagomål.docx", "A 51747-2025")</f>
        <v/>
      </c>
      <c r="AB23">
        <f>HYPERLINK("https://klasma.github.io/Logging_1485/klagomålsmail/A 51747-2025 FSC-klagomål mail.docx", "A 51747-2025")</f>
        <v/>
      </c>
      <c r="AC23">
        <f>HYPERLINK("https://klasma.github.io/Logging_1485/tillsyn/A 51747-2025 tillsynsbegäran.docx", "A 51747-2025")</f>
        <v/>
      </c>
      <c r="AD23">
        <f>HYPERLINK("https://klasma.github.io/Logging_1485/tillsynsmail/A 51747-2025 tillsynsbegäran mail.docx", "A 51747-2025")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46312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32528-2024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46312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32528-2024 artfynd.xlsx", "A 32528-2024")</f>
        <v/>
      </c>
      <c r="X25">
        <f>HYPERLINK("https://klasma.github.io/Logging_1485/kartor/A 32528-2024 karta.png", "A 32528-2024")</f>
        <v/>
      </c>
      <c r="Y25">
        <f>HYPERLINK("https://klasma.github.io/Logging_1485/kartor_geotiff/A 32528-2024 georefererad karta.tif", "A 32528-2024")</f>
        <v/>
      </c>
      <c r="AA25">
        <f>HYPERLINK("https://klasma.github.io/Logging_1485/klagomål/A 32528-2024 FSC-klagomål.docx", "A 32528-2024")</f>
        <v/>
      </c>
      <c r="AB25">
        <f>HYPERLINK("https://klasma.github.io/Logging_1485/klagomålsmail/A 32528-2024 FSC-klagomål mail.docx", "A 32528-2024")</f>
        <v/>
      </c>
      <c r="AC25">
        <f>HYPERLINK("https://klasma.github.io/Logging_1485/tillsyn/A 32528-2024 tillsynsbegäran.docx", "A 32528-2024")</f>
        <v/>
      </c>
      <c r="AD25">
        <f>HYPERLINK("https://klasma.github.io/Logging_1485/tillsynsmail/A 32528-2024 tillsynsbegäran mail.docx", "A 32528-2024")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46312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41292-2022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46312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9.699999999999999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Ask
Entita</t>
        </is>
      </c>
      <c r="W27">
        <f>HYPERLINK("https://klasma.github.io/Logging_1485/artfynd/A 41292-2022 artfynd.xlsx", "A 41292-2022")</f>
        <v/>
      </c>
      <c r="X27">
        <f>HYPERLINK("https://klasma.github.io/Logging_1485/kartor/A 41292-2022 karta.png", "A 41292-2022")</f>
        <v/>
      </c>
      <c r="Y27">
        <f>HYPERLINK("https://klasma.github.io/Logging_1485/kartor_geotiff/A 41292-2022 georefererad karta.tif", "A 41292-2022")</f>
        <v/>
      </c>
      <c r="AA27">
        <f>HYPERLINK("https://klasma.github.io/Logging_1485/klagomål/A 41292-2022 FSC-klagomål.docx", "A 41292-2022")</f>
        <v/>
      </c>
      <c r="AB27">
        <f>HYPERLINK("https://klasma.github.io/Logging_1485/klagomålsmail/A 41292-2022 FSC-klagomål mail.docx", "A 41292-2022")</f>
        <v/>
      </c>
      <c r="AC27">
        <f>HYPERLINK("https://klasma.github.io/Logging_1485/tillsyn/A 41292-2022 tillsynsbegäran.docx", "A 41292-2022")</f>
        <v/>
      </c>
      <c r="AD27">
        <f>HYPERLINK("https://klasma.github.io/Logging_1485/tillsynsmail/A 41292-2022 tillsynsbegäran mail.docx", "A 41292-2022")</f>
        <v/>
      </c>
      <c r="AE27">
        <f>HYPERLINK("https://klasma.github.io/Logging_1485/fåglar/A 41292-2022 prioriterade fågelarter.docx", "A 41292-2022")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46312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46312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46312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46312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46312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34390-2026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46312</v>
      </c>
      <c r="F33" t="inlineStr">
        <is>
          <t>VÄSTRA GÖTALANDS LÄN</t>
        </is>
      </c>
      <c r="G33" t="inlineStr">
        <is>
          <t>UDDEVALLA</t>
        </is>
      </c>
      <c r="I33" t="n">
        <v>2.5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Större träfjäril</t>
        </is>
      </c>
      <c r="W33">
        <f>HYPERLINK("https://klasma.github.io/Logging_1485/artfynd/A 34390-2026 artfynd.xlsx", "A 34390-2026")</f>
        <v/>
      </c>
      <c r="X33">
        <f>HYPERLINK("https://klasma.github.io/Logging_1485/kartor/A 34390-2026 karta.png", "A 34390-2026")</f>
        <v/>
      </c>
      <c r="Y33">
        <f>HYPERLINK("https://klasma.github.io/Logging_1485/kartor_geotiff/A 34390-2026 georefererad karta.tif", "A 34390-2026")</f>
        <v/>
      </c>
      <c r="AA33">
        <f>HYPERLINK("https://klasma.github.io/Logging_1485/klagomål/A 34390-2026 FSC-klagomål.docx", "A 34390-2026")</f>
        <v/>
      </c>
      <c r="AB33">
        <f>HYPERLINK("https://klasma.github.io/Logging_1485/klagomålsmail/A 34390-2026 FSC-klagomål mail.docx", "A 34390-2026")</f>
        <v/>
      </c>
      <c r="AC33">
        <f>HYPERLINK("https://klasma.github.io/Logging_1485/tillsyn/A 34390-2026 tillsynsbegäran.docx", "A 34390-2026")</f>
        <v/>
      </c>
      <c r="AD33">
        <f>HYPERLINK("https://klasma.github.io/Logging_1485/tillsynsmail/A 34390-2026 tillsynsbegäran mail.docx", "A 34390-2026")</f>
        <v/>
      </c>
      <c r="AE33">
        <f>HYPERLINK("https://klasma.github.io/Logging_1485/fåglar/A 34390-2026 prioriterade fågelarter.docx", "A 34390-2026")</f>
        <v/>
      </c>
    </row>
    <row r="34" ht="15" customHeight="1">
      <c r="A34" t="inlineStr">
        <is>
          <t>A 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45653</v>
      </c>
      <c r="E34" s="1" t="n">
        <v>46312</v>
      </c>
      <c r="F34" t="inlineStr">
        <is>
          <t>VÄSTRA GÖTALANDS LÄN</t>
        </is>
      </c>
      <c r="G34" t="inlineStr">
        <is>
          <t>UDDEVALLA</t>
        </is>
      </c>
      <c r="I34" t="n">
        <v>3.4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Brunpudrad nållav
Blåmossa</t>
        </is>
      </c>
      <c r="W34">
        <f>HYPERLINK("https://klasma.github.io/Logging_1485/artfynd/A 266-2025 artfynd.xlsx", "A 266-2025")</f>
        <v/>
      </c>
      <c r="X34">
        <f>HYPERLINK("https://klasma.github.io/Logging_1485/kartor/A 266-2025 karta.png", "A 266-2025")</f>
        <v/>
      </c>
      <c r="Y34">
        <f>HYPERLINK("https://klasma.github.io/Logging_1485/kartor_geotiff/A 266-2025 georefererad karta.tif", "A 266-2025")</f>
        <v/>
      </c>
      <c r="AA34">
        <f>HYPERLINK("https://klasma.github.io/Logging_1485/klagomål/A 266-2025 FSC-klagomål.docx", "A 266-2025")</f>
        <v/>
      </c>
      <c r="AB34">
        <f>HYPERLINK("https://klasma.github.io/Logging_1485/klagomålsmail/A 266-2025 FSC-klagomål mail.docx", "A 266-2025")</f>
        <v/>
      </c>
      <c r="AC34">
        <f>HYPERLINK("https://klasma.github.io/Logging_1485/tillsyn/A 266-2025 tillsynsbegäran.docx", "A 266-2025")</f>
        <v/>
      </c>
      <c r="AD34">
        <f>HYPERLINK("https://klasma.github.io/Logging_1485/tillsynsmail/A 266-2025 tillsynsbegäran mail.docx", "A 266-2025")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46312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46312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46312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46312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46312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46312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46312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46312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46312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46312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46312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46312</v>
      </c>
      <c r="F46" t="inlineStr">
        <is>
          <t>VÄSTRA GÖTALANDS LÄN</t>
        </is>
      </c>
      <c r="G46" t="inlineStr">
        <is>
          <t>UDDEVALLA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Kopparödla</t>
        </is>
      </c>
      <c r="W46">
        <f>HYPERLINK("https://klasma.github.io/Logging_1485/artfynd/A 29691-2023 artfynd.xlsx", "A 29691-2023")</f>
        <v/>
      </c>
      <c r="X46">
        <f>HYPERLINK("https://klasma.github.io/Logging_1485/kartor/A 29691-2023 karta.png", "A 29691-2023")</f>
        <v/>
      </c>
      <c r="Y46">
        <f>HYPERLINK("https://klasma.github.io/Logging_1485/kartor_geotiff/A 29691-2023 georefererad karta.tif", "A 29691-2023")</f>
        <v/>
      </c>
      <c r="AA46">
        <f>HYPERLINK("https://klasma.github.io/Logging_1485/klagomål/A 29691-2023 FSC-klagomål.docx", "A 29691-2023")</f>
        <v/>
      </c>
      <c r="AB46">
        <f>HYPERLINK("https://klasma.github.io/Logging_1485/klagomålsmail/A 29691-2023 FSC-klagomål mail.docx", "A 29691-2023")</f>
        <v/>
      </c>
      <c r="AC46">
        <f>HYPERLINK("https://klasma.github.io/Logging_1485/tillsyn/A 29691-2023 tillsynsbegäran.docx", "A 29691-2023")</f>
        <v/>
      </c>
      <c r="AD46">
        <f>HYPERLINK("https://klasma.github.io/Logging_1485/tillsynsmail/A 29691-2023 tillsynsbegäran mail.docx", "A 29691-2023")</f>
        <v/>
      </c>
    </row>
    <row r="47" ht="15" customHeight="1">
      <c r="A47" t="inlineStr">
        <is>
          <t>A 7770-2024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46312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6.2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HYPERLINK("https://klasma.github.io/Logging_1485/artfynd/A 7770-2024 artfynd.xlsx", "A 7770-2024")</f>
        <v/>
      </c>
      <c r="X47">
        <f>HYPERLINK("https://klasma.github.io/Logging_1485/kartor/A 7770-2024 karta.png", "A 7770-2024")</f>
        <v/>
      </c>
      <c r="Y47">
        <f>HYPERLINK("https://klasma.github.io/Logging_1485/kartor_geotiff/A 7770-2024 georefererad karta.tif", "A 7770-2024")</f>
        <v/>
      </c>
      <c r="AA47">
        <f>HYPERLINK("https://klasma.github.io/Logging_1485/klagomål/A 7770-2024 FSC-klagomål.docx", "A 7770-2024")</f>
        <v/>
      </c>
      <c r="AB47">
        <f>HYPERLINK("https://klasma.github.io/Logging_1485/klagomålsmail/A 7770-2024 FSC-klagomål mail.docx", "A 7770-2024")</f>
        <v/>
      </c>
      <c r="AC47">
        <f>HYPERLINK("https://klasma.github.io/Logging_1485/tillsyn/A 7770-2024 tillsynsbegäran.docx", "A 7770-2024")</f>
        <v/>
      </c>
      <c r="AD47">
        <f>HYPERLINK("https://klasma.github.io/Logging_1485/tillsynsmail/A 7770-2024 tillsynsbegäran mail.docx", "A 7770-2024")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46312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46312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46312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42008-2026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46303</v>
      </c>
      <c r="E51" s="1" t="n">
        <v>46312</v>
      </c>
      <c r="F51" t="inlineStr">
        <is>
          <t>VÄSTRA GÖTALANDS LÄN</t>
        </is>
      </c>
      <c r="G51" t="inlineStr">
        <is>
          <t>UDDEVALLA</t>
        </is>
      </c>
      <c r="I51" t="n">
        <v>12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42008-2026 artfynd.xlsx", "A 42008-2026")</f>
        <v/>
      </c>
      <c r="X51">
        <f>HYPERLINK("https://klasma.github.io/Logging_1485/kartor/A 42008-2026 karta.png", "A 42008-2026")</f>
        <v/>
      </c>
      <c r="Y51">
        <f>HYPERLINK("https://klasma.github.io/Logging_1485/kartor_geotiff/A 42008-2026 georefererad karta.tif", "A 42008-2026")</f>
        <v/>
      </c>
      <c r="AA51">
        <f>HYPERLINK("https://klasma.github.io/Logging_1485/klagomål/A 42008-2026 FSC-klagomål.docx", "A 42008-2026")</f>
        <v/>
      </c>
      <c r="AB51">
        <f>HYPERLINK("https://klasma.github.io/Logging_1485/klagomålsmail/A 42008-2026 FSC-klagomål mail.docx", "A 42008-2026")</f>
        <v/>
      </c>
      <c r="AC51">
        <f>HYPERLINK("https://klasma.github.io/Logging_1485/tillsyn/A 42008-2026 tillsynsbegäran.docx", "A 42008-2026")</f>
        <v/>
      </c>
      <c r="AD51">
        <f>HYPERLINK("https://klasma.github.io/Logging_1485/tillsynsmail/A 42008-2026 tillsynsbegäran mail.docx", "A 42008-2026")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46312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A 23322-2025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46312</v>
      </c>
      <c r="F53" t="inlineStr">
        <is>
          <t>VÄSTRA GÖTALANDS LÄN</t>
        </is>
      </c>
      <c r="G53" t="inlineStr">
        <is>
          <t>UDDEVALLA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Kungsörn</t>
        </is>
      </c>
      <c r="W53">
        <f>HYPERLINK("https://klasma.github.io/Logging_1485/artfynd/A 23322-2025 artfynd.xlsx", "A 23322-2025")</f>
        <v/>
      </c>
      <c r="X53">
        <f>HYPERLINK("https://klasma.github.io/Logging_1485/kartor/A 23322-2025 karta.png", "A 23322-2025")</f>
        <v/>
      </c>
      <c r="Y53">
        <f>HYPERLINK("https://klasma.github.io/Logging_1485/kartor_geotiff/A 23322-2025 georefererad karta.tif", "A 23322-2025")</f>
        <v/>
      </c>
      <c r="AA53">
        <f>HYPERLINK("https://klasma.github.io/Logging_1485/klagomål/A 23322-2025 FSC-klagomål.docx", "A 23322-2025")</f>
        <v/>
      </c>
      <c r="AB53">
        <f>HYPERLINK("https://klasma.github.io/Logging_1485/klagomålsmail/A 23322-2025 FSC-klagomål mail.docx", "A 23322-2025")</f>
        <v/>
      </c>
      <c r="AC53">
        <f>HYPERLINK("https://klasma.github.io/Logging_1485/tillsyn/A 23322-2025 tillsynsbegäran.docx", "A 23322-2025")</f>
        <v/>
      </c>
      <c r="AD53">
        <f>HYPERLINK("https://klasma.github.io/Logging_1485/tillsynsmail/A 23322-2025 tillsynsbegäran mail.docx", "A 23322-2025")</f>
        <v/>
      </c>
      <c r="AE53">
        <f>HYPERLINK("https://klasma.github.io/Logging_1485/fåglar/A 23322-2025 prioriterade fågelarter.docx", "A 23322-2025")</f>
        <v/>
      </c>
    </row>
    <row r="54" ht="15" customHeight="1">
      <c r="A54" t="inlineStr">
        <is>
          <t>A 30954-2025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46312</v>
      </c>
      <c r="F54" t="inlineStr">
        <is>
          <t>VÄSTRA GÖTALANDS LÄN</t>
        </is>
      </c>
      <c r="G54" t="inlineStr">
        <is>
          <t>UDDEVALLA</t>
        </is>
      </c>
      <c r="I54" t="n">
        <v>11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HYPERLINK("https://klasma.github.io/Logging_1485/artfynd/A 30954-2025 artfynd.xlsx", "A 30954-2025")</f>
        <v/>
      </c>
      <c r="X54">
        <f>HYPERLINK("https://klasma.github.io/Logging_1485/kartor/A 30954-2025 karta.png", "A 30954-2025")</f>
        <v/>
      </c>
      <c r="Y54">
        <f>HYPERLINK("https://klasma.github.io/Logging_1485/kartor_geotiff/A 30954-2025 georefererad karta.tif", "A 30954-2025")</f>
        <v/>
      </c>
      <c r="AA54">
        <f>HYPERLINK("https://klasma.github.io/Logging_1485/klagomål/A 30954-2025 FSC-klagomål.docx", "A 30954-2025")</f>
        <v/>
      </c>
      <c r="AB54">
        <f>HYPERLINK("https://klasma.github.io/Logging_1485/klagomålsmail/A 30954-2025 FSC-klagomål mail.docx", "A 30954-2025")</f>
        <v/>
      </c>
      <c r="AC54">
        <f>HYPERLINK("https://klasma.github.io/Logging_1485/tillsyn/A 30954-2025 tillsynsbegäran.docx", "A 30954-2025")</f>
        <v/>
      </c>
      <c r="AD54">
        <f>HYPERLINK("https://klasma.github.io/Logging_1485/tillsynsmail/A 30954-2025 tillsynsbegäran mail.docx", "A 30954-2025")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46312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41964-2022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46312</v>
      </c>
      <c r="F56" t="inlineStr">
        <is>
          <t>VÄSTRA GÖTALANDS LÄN</t>
        </is>
      </c>
      <c r="G56" t="inlineStr">
        <is>
          <t>UDDEVALLA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46312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46312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46312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46312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46312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46312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46312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46312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46312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46312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46312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46312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46312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46312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46312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45633</v>
      </c>
      <c r="E72" s="1" t="n">
        <v>46312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46312</v>
      </c>
      <c r="F73" t="inlineStr">
        <is>
          <t>VÄSTRA GÖTALANDS LÄN</t>
        </is>
      </c>
      <c r="G73" t="inlineStr">
        <is>
          <t>UDDEVALLA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46312</v>
      </c>
      <c r="F74" t="inlineStr">
        <is>
          <t>VÄSTRA GÖTALANDS LÄN</t>
        </is>
      </c>
      <c r="G74" t="inlineStr">
        <is>
          <t>UDDEVALLA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46312</v>
      </c>
      <c r="F75" t="inlineStr">
        <is>
          <t>VÄSTRA GÖTALANDS LÄN</t>
        </is>
      </c>
      <c r="G75" t="inlineStr">
        <is>
          <t>UDDEVALLA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46312</v>
      </c>
      <c r="F76" t="inlineStr">
        <is>
          <t>VÄSTRA GÖTALANDS LÄN</t>
        </is>
      </c>
      <c r="G76" t="inlineStr">
        <is>
          <t>UDDEVALLA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46312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46312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46312</v>
      </c>
      <c r="F79" t="inlineStr">
        <is>
          <t>VÄSTRA GÖTALANDS LÄN</t>
        </is>
      </c>
      <c r="G79" t="inlineStr">
        <is>
          <t>UDDEVALLA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46312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46312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46312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46312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46312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46312</v>
      </c>
      <c r="F85" t="inlineStr">
        <is>
          <t>VÄSTRA GÖTALANDS LÄN</t>
        </is>
      </c>
      <c r="G85" t="inlineStr">
        <is>
          <t>UDDEVALLA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46312</v>
      </c>
      <c r="F86" t="inlineStr">
        <is>
          <t>VÄSTRA GÖTALANDS LÄN</t>
        </is>
      </c>
      <c r="G86" t="inlineStr">
        <is>
          <t>UDDEVALLA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46312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46312</v>
      </c>
      <c r="F88" t="inlineStr">
        <is>
          <t>VÄSTRA GÖTALANDS LÄN</t>
        </is>
      </c>
      <c r="G88" t="inlineStr">
        <is>
          <t>UDDEVALLA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46312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46312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46312</v>
      </c>
      <c r="F91" t="inlineStr">
        <is>
          <t>VÄSTRA GÖTALANDS LÄN</t>
        </is>
      </c>
      <c r="G91" t="inlineStr">
        <is>
          <t>UDDEVALLA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46312</v>
      </c>
      <c r="F92" t="inlineStr">
        <is>
          <t>VÄSTRA GÖTALANDS LÄN</t>
        </is>
      </c>
      <c r="G92" t="inlineStr">
        <is>
          <t>UDDEVALLA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44572</v>
      </c>
      <c r="E93" s="1" t="n">
        <v>46312</v>
      </c>
      <c r="F93" t="inlineStr">
        <is>
          <t>VÄSTRA GÖTALANDS LÄN</t>
        </is>
      </c>
      <c r="G93" t="inlineStr">
        <is>
          <t>UDDEVALLA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46312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4639-2022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44592</v>
      </c>
      <c r="E95" s="1" t="n">
        <v>46312</v>
      </c>
      <c r="F95" t="inlineStr">
        <is>
          <t>VÄSTRA GÖTALANDS LÄN</t>
        </is>
      </c>
      <c r="G95" t="inlineStr">
        <is>
          <t>UDDEVALLA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46312</v>
      </c>
      <c r="F96" t="inlineStr">
        <is>
          <t>VÄSTRA GÖTALANDS LÄN</t>
        </is>
      </c>
      <c r="G96" t="inlineStr">
        <is>
          <t>UDDEVALLA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45426</v>
      </c>
      <c r="E97" s="1" t="n">
        <v>46312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46312</v>
      </c>
      <c r="F98" t="inlineStr">
        <is>
          <t>VÄSTRA GÖTALANDS LÄN</t>
        </is>
      </c>
      <c r="G98" t="inlineStr">
        <is>
          <t>UDDEVALLA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46312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46312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46312</v>
      </c>
      <c r="F101" t="inlineStr">
        <is>
          <t>VÄSTRA GÖTALANDS LÄN</t>
        </is>
      </c>
      <c r="G101" t="inlineStr">
        <is>
          <t>UDDEVALLA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46312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46312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58958-2021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44489</v>
      </c>
      <c r="E104" s="1" t="n">
        <v>46312</v>
      </c>
      <c r="F104" t="inlineStr">
        <is>
          <t>VÄSTRA GÖTALANDS LÄN</t>
        </is>
      </c>
      <c r="G104" t="inlineStr">
        <is>
          <t>UDDEVALLA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46312</v>
      </c>
      <c r="F105" t="inlineStr">
        <is>
          <t>VÄSTRA GÖTALANDS LÄN</t>
        </is>
      </c>
      <c r="G105" t="inlineStr">
        <is>
          <t>UDDEVALLA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46312</v>
      </c>
      <c r="F106" t="inlineStr">
        <is>
          <t>VÄSTRA GÖTALANDS LÄN</t>
        </is>
      </c>
      <c r="G106" t="inlineStr">
        <is>
          <t>UDDEVALLA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45150</v>
      </c>
      <c r="E107" s="1" t="n">
        <v>46312</v>
      </c>
      <c r="F107" t="inlineStr">
        <is>
          <t>VÄSTRA GÖTALANDS LÄN</t>
        </is>
      </c>
      <c r="G107" t="inlineStr">
        <is>
          <t>UDDEVALLA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46312</v>
      </c>
      <c r="F108" t="inlineStr">
        <is>
          <t>VÄSTRA GÖTALANDS LÄN</t>
        </is>
      </c>
      <c r="G108" t="inlineStr">
        <is>
          <t>UDDEVALLA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46312</v>
      </c>
      <c r="F109" t="inlineStr">
        <is>
          <t>VÄSTRA GÖTALANDS LÄN</t>
        </is>
      </c>
      <c r="G109" t="inlineStr">
        <is>
          <t>UDDEVALLA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46312</v>
      </c>
      <c r="F110" t="inlineStr">
        <is>
          <t>VÄSTRA GÖTALANDS LÄN</t>
        </is>
      </c>
      <c r="G110" t="inlineStr">
        <is>
          <t>UDDEVALLA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45656</v>
      </c>
      <c r="E111" s="1" t="n">
        <v>46312</v>
      </c>
      <c r="F111" t="inlineStr">
        <is>
          <t>VÄSTRA GÖTALANDS LÄN</t>
        </is>
      </c>
      <c r="G111" t="inlineStr">
        <is>
          <t>UDDEVALLA</t>
        </is>
      </c>
      <c r="H111" t="inlineStr">
        <is>
          <t>Kommuner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46312</v>
      </c>
      <c r="F112" t="inlineStr">
        <is>
          <t>VÄSTRA GÖTALANDS LÄN</t>
        </is>
      </c>
      <c r="G112" t="inlineStr">
        <is>
          <t>UDDEVALLA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46312</v>
      </c>
      <c r="F113" t="inlineStr">
        <is>
          <t>VÄSTRA GÖTALANDS LÄN</t>
        </is>
      </c>
      <c r="G113" t="inlineStr">
        <is>
          <t>UDDEVALLA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73437-2021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46312</v>
      </c>
      <c r="F114" t="inlineStr">
        <is>
          <t>VÄSTRA GÖTALANDS LÄN</t>
        </is>
      </c>
      <c r="G114" t="inlineStr">
        <is>
          <t>UDDEVALLA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45560</v>
      </c>
      <c r="E115" s="1" t="n">
        <v>46312</v>
      </c>
      <c r="F115" t="inlineStr">
        <is>
          <t>VÄSTRA GÖTALANDS LÄN</t>
        </is>
      </c>
      <c r="G115" t="inlineStr">
        <is>
          <t>UDDEVALLA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46312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46312</v>
      </c>
      <c r="F117" t="inlineStr">
        <is>
          <t>VÄSTRA GÖTALANDS LÄN</t>
        </is>
      </c>
      <c r="G117" t="inlineStr">
        <is>
          <t>UDDEVALLA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45840</v>
      </c>
      <c r="E118" s="1" t="n">
        <v>46312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45302</v>
      </c>
      <c r="E119" s="1" t="n">
        <v>46312</v>
      </c>
      <c r="F119" t="inlineStr">
        <is>
          <t>VÄSTRA GÖTALANDS LÄN</t>
        </is>
      </c>
      <c r="G119" t="inlineStr">
        <is>
          <t>UDDEVALLA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46312</v>
      </c>
      <c r="F120" t="inlineStr">
        <is>
          <t>VÄSTRA GÖTALANDS LÄN</t>
        </is>
      </c>
      <c r="G120" t="inlineStr">
        <is>
          <t>UDDEVALLA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46312</v>
      </c>
      <c r="F121" t="inlineStr">
        <is>
          <t>VÄSTRA GÖTALANDS LÄN</t>
        </is>
      </c>
      <c r="G121" t="inlineStr">
        <is>
          <t>UDDEVALLA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46312</v>
      </c>
      <c r="F122" t="inlineStr">
        <is>
          <t>VÄSTRA GÖTALANDS LÄN</t>
        </is>
      </c>
      <c r="G122" t="inlineStr">
        <is>
          <t>UDDEVALLA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20401-2026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46139</v>
      </c>
      <c r="E123" s="1" t="n">
        <v>46312</v>
      </c>
      <c r="F123" t="inlineStr">
        <is>
          <t>VÄSTRA GÖTALANDS LÄN</t>
        </is>
      </c>
      <c r="G123" t="inlineStr">
        <is>
          <t>UDDEVALLA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46312</v>
      </c>
      <c r="F124" t="inlineStr">
        <is>
          <t>VÄSTRA GÖTALANDS LÄN</t>
        </is>
      </c>
      <c r="G124" t="inlineStr">
        <is>
          <t>UDDEVALLA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46312</v>
      </c>
      <c r="F125" t="inlineStr">
        <is>
          <t>VÄSTRA GÖTALANDS LÄN</t>
        </is>
      </c>
      <c r="G125" t="inlineStr">
        <is>
          <t>UDDEVALLA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45901</v>
      </c>
      <c r="E126" s="1" t="n">
        <v>46312</v>
      </c>
      <c r="F126" t="inlineStr">
        <is>
          <t>VÄSTRA GÖTALANDS LÄN</t>
        </is>
      </c>
      <c r="G126" t="inlineStr">
        <is>
          <t>UDDEVALLA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73007-2021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46312</v>
      </c>
      <c r="F127" t="inlineStr">
        <is>
          <t>VÄSTRA GÖTALANDS LÄN</t>
        </is>
      </c>
      <c r="G127" t="inlineStr">
        <is>
          <t>UDDEVALLA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46312</v>
      </c>
      <c r="F128" t="inlineStr">
        <is>
          <t>VÄSTRA GÖTALANDS LÄN</t>
        </is>
      </c>
      <c r="G128" t="inlineStr">
        <is>
          <t>UDDEVALLA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46312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45914</v>
      </c>
      <c r="E130" s="1" t="n">
        <v>46312</v>
      </c>
      <c r="F130" t="inlineStr">
        <is>
          <t>VÄSTRA GÖTALANDS LÄN</t>
        </is>
      </c>
      <c r="G130" t="inlineStr">
        <is>
          <t>UDDEVALLA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45914</v>
      </c>
      <c r="E131" s="1" t="n">
        <v>46312</v>
      </c>
      <c r="F131" t="inlineStr">
        <is>
          <t>VÄSTRA GÖTALANDS LÄN</t>
        </is>
      </c>
      <c r="G131" t="inlineStr">
        <is>
          <t>UDDEVALLA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46312</v>
      </c>
      <c r="F132" t="inlineStr">
        <is>
          <t>VÄSTRA GÖTALANDS LÄN</t>
        </is>
      </c>
      <c r="G132" t="inlineStr">
        <is>
          <t>UDDEVALLA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46312</v>
      </c>
      <c r="F133" t="inlineStr">
        <is>
          <t>VÄSTRA GÖTALANDS LÄN</t>
        </is>
      </c>
      <c r="G133" t="inlineStr">
        <is>
          <t>UDDEVALLA</t>
        </is>
      </c>
      <c r="I133" t="n">
        <v>19.4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46312</v>
      </c>
      <c r="F134" t="inlineStr">
        <is>
          <t>VÄSTRA GÖTALANDS LÄN</t>
        </is>
      </c>
      <c r="G134" t="inlineStr">
        <is>
          <t>UDDEVALLA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46312</v>
      </c>
      <c r="F135" t="inlineStr">
        <is>
          <t>VÄSTRA GÖTALANDS LÄN</t>
        </is>
      </c>
      <c r="G135" t="inlineStr">
        <is>
          <t>UDDEVALLA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46312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46312</v>
      </c>
      <c r="F137" t="inlineStr">
        <is>
          <t>VÄSTRA GÖTALANDS LÄN</t>
        </is>
      </c>
      <c r="G137" t="inlineStr">
        <is>
          <t>UDDEVALLA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46312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46312</v>
      </c>
      <c r="F139" t="inlineStr">
        <is>
          <t>VÄSTRA GÖTALANDS LÄN</t>
        </is>
      </c>
      <c r="G139" t="inlineStr">
        <is>
          <t>UDDEVALLA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46312</v>
      </c>
      <c r="F140" t="inlineStr">
        <is>
          <t>VÄSTRA GÖTALANDS LÄN</t>
        </is>
      </c>
      <c r="G140" t="inlineStr">
        <is>
          <t>UDDEVALLA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46312</v>
      </c>
      <c r="F141" t="inlineStr">
        <is>
          <t>VÄSTRA GÖTALANDS LÄN</t>
        </is>
      </c>
      <c r="G141" t="inlineStr">
        <is>
          <t>UDDEVALLA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46312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46312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46312</v>
      </c>
      <c r="F144" t="inlineStr">
        <is>
          <t>VÄSTRA GÖTALANDS LÄN</t>
        </is>
      </c>
      <c r="G144" t="inlineStr">
        <is>
          <t>UDDEVALLA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46312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46312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46312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46312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46312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45470</v>
      </c>
      <c r="E150" s="1" t="n">
        <v>46312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46312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46312</v>
      </c>
      <c r="F152" t="inlineStr">
        <is>
          <t>VÄSTRA GÖTALANDS LÄN</t>
        </is>
      </c>
      <c r="G152" t="inlineStr">
        <is>
          <t>UDDEVALLA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46312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46312</v>
      </c>
      <c r="F154" t="inlineStr">
        <is>
          <t>VÄSTRA GÖTALANDS LÄN</t>
        </is>
      </c>
      <c r="G154" t="inlineStr">
        <is>
          <t>UDDEVALLA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46312</v>
      </c>
      <c r="F155" t="inlineStr">
        <is>
          <t>VÄSTRA GÖTALANDS LÄN</t>
        </is>
      </c>
      <c r="G155" t="inlineStr">
        <is>
          <t>UDDEVALLA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46312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46312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46312</v>
      </c>
      <c r="F158" t="inlineStr">
        <is>
          <t>VÄSTRA GÖTALANDS LÄN</t>
        </is>
      </c>
      <c r="G158" t="inlineStr">
        <is>
          <t>UDDEVALLA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46312</v>
      </c>
      <c r="F159" t="inlineStr">
        <is>
          <t>VÄSTRA GÖTALANDS LÄN</t>
        </is>
      </c>
      <c r="G159" t="inlineStr">
        <is>
          <t>UDDEVALLA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46312</v>
      </c>
      <c r="F160" t="inlineStr">
        <is>
          <t>VÄSTRA GÖTALANDS LÄN</t>
        </is>
      </c>
      <c r="G160" t="inlineStr">
        <is>
          <t>UDDEVALLA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46312</v>
      </c>
      <c r="F161" t="inlineStr">
        <is>
          <t>VÄSTRA GÖTALANDS LÄN</t>
        </is>
      </c>
      <c r="G161" t="inlineStr">
        <is>
          <t>UDDEVALLA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44683</v>
      </c>
      <c r="E162" s="1" t="n">
        <v>46312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46312</v>
      </c>
      <c r="F163" t="inlineStr">
        <is>
          <t>VÄSTRA GÖTALANDS LÄN</t>
        </is>
      </c>
      <c r="G163" t="inlineStr">
        <is>
          <t>UDDEVALLA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45940</v>
      </c>
      <c r="E164" s="1" t="n">
        <v>46312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46312</v>
      </c>
      <c r="F165" t="inlineStr">
        <is>
          <t>VÄSTRA GÖTALANDS LÄN</t>
        </is>
      </c>
      <c r="G165" t="inlineStr">
        <is>
          <t>UDDEVALLA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45309</v>
      </c>
      <c r="E166" s="1" t="n">
        <v>46312</v>
      </c>
      <c r="F166" t="inlineStr">
        <is>
          <t>VÄSTRA GÖTALANDS LÄN</t>
        </is>
      </c>
      <c r="G166" t="inlineStr">
        <is>
          <t>UDDEVALLA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46312</v>
      </c>
      <c r="F167" t="inlineStr">
        <is>
          <t>VÄSTRA GÖTALANDS LÄN</t>
        </is>
      </c>
      <c r="G167" t="inlineStr">
        <is>
          <t>UDDEVALLA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46312</v>
      </c>
      <c r="F168" t="inlineStr">
        <is>
          <t>VÄSTRA GÖTALANDS LÄN</t>
        </is>
      </c>
      <c r="G168" t="inlineStr">
        <is>
          <t>UDDEVALLA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46312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46312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Övriga statliga verk och myndigheter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46312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46312</v>
      </c>
      <c r="F172" t="inlineStr">
        <is>
          <t>VÄSTRA GÖTALANDS LÄN</t>
        </is>
      </c>
      <c r="G172" t="inlineStr">
        <is>
          <t>UDDEVALLA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46312</v>
      </c>
      <c r="F173" t="inlineStr">
        <is>
          <t>VÄSTRA GÖTALANDS LÄN</t>
        </is>
      </c>
      <c r="G173" t="inlineStr">
        <is>
          <t>UDDEVALLA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46312</v>
      </c>
      <c r="F174" t="inlineStr">
        <is>
          <t>VÄSTRA GÖTALANDS LÄN</t>
        </is>
      </c>
      <c r="G174" t="inlineStr">
        <is>
          <t>UDDEVALLA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46312</v>
      </c>
      <c r="F175" t="inlineStr">
        <is>
          <t>VÄSTRA GÖTALANDS LÄN</t>
        </is>
      </c>
      <c r="G175" t="inlineStr">
        <is>
          <t>UDDEVALLA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46312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46312</v>
      </c>
      <c r="F177" t="inlineStr">
        <is>
          <t>VÄSTRA GÖTALANDS LÄN</t>
        </is>
      </c>
      <c r="G177" t="inlineStr">
        <is>
          <t>UDDEVALLA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46312</v>
      </c>
      <c r="F178" t="inlineStr">
        <is>
          <t>VÄSTRA GÖTALANDS LÄN</t>
        </is>
      </c>
      <c r="G178" t="inlineStr">
        <is>
          <t>UDDEVALLA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46312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46312</v>
      </c>
      <c r="F180" t="inlineStr">
        <is>
          <t>VÄSTRA GÖTALANDS LÄN</t>
        </is>
      </c>
      <c r="G180" t="inlineStr">
        <is>
          <t>UDDEVALLA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46312</v>
      </c>
      <c r="F181" t="inlineStr">
        <is>
          <t>VÄSTRA GÖTALANDS LÄN</t>
        </is>
      </c>
      <c r="G181" t="inlineStr">
        <is>
          <t>UDDEVALLA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46312</v>
      </c>
      <c r="F182" t="inlineStr">
        <is>
          <t>VÄSTRA GÖTALANDS LÄN</t>
        </is>
      </c>
      <c r="G182" t="inlineStr">
        <is>
          <t>UDDEVALLA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44928</v>
      </c>
      <c r="E183" s="1" t="n">
        <v>46312</v>
      </c>
      <c r="F183" t="inlineStr">
        <is>
          <t>VÄSTRA GÖTALANDS LÄN</t>
        </is>
      </c>
      <c r="G183" t="inlineStr">
        <is>
          <t>UDDEVALLA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46312</v>
      </c>
      <c r="F184" t="inlineStr">
        <is>
          <t>VÄSTRA GÖTALANDS LÄN</t>
        </is>
      </c>
      <c r="G184" t="inlineStr">
        <is>
          <t>UDDEVALLA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24081-2024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45456</v>
      </c>
      <c r="E185" s="1" t="n">
        <v>46312</v>
      </c>
      <c r="F185" t="inlineStr">
        <is>
          <t>VÄSTRA GÖTALANDS LÄN</t>
        </is>
      </c>
      <c r="G185" t="inlineStr">
        <is>
          <t>UDDEVALLA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46312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15634-2023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46312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45495</v>
      </c>
      <c r="E188" s="1" t="n">
        <v>46312</v>
      </c>
      <c r="F188" t="inlineStr">
        <is>
          <t>VÄSTRA GÖTALANDS LÄN</t>
        </is>
      </c>
      <c r="G188" t="inlineStr">
        <is>
          <t>UDDEVALLA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46312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46312</v>
      </c>
      <c r="F190" t="inlineStr">
        <is>
          <t>VÄSTRA GÖTALANDS LÄN</t>
        </is>
      </c>
      <c r="G190" t="inlineStr">
        <is>
          <t>UDDEVALLA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46312</v>
      </c>
      <c r="F191" t="inlineStr">
        <is>
          <t>VÄSTRA GÖTALANDS LÄN</t>
        </is>
      </c>
      <c r="G191" t="inlineStr">
        <is>
          <t>UDDEVALLA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46312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46312</v>
      </c>
      <c r="F193" t="inlineStr">
        <is>
          <t>VÄSTRA GÖTALANDS LÄN</t>
        </is>
      </c>
      <c r="G193" t="inlineStr">
        <is>
          <t>UDDEVALLA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46312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46026</v>
      </c>
      <c r="E195" s="1" t="n">
        <v>46312</v>
      </c>
      <c r="F195" t="inlineStr">
        <is>
          <t>VÄSTRA GÖTALANDS LÄN</t>
        </is>
      </c>
      <c r="G195" t="inlineStr">
        <is>
          <t>UDDEVALLA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46312</v>
      </c>
      <c r="F196" t="inlineStr">
        <is>
          <t>VÄSTRA GÖTALANDS LÄN</t>
        </is>
      </c>
      <c r="G196" t="inlineStr">
        <is>
          <t>UDDEVALLA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46312</v>
      </c>
      <c r="F197" t="inlineStr">
        <is>
          <t>VÄSTRA GÖTALANDS LÄN</t>
        </is>
      </c>
      <c r="G197" t="inlineStr">
        <is>
          <t>UDDEVALLA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46312</v>
      </c>
      <c r="F198" t="inlineStr">
        <is>
          <t>VÄSTRA GÖTALANDS LÄN</t>
        </is>
      </c>
      <c r="G198" t="inlineStr">
        <is>
          <t>UDDEVALLA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46312</v>
      </c>
      <c r="F199" t="inlineStr">
        <is>
          <t>VÄSTRA GÖTALANDS LÄN</t>
        </is>
      </c>
      <c r="G199" t="inlineStr">
        <is>
          <t>UDDEVALLA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46312</v>
      </c>
      <c r="F200" t="inlineStr">
        <is>
          <t>VÄSTRA GÖTALANDS LÄN</t>
        </is>
      </c>
      <c r="G200" t="inlineStr">
        <is>
          <t>UDDEVALLA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46312</v>
      </c>
      <c r="F201" t="inlineStr">
        <is>
          <t>VÄSTRA GÖTALANDS LÄN</t>
        </is>
      </c>
      <c r="G201" t="inlineStr">
        <is>
          <t>UDDEVALLA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46312</v>
      </c>
      <c r="F202" t="inlineStr">
        <is>
          <t>VÄSTRA GÖTALANDS LÄN</t>
        </is>
      </c>
      <c r="G202" t="inlineStr">
        <is>
          <t>UDDEVALLA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46312</v>
      </c>
      <c r="F203" t="inlineStr">
        <is>
          <t>VÄSTRA GÖTALANDS LÄN</t>
        </is>
      </c>
      <c r="G203" t="inlineStr">
        <is>
          <t>UDDEVALLA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46312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46312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46312</v>
      </c>
      <c r="F206" t="inlineStr">
        <is>
          <t>VÄSTRA GÖTALANDS LÄN</t>
        </is>
      </c>
      <c r="G206" t="inlineStr">
        <is>
          <t>UDDEVALLA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45133</v>
      </c>
      <c r="E207" s="1" t="n">
        <v>46312</v>
      </c>
      <c r="F207" t="inlineStr">
        <is>
          <t>VÄSTRA GÖTALANDS LÄN</t>
        </is>
      </c>
      <c r="G207" t="inlineStr">
        <is>
          <t>UDDEVALLA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8893-2024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45355</v>
      </c>
      <c r="E208" s="1" t="n">
        <v>46312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46312</v>
      </c>
      <c r="F209" t="inlineStr">
        <is>
          <t>VÄSTRA GÖTALANDS LÄN</t>
        </is>
      </c>
      <c r="G209" t="inlineStr">
        <is>
          <t>UDDEVALLA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46312</v>
      </c>
      <c r="F210" t="inlineStr">
        <is>
          <t>VÄSTRA GÖTALANDS LÄN</t>
        </is>
      </c>
      <c r="G210" t="inlineStr">
        <is>
          <t>UDDEVALLA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44578</v>
      </c>
      <c r="E211" s="1" t="n">
        <v>46312</v>
      </c>
      <c r="F211" t="inlineStr">
        <is>
          <t>VÄSTRA GÖTALANDS LÄN</t>
        </is>
      </c>
      <c r="G211" t="inlineStr">
        <is>
          <t>UDDEVALLA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44935</v>
      </c>
      <c r="E212" s="1" t="n">
        <v>46312</v>
      </c>
      <c r="F212" t="inlineStr">
        <is>
          <t>VÄSTRA GÖTALANDS LÄN</t>
        </is>
      </c>
      <c r="G212" t="inlineStr">
        <is>
          <t>UDDEVALLA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46312</v>
      </c>
      <c r="F213" t="inlineStr">
        <is>
          <t>VÄSTRA GÖTALANDS LÄN</t>
        </is>
      </c>
      <c r="G213" t="inlineStr">
        <is>
          <t>UDDEVALLA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46312</v>
      </c>
      <c r="F214" t="inlineStr">
        <is>
          <t>VÄSTRA GÖTALANDS LÄN</t>
        </is>
      </c>
      <c r="G214" t="inlineStr">
        <is>
          <t>UDDEVALLA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10436-2026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46076</v>
      </c>
      <c r="E215" s="1" t="n">
        <v>46312</v>
      </c>
      <c r="F215" t="inlineStr">
        <is>
          <t>VÄSTRA GÖTALANDS LÄN</t>
        </is>
      </c>
      <c r="G215" t="inlineStr">
        <is>
          <t>UDDEVALLA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46312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46312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46312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Kyrkan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46312</v>
      </c>
      <c r="F219" t="inlineStr">
        <is>
          <t>VÄSTRA GÖTALANDS LÄN</t>
        </is>
      </c>
      <c r="G219" t="inlineStr">
        <is>
          <t>UDDEVALLA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46312</v>
      </c>
      <c r="F220" t="inlineStr">
        <is>
          <t>VÄSTRA GÖTALANDS LÄN</t>
        </is>
      </c>
      <c r="G220" t="inlineStr">
        <is>
          <t>UDDEVALLA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46312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Kyrkan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46312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46312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46312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46312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46312</v>
      </c>
      <c r="F226" t="inlineStr">
        <is>
          <t>VÄSTRA GÖTALANDS LÄN</t>
        </is>
      </c>
      <c r="G226" t="inlineStr">
        <is>
          <t>UDDEVALLA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45349</v>
      </c>
      <c r="E227" s="1" t="n">
        <v>46312</v>
      </c>
      <c r="F227" t="inlineStr">
        <is>
          <t>VÄSTRA GÖTALANDS LÄN</t>
        </is>
      </c>
      <c r="G227" t="inlineStr">
        <is>
          <t>UDDEVALLA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46312</v>
      </c>
      <c r="F228" t="inlineStr">
        <is>
          <t>VÄSTRA GÖTALANDS LÄN</t>
        </is>
      </c>
      <c r="G228" t="inlineStr">
        <is>
          <t>UDDEVALLA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46312</v>
      </c>
      <c r="F229" t="inlineStr">
        <is>
          <t>VÄSTRA GÖTALANDS LÄN</t>
        </is>
      </c>
      <c r="G229" t="inlineStr">
        <is>
          <t>UDDEVALLA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46312</v>
      </c>
      <c r="F230" t="inlineStr">
        <is>
          <t>VÄSTRA GÖTALANDS LÄN</t>
        </is>
      </c>
      <c r="G230" t="inlineStr">
        <is>
          <t>UDDEVALLA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46312</v>
      </c>
      <c r="F231" t="inlineStr">
        <is>
          <t>VÄSTRA GÖTALANDS LÄN</t>
        </is>
      </c>
      <c r="G231" t="inlineStr">
        <is>
          <t>UDDEVALLA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16819-2026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46113</v>
      </c>
      <c r="E232" s="1" t="n">
        <v>46312</v>
      </c>
      <c r="F232" t="inlineStr">
        <is>
          <t>VÄSTRA GÖTALANDS LÄN</t>
        </is>
      </c>
      <c r="G232" t="inlineStr">
        <is>
          <t>UDDEVALLA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46312</v>
      </c>
      <c r="F233" t="inlineStr">
        <is>
          <t>VÄSTRA GÖTALANDS LÄN</t>
        </is>
      </c>
      <c r="G233" t="inlineStr">
        <is>
          <t>UDDEVALLA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46312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46312</v>
      </c>
      <c r="F235" t="inlineStr">
        <is>
          <t>VÄSTRA GÖTALANDS LÄN</t>
        </is>
      </c>
      <c r="G235" t="inlineStr">
        <is>
          <t>UDDEVALLA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46312</v>
      </c>
      <c r="F236" t="inlineStr">
        <is>
          <t>VÄSTRA GÖTALANDS LÄN</t>
        </is>
      </c>
      <c r="G236" t="inlineStr">
        <is>
          <t>UDDEVALLA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46312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45517</v>
      </c>
      <c r="E238" s="1" t="n">
        <v>46312</v>
      </c>
      <c r="F238" t="inlineStr">
        <is>
          <t>VÄSTRA GÖTALANDS LÄN</t>
        </is>
      </c>
      <c r="G238" t="inlineStr">
        <is>
          <t>UDDEVALLA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44733</v>
      </c>
      <c r="E239" s="1" t="n">
        <v>46312</v>
      </c>
      <c r="F239" t="inlineStr">
        <is>
          <t>VÄSTRA GÖTALANDS LÄN</t>
        </is>
      </c>
      <c r="G239" t="inlineStr">
        <is>
          <t>UDDEVALLA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46312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46312</v>
      </c>
      <c r="F241" t="inlineStr">
        <is>
          <t>VÄSTRA GÖTALANDS LÄN</t>
        </is>
      </c>
      <c r="G241" t="inlineStr">
        <is>
          <t>UDDEVALLA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46312</v>
      </c>
      <c r="F242" t="inlineStr">
        <is>
          <t>VÄSTRA GÖTALANDS LÄN</t>
        </is>
      </c>
      <c r="G242" t="inlineStr">
        <is>
          <t>UDDEVALLA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46312</v>
      </c>
      <c r="F243" t="inlineStr">
        <is>
          <t>VÄSTRA GÖTALANDS LÄN</t>
        </is>
      </c>
      <c r="G243" t="inlineStr">
        <is>
          <t>UDDEVALLA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45907</v>
      </c>
      <c r="E244" s="1" t="n">
        <v>46312</v>
      </c>
      <c r="F244" t="inlineStr">
        <is>
          <t>VÄSTRA GÖTALANDS LÄN</t>
        </is>
      </c>
      <c r="G244" t="inlineStr">
        <is>
          <t>UDDEVALLA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63878-2021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44509</v>
      </c>
      <c r="E245" s="1" t="n">
        <v>46312</v>
      </c>
      <c r="F245" t="inlineStr">
        <is>
          <t>VÄSTRA GÖTALANDS LÄN</t>
        </is>
      </c>
      <c r="G245" t="inlineStr">
        <is>
          <t>UDDEVALLA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46312</v>
      </c>
      <c r="F246" t="inlineStr">
        <is>
          <t>VÄSTRA GÖTALANDS LÄN</t>
        </is>
      </c>
      <c r="G246" t="inlineStr">
        <is>
          <t>UDDEVALLA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46312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30536-2026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46210</v>
      </c>
      <c r="E248" s="1" t="n">
        <v>46312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46212</v>
      </c>
      <c r="E249" s="1" t="n">
        <v>46312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46312</v>
      </c>
      <c r="F250" t="inlineStr">
        <is>
          <t>VÄSTRA GÖTALANDS LÄN</t>
        </is>
      </c>
      <c r="G250" t="inlineStr">
        <is>
          <t>UDDEVALLA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46312</v>
      </c>
      <c r="F251" t="inlineStr">
        <is>
          <t>VÄSTRA GÖTALANDS LÄN</t>
        </is>
      </c>
      <c r="G251" t="inlineStr">
        <is>
          <t>UDDEVALLA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46312</v>
      </c>
      <c r="F252" t="inlineStr">
        <is>
          <t>VÄSTRA GÖTALANDS LÄN</t>
        </is>
      </c>
      <c r="G252" t="inlineStr">
        <is>
          <t>UDDEVALLA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46222</v>
      </c>
      <c r="E253" s="1" t="n">
        <v>46312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46312</v>
      </c>
      <c r="F254" t="inlineStr">
        <is>
          <t>VÄSTRA GÖTALANDS LÄN</t>
        </is>
      </c>
      <c r="G254" t="inlineStr">
        <is>
          <t>UDDEVALLA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45251</v>
      </c>
      <c r="E255" s="1" t="n">
        <v>46312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Kyrkan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45847</v>
      </c>
      <c r="E256" s="1" t="n">
        <v>46312</v>
      </c>
      <c r="F256" t="inlineStr">
        <is>
          <t>VÄSTRA GÖTALANDS LÄN</t>
        </is>
      </c>
      <c r="G256" t="inlineStr">
        <is>
          <t>UDDEVALLA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46312</v>
      </c>
      <c r="F257" t="inlineStr">
        <is>
          <t>VÄSTRA GÖTALANDS LÄN</t>
        </is>
      </c>
      <c r="G257" t="inlineStr">
        <is>
          <t>UDDEVALLA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17058-2025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45754</v>
      </c>
      <c r="E258" s="1" t="n">
        <v>46312</v>
      </c>
      <c r="F258" t="inlineStr">
        <is>
          <t>VÄSTRA GÖTALANDS LÄN</t>
        </is>
      </c>
      <c r="G258" t="inlineStr">
        <is>
          <t>UDDEVALLA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58625-2024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45635</v>
      </c>
      <c r="E259" s="1" t="n">
        <v>46312</v>
      </c>
      <c r="F259" t="inlineStr">
        <is>
          <t>VÄSTRA GÖTALANDS LÄN</t>
        </is>
      </c>
      <c r="G259" t="inlineStr">
        <is>
          <t>UDDEVALLA</t>
        </is>
      </c>
      <c r="I259" t="n">
        <v>14.9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46312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46312</v>
      </c>
      <c r="F261" t="inlineStr">
        <is>
          <t>VÄSTRA GÖTALANDS LÄN</t>
        </is>
      </c>
      <c r="G261" t="inlineStr">
        <is>
          <t>UDDEVALLA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46312</v>
      </c>
      <c r="F262" t="inlineStr">
        <is>
          <t>VÄSTRA GÖTALANDS LÄN</t>
        </is>
      </c>
      <c r="G262" t="inlineStr">
        <is>
          <t>UDDEVALLA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59144-2023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46312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44655</v>
      </c>
      <c r="E264" s="1" t="n">
        <v>46312</v>
      </c>
      <c r="F264" t="inlineStr">
        <is>
          <t>VÄSTRA GÖTALANDS LÄN</t>
        </is>
      </c>
      <c r="G264" t="inlineStr">
        <is>
          <t>UDDEVALLA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46312</v>
      </c>
      <c r="F265" t="inlineStr">
        <is>
          <t>VÄSTRA GÖTALANDS LÄN</t>
        </is>
      </c>
      <c r="G265" t="inlineStr">
        <is>
          <t>UDDEVALLA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46312</v>
      </c>
      <c r="F266" t="inlineStr">
        <is>
          <t>VÄSTRA GÖTALANDS LÄN</t>
        </is>
      </c>
      <c r="G266" t="inlineStr">
        <is>
          <t>UDDEVALLA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46312</v>
      </c>
      <c r="F267" t="inlineStr">
        <is>
          <t>VÄSTRA GÖTALANDS LÄN</t>
        </is>
      </c>
      <c r="G267" t="inlineStr">
        <is>
          <t>UDDEVALLA</t>
        </is>
      </c>
      <c r="I267" t="n">
        <v>12.2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9797-2023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44984</v>
      </c>
      <c r="E268" s="1" t="n">
        <v>46312</v>
      </c>
      <c r="F268" t="inlineStr">
        <is>
          <t>VÄSTRA GÖTALANDS LÄN</t>
        </is>
      </c>
      <c r="G268" t="inlineStr">
        <is>
          <t>UDDEVALLA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46312</v>
      </c>
      <c r="F269" t="inlineStr">
        <is>
          <t>VÄSTRA GÖTALANDS LÄN</t>
        </is>
      </c>
      <c r="G269" t="inlineStr">
        <is>
          <t>UDDEVALLA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46312</v>
      </c>
      <c r="F270" t="inlineStr">
        <is>
          <t>VÄSTRA GÖTALANDS LÄN</t>
        </is>
      </c>
      <c r="G270" t="inlineStr">
        <is>
          <t>UDDEVALLA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46312</v>
      </c>
      <c r="F271" t="inlineStr">
        <is>
          <t>VÄSTRA GÖTALANDS LÄN</t>
        </is>
      </c>
      <c r="G271" t="inlineStr">
        <is>
          <t>UDDEVALLA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46312</v>
      </c>
      <c r="F272" t="inlineStr">
        <is>
          <t>VÄSTRA GÖTALANDS LÄN</t>
        </is>
      </c>
      <c r="G272" t="inlineStr">
        <is>
          <t>UDDEVALLA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69198-2021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46312</v>
      </c>
      <c r="F273" t="inlineStr">
        <is>
          <t>VÄSTRA GÖTALANDS LÄN</t>
        </is>
      </c>
      <c r="G273" t="inlineStr">
        <is>
          <t>UDDEVALLA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46312</v>
      </c>
      <c r="F274" t="inlineStr">
        <is>
          <t>VÄSTRA GÖTALANDS LÄN</t>
        </is>
      </c>
      <c r="G274" t="inlineStr">
        <is>
          <t>UDDEVALLA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46312</v>
      </c>
      <c r="F275" t="inlineStr">
        <is>
          <t>VÄSTRA GÖTALANDS LÄN</t>
        </is>
      </c>
      <c r="G275" t="inlineStr">
        <is>
          <t>UDDEVALLA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59674-2023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45255</v>
      </c>
      <c r="E276" s="1" t="n">
        <v>46312</v>
      </c>
      <c r="F276" t="inlineStr">
        <is>
          <t>VÄSTRA GÖTALANDS LÄN</t>
        </is>
      </c>
      <c r="G276" t="inlineStr">
        <is>
          <t>UDDEVALLA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45121</v>
      </c>
      <c r="E277" s="1" t="n">
        <v>46312</v>
      </c>
      <c r="F277" t="inlineStr">
        <is>
          <t>VÄSTRA GÖTALANDS LÄN</t>
        </is>
      </c>
      <c r="G277" t="inlineStr">
        <is>
          <t>UDDEVALLA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46312</v>
      </c>
      <c r="F278" t="inlineStr">
        <is>
          <t>VÄSTRA GÖTALANDS LÄN</t>
        </is>
      </c>
      <c r="G278" t="inlineStr">
        <is>
          <t>UDDEVALLA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46312</v>
      </c>
      <c r="F279" t="inlineStr">
        <is>
          <t>VÄSTRA GÖTALANDS LÄN</t>
        </is>
      </c>
      <c r="G279" t="inlineStr">
        <is>
          <t>UDDEVALLA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46312</v>
      </c>
      <c r="F280" t="inlineStr">
        <is>
          <t>VÄSTRA GÖTALANDS LÄN</t>
        </is>
      </c>
      <c r="G280" t="inlineStr">
        <is>
          <t>UDDEVALLA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46312</v>
      </c>
      <c r="F281" t="inlineStr">
        <is>
          <t>VÄSTRA GÖTALANDS LÄN</t>
        </is>
      </c>
      <c r="G281" t="inlineStr">
        <is>
          <t>UDDEVALLA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46312</v>
      </c>
      <c r="F282" t="inlineStr">
        <is>
          <t>VÄSTRA GÖTALANDS LÄN</t>
        </is>
      </c>
      <c r="G282" t="inlineStr">
        <is>
          <t>UDDEVALLA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45484</v>
      </c>
      <c r="E283" s="1" t="n">
        <v>46312</v>
      </c>
      <c r="F283" t="inlineStr">
        <is>
          <t>VÄSTRA GÖTALANDS LÄN</t>
        </is>
      </c>
      <c r="G283" t="inlineStr">
        <is>
          <t>UDDEVALLA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46312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44973</v>
      </c>
      <c r="E285" s="1" t="n">
        <v>46312</v>
      </c>
      <c r="F285" t="inlineStr">
        <is>
          <t>VÄSTRA GÖTALANDS LÄN</t>
        </is>
      </c>
      <c r="G285" t="inlineStr">
        <is>
          <t>UDDEVALLA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44967</v>
      </c>
      <c r="E286" s="1" t="n">
        <v>46312</v>
      </c>
      <c r="F286" t="inlineStr">
        <is>
          <t>VÄSTRA GÖTALANDS LÄN</t>
        </is>
      </c>
      <c r="G286" t="inlineStr">
        <is>
          <t>UDDEVALLA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46293</v>
      </c>
      <c r="E287" s="1" t="n">
        <v>46312</v>
      </c>
      <c r="F287" t="inlineStr">
        <is>
          <t>VÄSTRA GÖTALANDS LÄN</t>
        </is>
      </c>
      <c r="G287" t="inlineStr">
        <is>
          <t>UDDEVALLA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44794</v>
      </c>
      <c r="E288" s="1" t="n">
        <v>46312</v>
      </c>
      <c r="F288" t="inlineStr">
        <is>
          <t>VÄSTRA GÖTALANDS LÄN</t>
        </is>
      </c>
      <c r="G288" t="inlineStr">
        <is>
          <t>UDDEVALLA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45188</v>
      </c>
      <c r="E289" s="1" t="n">
        <v>46312</v>
      </c>
      <c r="F289" t="inlineStr">
        <is>
          <t>VÄSTRA GÖTALANDS LÄN</t>
        </is>
      </c>
      <c r="G289" t="inlineStr">
        <is>
          <t>UDDEVALLA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46312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44582</v>
      </c>
      <c r="E291" s="1" t="n">
        <v>46312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45484</v>
      </c>
      <c r="E292" s="1" t="n">
        <v>46312</v>
      </c>
      <c r="F292" t="inlineStr">
        <is>
          <t>VÄSTRA GÖTALANDS LÄN</t>
        </is>
      </c>
      <c r="G292" t="inlineStr">
        <is>
          <t>UDDEVALLA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45387</v>
      </c>
      <c r="E293" s="1" t="n">
        <v>46312</v>
      </c>
      <c r="F293" t="inlineStr">
        <is>
          <t>VÄSTRA GÖTALANDS LÄN</t>
        </is>
      </c>
      <c r="G293" t="inlineStr">
        <is>
          <t>UDDEVALLA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46312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46312</v>
      </c>
      <c r="F295" t="inlineStr">
        <is>
          <t>VÄSTRA GÖTALANDS LÄN</t>
        </is>
      </c>
      <c r="G295" t="inlineStr">
        <is>
          <t>UDDEVALLA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46312</v>
      </c>
      <c r="F296" t="inlineStr">
        <is>
          <t>VÄSTRA GÖTALANDS LÄN</t>
        </is>
      </c>
      <c r="G296" t="inlineStr">
        <is>
          <t>UDDEVALLA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45127</v>
      </c>
      <c r="E297" s="1" t="n">
        <v>46312</v>
      </c>
      <c r="F297" t="inlineStr">
        <is>
          <t>VÄSTRA GÖTALANDS LÄN</t>
        </is>
      </c>
      <c r="G297" t="inlineStr">
        <is>
          <t>UDDEVALLA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46312</v>
      </c>
      <c r="F298" t="inlineStr">
        <is>
          <t>VÄSTRA GÖTALANDS LÄN</t>
        </is>
      </c>
      <c r="G298" t="inlineStr">
        <is>
          <t>UDDEVALLA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40571-2022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44823</v>
      </c>
      <c r="E299" s="1" t="n">
        <v>46312</v>
      </c>
      <c r="F299" t="inlineStr">
        <is>
          <t>VÄSTRA GÖTALANDS LÄN</t>
        </is>
      </c>
      <c r="G299" t="inlineStr">
        <is>
          <t>UDDEVALLA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46312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46312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46312</v>
      </c>
      <c r="F302" t="inlineStr">
        <is>
          <t>VÄSTRA GÖTALANDS LÄN</t>
        </is>
      </c>
      <c r="G302" t="inlineStr">
        <is>
          <t>UDDEVALLA</t>
        </is>
      </c>
      <c r="I302" t="n">
        <v>12.9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46312</v>
      </c>
      <c r="F303" t="inlineStr">
        <is>
          <t>VÄSTRA GÖTALANDS LÄN</t>
        </is>
      </c>
      <c r="G303" t="inlineStr">
        <is>
          <t>UDDEVALLA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46312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46312</v>
      </c>
      <c r="F305" t="inlineStr">
        <is>
          <t>VÄSTRA GÖTALANDS LÄN</t>
        </is>
      </c>
      <c r="G305" t="inlineStr">
        <is>
          <t>UDDEVALLA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46302</v>
      </c>
      <c r="E306" s="1" t="n">
        <v>46312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46312</v>
      </c>
      <c r="F307" t="inlineStr">
        <is>
          <t>VÄSTRA GÖTALANDS LÄN</t>
        </is>
      </c>
      <c r="G307" t="inlineStr">
        <is>
          <t>UDDEVALLA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46312</v>
      </c>
      <c r="F308" t="inlineStr">
        <is>
          <t>VÄSTRA GÖTALANDS LÄN</t>
        </is>
      </c>
      <c r="G308" t="inlineStr">
        <is>
          <t>UDDEVALLA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46303</v>
      </c>
      <c r="E309" s="1" t="n">
        <v>46312</v>
      </c>
      <c r="F309" t="inlineStr">
        <is>
          <t>VÄSTRA GÖTALANDS LÄN</t>
        </is>
      </c>
      <c r="G309" t="inlineStr">
        <is>
          <t>UDDEVALLA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36562-2024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46312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35947-2026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46266</v>
      </c>
      <c r="E311" s="1" t="n">
        <v>46312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10684-2022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44624</v>
      </c>
      <c r="E312" s="1" t="n">
        <v>46312</v>
      </c>
      <c r="F312" t="inlineStr">
        <is>
          <t>VÄSTRA GÖTALANDS LÄN</t>
        </is>
      </c>
      <c r="G312" t="inlineStr">
        <is>
          <t>UDDEVALLA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45722</v>
      </c>
      <c r="E313" s="1" t="n">
        <v>46312</v>
      </c>
      <c r="F313" t="inlineStr">
        <is>
          <t>VÄSTRA GÖTALANDS LÄN</t>
        </is>
      </c>
      <c r="G313" t="inlineStr">
        <is>
          <t>UDDEVALLA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45551</v>
      </c>
      <c r="E314" s="1" t="n">
        <v>46312</v>
      </c>
      <c r="F314" t="inlineStr">
        <is>
          <t>VÄSTRA GÖTALANDS LÄN</t>
        </is>
      </c>
      <c r="G314" t="inlineStr">
        <is>
          <t>UDDEVALLA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45455</v>
      </c>
      <c r="E315" s="1" t="n">
        <v>46312</v>
      </c>
      <c r="F315" t="inlineStr">
        <is>
          <t>VÄSTRA GÖTALANDS LÄN</t>
        </is>
      </c>
      <c r="G315" t="inlineStr">
        <is>
          <t>UDDEVALLA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46303</v>
      </c>
      <c r="E316" s="1" t="n">
        <v>46312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45723</v>
      </c>
      <c r="E317" s="1" t="n">
        <v>46312</v>
      </c>
      <c r="F317" t="inlineStr">
        <is>
          <t>VÄSTRA GÖTALANDS LÄN</t>
        </is>
      </c>
      <c r="G317" t="inlineStr">
        <is>
          <t>UDDEVALLA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46312</v>
      </c>
      <c r="F318" t="inlineStr">
        <is>
          <t>VÄSTRA GÖTALANDS LÄN</t>
        </is>
      </c>
      <c r="G318" t="inlineStr">
        <is>
          <t>UDDEVALLA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46211</v>
      </c>
      <c r="E319" s="1" t="n">
        <v>46312</v>
      </c>
      <c r="F319" t="inlineStr">
        <is>
          <t>VÄSTRA GÖTALANDS LÄN</t>
        </is>
      </c>
      <c r="G319" t="inlineStr">
        <is>
          <t>UDDEVALLA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46311</v>
      </c>
      <c r="E320" s="1" t="n">
        <v>46312</v>
      </c>
      <c r="F320" t="inlineStr">
        <is>
          <t>VÄSTRA GÖTALANDS LÄN</t>
        </is>
      </c>
      <c r="G320" t="inlineStr">
        <is>
          <t>UDDEVALLA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46312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46312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46312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46312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Kyrkan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46312</v>
      </c>
      <c r="F325" t="inlineStr">
        <is>
          <t>VÄSTRA GÖTALANDS LÄN</t>
        </is>
      </c>
      <c r="G325" t="inlineStr">
        <is>
          <t>UDDEVALLA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46312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46312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46312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46312</v>
      </c>
      <c r="F329" t="inlineStr">
        <is>
          <t>VÄSTRA GÖTALANDS LÄN</t>
        </is>
      </c>
      <c r="G329" t="inlineStr">
        <is>
          <t>UDDEVALLA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45455</v>
      </c>
      <c r="E330" s="1" t="n">
        <v>46312</v>
      </c>
      <c r="F330" t="inlineStr">
        <is>
          <t>VÄSTRA GÖTALANDS LÄN</t>
        </is>
      </c>
      <c r="G330" t="inlineStr">
        <is>
          <t>UDDEVALLA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46312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45672</v>
      </c>
      <c r="E332" s="1" t="n">
        <v>46312</v>
      </c>
      <c r="F332" t="inlineStr">
        <is>
          <t>VÄSTRA GÖTALANDS LÄN</t>
        </is>
      </c>
      <c r="G332" t="inlineStr">
        <is>
          <t>UDDEVALLA</t>
        </is>
      </c>
      <c r="I332" t="n">
        <v>14.1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46312</v>
      </c>
      <c r="F333" t="inlineStr">
        <is>
          <t>VÄSTRA GÖTALANDS LÄN</t>
        </is>
      </c>
      <c r="G333" t="inlineStr">
        <is>
          <t>UDDEVALLA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46312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46312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46312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2026-10-17T02:05:50Z</dcterms:created>
  <dcterms:modified xmlns:dcterms="http://purl.org/dc/terms/" xmlns:xsi="http://www.w3.org/2001/XMLSchema-instance" xsi:type="dcterms:W3CDTF">2026-10-17T02:05:51Z</dcterms:modified>
</cp:coreProperties>
</file>