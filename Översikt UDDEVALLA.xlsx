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46217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46217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46217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46217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46217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s="2" t="inlineStr">
        <is>
          <t>Gräddporing
Ladusvala
Rynkskinn
Rödvingetrast
Ängsvaxing agg.
Vanlig padda</t>
        </is>
      </c>
      <c r="V6">
        <f>HYPERLINK("https://klasma.github.io/Logging_1485/artfynd/A 29688-2023 artfynd.xlsx", "A 29688-2023")</f>
        <v/>
      </c>
      <c r="W6">
        <f>HYPERLINK("https://klasma.github.io/Logging_1485/kartor/A 29688-2023 karta.png", "A 29688-2023")</f>
        <v/>
      </c>
      <c r="Y6">
        <f>HYPERLINK("https://klasma.github.io/Logging_1485/klagomål/A 29688-2023 FSC-klagomål.docx", "A 29688-2023")</f>
        <v/>
      </c>
      <c r="Z6">
        <f>HYPERLINK("https://klasma.github.io/Logging_1485/klagomålsmail/A 29688-2023 FSC-klagomål mail.docx", "A 29688-2023")</f>
        <v/>
      </c>
      <c r="AA6">
        <f>HYPERLINK("https://klasma.github.io/Logging_1485/tillsyn/A 29688-2023 tillsynsbegäran.docx", "A 29688-2023")</f>
        <v/>
      </c>
      <c r="AB6">
        <f>HYPERLINK("https://klasma.github.io/Logging_1485/tillsynsmail/A 29688-2023 tillsynsbegäran mail.docx", "A 29688-2023")</f>
        <v/>
      </c>
      <c r="AC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46217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s="2" t="inlineStr">
        <is>
          <t>Grönhjon
Klippfrullania
Stor revmossa
Västlig hakmossa
Spillkråka
Revlummer</t>
        </is>
      </c>
      <c r="V7">
        <f>HYPERLINK("https://klasma.github.io/Logging_1485/artfynd/A 3427-2024 artfynd.xlsx", "A 3427-2024")</f>
        <v/>
      </c>
      <c r="W7">
        <f>HYPERLINK("https://klasma.github.io/Logging_1485/kartor/A 3427-2024 karta.png", "A 3427-2024")</f>
        <v/>
      </c>
      <c r="Y7">
        <f>HYPERLINK("https://klasma.github.io/Logging_1485/klagomål/A 3427-2024 FSC-klagomål.docx", "A 3427-2024")</f>
        <v/>
      </c>
      <c r="Z7">
        <f>HYPERLINK("https://klasma.github.io/Logging_1485/klagomålsmail/A 3427-2024 FSC-klagomål mail.docx", "A 3427-2024")</f>
        <v/>
      </c>
      <c r="AA7">
        <f>HYPERLINK("https://klasma.github.io/Logging_1485/tillsyn/A 3427-2024 tillsynsbegäran.docx", "A 3427-2024")</f>
        <v/>
      </c>
      <c r="AB7">
        <f>HYPERLINK("https://klasma.github.io/Logging_1485/tillsynsmail/A 3427-2024 tillsynsbegäran mail.docx", "A 3427-2024")</f>
        <v/>
      </c>
      <c r="AC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46217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s="2" t="inlineStr">
        <is>
          <t>Ask
Långskägg
Garnlav
Stjärntagging
Kungsfågel
Skogsduva</t>
        </is>
      </c>
      <c r="V8">
        <f>HYPERLINK("https://klasma.github.io/Logging_1485/artfynd/A 11824-2025 artfynd.xlsx", "A 11824-2025")</f>
        <v/>
      </c>
      <c r="W8">
        <f>HYPERLINK("https://klasma.github.io/Logging_1485/kartor/A 11824-2025 karta.png", "A 11824-2025")</f>
        <v/>
      </c>
      <c r="Y8">
        <f>HYPERLINK("https://klasma.github.io/Logging_1485/klagomål/A 11824-2025 FSC-klagomål.docx", "A 11824-2025")</f>
        <v/>
      </c>
      <c r="Z8">
        <f>HYPERLINK("https://klasma.github.io/Logging_1485/klagomålsmail/A 11824-2025 FSC-klagomål mail.docx", "A 11824-2025")</f>
        <v/>
      </c>
      <c r="AA8">
        <f>HYPERLINK("https://klasma.github.io/Logging_1485/tillsyn/A 11824-2025 tillsynsbegäran.docx", "A 11824-2025")</f>
        <v/>
      </c>
      <c r="AB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46217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46217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46217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46217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25010-2025 artfynd.xlsx", "A 25010-2025")</f>
        <v/>
      </c>
      <c r="W12">
        <f>HYPERLINK("https://klasma.github.io/Logging_1485/kartor/A 25010-2025 karta.png", "A 25010-2025")</f>
        <v/>
      </c>
      <c r="Y12">
        <f>HYPERLINK("https://klasma.github.io/Logging_1485/klagomål/A 25010-2025 FSC-klagomål.docx", "A 25010-2025")</f>
        <v/>
      </c>
      <c r="Z12">
        <f>HYPERLINK("https://klasma.github.io/Logging_1485/klagomålsmail/A 25010-2025 FSC-klagomål mail.docx", "A 25010-2025")</f>
        <v/>
      </c>
      <c r="AA12">
        <f>HYPERLINK("https://klasma.github.io/Logging_1485/tillsyn/A 25010-2025 tillsynsbegäran.docx", "A 25010-2025")</f>
        <v/>
      </c>
      <c r="AB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46217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62065-2024 artfynd.xlsx", "A 62065-2024")</f>
        <v/>
      </c>
      <c r="W13">
        <f>HYPERLINK("https://klasma.github.io/Logging_1485/kartor/A 62065-2024 karta.png", "A 62065-2024")</f>
        <v/>
      </c>
      <c r="Y13">
        <f>HYPERLINK("https://klasma.github.io/Logging_1485/klagomål/A 62065-2024 FSC-klagomål.docx", "A 62065-2024")</f>
        <v/>
      </c>
      <c r="Z13">
        <f>HYPERLINK("https://klasma.github.io/Logging_1485/klagomålsmail/A 62065-2024 FSC-klagomål mail.docx", "A 62065-2024")</f>
        <v/>
      </c>
      <c r="AA13">
        <f>HYPERLINK("https://klasma.github.io/Logging_1485/tillsyn/A 62065-2024 tillsynsbegäran.docx", "A 62065-2024")</f>
        <v/>
      </c>
      <c r="AB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46217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Y14">
        <f>HYPERLINK("https://klasma.github.io/Logging_1485/klagomål/A 59552-2025 FSC-klagomål.docx", "A 59552-2025")</f>
        <v/>
      </c>
      <c r="Z14">
        <f>HYPERLINK("https://klasma.github.io/Logging_1485/klagomålsmail/A 59552-2025 FSC-klagomål mail.docx", "A 59552-2025")</f>
        <v/>
      </c>
      <c r="AA14">
        <f>HYPERLINK("https://klasma.github.io/Logging_1485/tillsyn/A 59552-2025 tillsynsbegäran.docx", "A 59552-2025")</f>
        <v/>
      </c>
      <c r="AB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46217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Blåmossa
Västlig hakmossa
Spillkråka</t>
        </is>
      </c>
      <c r="V15">
        <f>HYPERLINK("https://klasma.github.io/Logging_1485/artfynd/A 3435-2024 artfynd.xlsx", "A 3435-2024")</f>
        <v/>
      </c>
      <c r="W15">
        <f>HYPERLINK("https://klasma.github.io/Logging_1485/kartor/A 3435-2024 karta.png", "A 3435-2024")</f>
        <v/>
      </c>
      <c r="Y15">
        <f>HYPERLINK("https://klasma.github.io/Logging_1485/klagomål/A 3435-2024 FSC-klagomål.docx", "A 3435-2024")</f>
        <v/>
      </c>
      <c r="Z15">
        <f>HYPERLINK("https://klasma.github.io/Logging_1485/klagomålsmail/A 3435-2024 FSC-klagomål mail.docx", "A 3435-2024")</f>
        <v/>
      </c>
      <c r="AA15">
        <f>HYPERLINK("https://klasma.github.io/Logging_1485/tillsyn/A 3435-2024 tillsynsbegäran.docx", "A 3435-2024")</f>
        <v/>
      </c>
      <c r="AB15">
        <f>HYPERLINK("https://klasma.github.io/Logging_1485/tillsynsmail/A 3435-2024 tillsynsbegäran mail.docx", "A 3435-2024")</f>
        <v/>
      </c>
      <c r="AC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46217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Kråka
Gullviva
Revlummer</t>
        </is>
      </c>
      <c r="V16">
        <f>HYPERLINK("https://klasma.github.io/Logging_1485/artfynd/A 24986-2026 artfynd.xlsx", "A 24986-2026")</f>
        <v/>
      </c>
      <c r="W16">
        <f>HYPERLINK("https://klasma.github.io/Logging_1485/kartor/A 24986-2026 karta.png", "A 24986-2026")</f>
        <v/>
      </c>
      <c r="Y16">
        <f>HYPERLINK("https://klasma.github.io/Logging_1485/klagomål/A 24986-2026 FSC-klagomål.docx", "A 24986-2026")</f>
        <v/>
      </c>
      <c r="Z16">
        <f>HYPERLINK("https://klasma.github.io/Logging_1485/klagomålsmail/A 24986-2026 FSC-klagomål mail.docx", "A 24986-2026")</f>
        <v/>
      </c>
      <c r="AA16">
        <f>HYPERLINK("https://klasma.github.io/Logging_1485/tillsyn/A 24986-2026 tillsynsbegäran.docx", "A 24986-2026")</f>
        <v/>
      </c>
      <c r="AB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46217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Y17">
        <f>HYPERLINK("https://klasma.github.io/Logging_1485/klagomål/A 14063-2025 FSC-klagomål.docx", "A 14063-2025")</f>
        <v/>
      </c>
      <c r="Z17">
        <f>HYPERLINK("https://klasma.github.io/Logging_1485/klagomålsmail/A 14063-2025 FSC-klagomål mail.docx", "A 14063-2025")</f>
        <v/>
      </c>
      <c r="AA17">
        <f>HYPERLINK("https://klasma.github.io/Logging_1485/tillsyn/A 14063-2025 tillsynsbegäran.docx", "A 14063-2025")</f>
        <v/>
      </c>
      <c r="AB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46217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Kambräken
Kopparödla</t>
        </is>
      </c>
      <c r="V18">
        <f>HYPERLINK("https://klasma.github.io/Logging_1485/artfynd/A 16863-2025 artfynd.xlsx", "A 16863-2025")</f>
        <v/>
      </c>
      <c r="W18">
        <f>HYPERLINK("https://klasma.github.io/Logging_1485/kartor/A 16863-2025 karta.png", "A 16863-2025")</f>
        <v/>
      </c>
      <c r="Y18">
        <f>HYPERLINK("https://klasma.github.io/Logging_1485/klagomål/A 16863-2025 FSC-klagomål.docx", "A 16863-2025")</f>
        <v/>
      </c>
      <c r="Z18">
        <f>HYPERLINK("https://klasma.github.io/Logging_1485/klagomålsmail/A 16863-2025 FSC-klagomål mail.docx", "A 16863-2025")</f>
        <v/>
      </c>
      <c r="AA18">
        <f>HYPERLINK("https://klasma.github.io/Logging_1485/tillsyn/A 16863-2025 tillsynsbegäran.docx", "A 16863-2025")</f>
        <v/>
      </c>
      <c r="AB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46217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Ask
Entita</t>
        </is>
      </c>
      <c r="V19">
        <f>HYPERLINK("https://klasma.github.io/Logging_1485/artfynd/A 41292-2022 artfynd.xlsx", "A 41292-2022")</f>
        <v/>
      </c>
      <c r="W19">
        <f>HYPERLINK("https://klasma.github.io/Logging_1485/kartor/A 41292-2022 karta.png", "A 41292-2022")</f>
        <v/>
      </c>
      <c r="Y19">
        <f>HYPERLINK("https://klasma.github.io/Logging_1485/klagomål/A 41292-2022 FSC-klagomål.docx", "A 41292-2022")</f>
        <v/>
      </c>
      <c r="Z19">
        <f>HYPERLINK("https://klasma.github.io/Logging_1485/klagomålsmail/A 41292-2022 FSC-klagomål mail.docx", "A 41292-2022")</f>
        <v/>
      </c>
      <c r="AA19">
        <f>HYPERLINK("https://klasma.github.io/Logging_1485/tillsyn/A 41292-2022 tillsynsbegäran.docx", "A 41292-2022")</f>
        <v/>
      </c>
      <c r="AB19">
        <f>HYPERLINK("https://klasma.github.io/Logging_1485/tillsynsmail/A 41292-2022 tillsynsbegäran mail.docx", "A 41292-2022")</f>
        <v/>
      </c>
      <c r="AC19">
        <f>HYPERLINK("https://klasma.github.io/Logging_1485/fåglar/A 41292-2022 prioriterade fågelarter.docx", "A 41292-2022")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46217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Klippfrullania
Västlig hakmossa</t>
        </is>
      </c>
      <c r="V20">
        <f>HYPERLINK("https://klasma.github.io/Logging_1485/artfynd/A 3432-2024 artfynd.xlsx", "A 3432-2024")</f>
        <v/>
      </c>
      <c r="W20">
        <f>HYPERLINK("https://klasma.github.io/Logging_1485/kartor/A 3432-2024 karta.png", "A 3432-2024")</f>
        <v/>
      </c>
      <c r="Y20">
        <f>HYPERLINK("https://klasma.github.io/Logging_1485/klagomål/A 3432-2024 FSC-klagomål.docx", "A 3432-2024")</f>
        <v/>
      </c>
      <c r="Z20">
        <f>HYPERLINK("https://klasma.github.io/Logging_1485/klagomålsmail/A 3432-2024 FSC-klagomål mail.docx", "A 3432-2024")</f>
        <v/>
      </c>
      <c r="AA20">
        <f>HYPERLINK("https://klasma.github.io/Logging_1485/tillsyn/A 3432-2024 tillsynsbegäran.docx", "A 3432-2024")</f>
        <v/>
      </c>
      <c r="AB20">
        <f>HYPERLINK("https://klasma.github.io/Logging_1485/tillsynsmail/A 3432-2024 tillsynsbegäran mail.docx", "A 3432-2024")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46217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Brunpudrad nållav
Blåmossa</t>
        </is>
      </c>
      <c r="V21">
        <f>HYPERLINK("https://klasma.github.io/Logging_1485/artfynd/A 266-2025 artfynd.xlsx", "A 266-2025")</f>
        <v/>
      </c>
      <c r="W21">
        <f>HYPERLINK("https://klasma.github.io/Logging_1485/kartor/A 266-2025 karta.png", "A 266-2025")</f>
        <v/>
      </c>
      <c r="Y21">
        <f>HYPERLINK("https://klasma.github.io/Logging_1485/klagomål/A 266-2025 FSC-klagomål.docx", "A 266-2025")</f>
        <v/>
      </c>
      <c r="Z21">
        <f>HYPERLINK("https://klasma.github.io/Logging_1485/klagomålsmail/A 266-2025 FSC-klagomål mail.docx", "A 266-2025")</f>
        <v/>
      </c>
      <c r="AA21">
        <f>HYPERLINK("https://klasma.github.io/Logging_1485/tillsyn/A 266-2025 tillsynsbegäran.docx", "A 266-2025")</f>
        <v/>
      </c>
      <c r="AB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46217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Lundvårlök</t>
        </is>
      </c>
      <c r="V22">
        <f>HYPERLINK("https://klasma.github.io/Logging_1485/artfynd/A 57654-2025 artfynd.xlsx", "A 57654-2025")</f>
        <v/>
      </c>
      <c r="W22">
        <f>HYPERLINK("https://klasma.github.io/Logging_1485/kartor/A 57654-2025 karta.png", "A 57654-2025")</f>
        <v/>
      </c>
      <c r="Y22">
        <f>HYPERLINK("https://klasma.github.io/Logging_1485/klagomål/A 57654-2025 FSC-klagomål.docx", "A 57654-2025")</f>
        <v/>
      </c>
      <c r="Z22">
        <f>HYPERLINK("https://klasma.github.io/Logging_1485/klagomålsmail/A 57654-2025 FSC-klagomål mail.docx", "A 57654-2025")</f>
        <v/>
      </c>
      <c r="AA22">
        <f>HYPERLINK("https://klasma.github.io/Logging_1485/tillsyn/A 57654-2025 tillsynsbegäran.docx", "A 57654-2025")</f>
        <v/>
      </c>
      <c r="AB22">
        <f>HYPERLINK("https://klasma.github.io/Logging_1485/tillsynsmail/A 57654-2025 tillsynsbegäran mail.docx", "A 57654-2025")</f>
        <v/>
      </c>
    </row>
    <row r="23" ht="15" customHeight="1">
      <c r="A23" t="inlineStr">
        <is>
          <t>A 32523-2024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46217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s="2" t="inlineStr">
        <is>
          <t>Grönhjon
Granbarkgnagare</t>
        </is>
      </c>
      <c r="V23">
        <f>HYPERLINK("https://klasma.github.io/Logging_1485/artfynd/A 32523-2024 artfynd.xlsx", "A 32523-2024")</f>
        <v/>
      </c>
      <c r="W23">
        <f>HYPERLINK("https://klasma.github.io/Logging_1485/kartor/A 32523-2024 karta.png", "A 32523-2024")</f>
        <v/>
      </c>
      <c r="Y23">
        <f>HYPERLINK("https://klasma.github.io/Logging_1485/klagomål/A 32523-2024 FSC-klagomål.docx", "A 32523-2024")</f>
        <v/>
      </c>
      <c r="Z23">
        <f>HYPERLINK("https://klasma.github.io/Logging_1485/klagomålsmail/A 32523-2024 FSC-klagomål mail.docx", "A 32523-2024")</f>
        <v/>
      </c>
      <c r="AA23">
        <f>HYPERLINK("https://klasma.github.io/Logging_1485/tillsyn/A 32523-2024 tillsynsbegäran.docx", "A 32523-2024")</f>
        <v/>
      </c>
      <c r="AB23">
        <f>HYPERLINK("https://klasma.github.io/Logging_1485/tillsynsmail/A 32523-2024 tillsynsbegäran mail.docx", "A 32523-2024")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46217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Iller
Svinrot</t>
        </is>
      </c>
      <c r="V24">
        <f>HYPERLINK("https://klasma.github.io/Logging_1485/artfynd/A 16882-2026 artfynd.xlsx", "A 16882-2026")</f>
        <v/>
      </c>
      <c r="W24">
        <f>HYPERLINK("https://klasma.github.io/Logging_1485/kartor/A 16882-2026 karta.png", "A 16882-2026")</f>
        <v/>
      </c>
      <c r="Y24">
        <f>HYPERLINK("https://klasma.github.io/Logging_1485/klagomål/A 16882-2026 FSC-klagomål.docx", "A 16882-2026")</f>
        <v/>
      </c>
      <c r="Z24">
        <f>HYPERLINK("https://klasma.github.io/Logging_1485/klagomålsmail/A 16882-2026 FSC-klagomål mail.docx", "A 16882-2026")</f>
        <v/>
      </c>
      <c r="AA24">
        <f>HYPERLINK("https://klasma.github.io/Logging_1485/tillsyn/A 16882-2026 tillsynsbegäran.docx", "A 16882-2026")</f>
        <v/>
      </c>
      <c r="AB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46217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Revlummer</t>
        </is>
      </c>
      <c r="V25">
        <f>HYPERLINK("https://klasma.github.io/Logging_1485/artfynd/A 17995-2026 artfynd.xlsx", "A 17995-2026")</f>
        <v/>
      </c>
      <c r="W25">
        <f>HYPERLINK("https://klasma.github.io/Logging_1485/kartor/A 17995-2026 karta.png", "A 17995-2026")</f>
        <v/>
      </c>
      <c r="Y25">
        <f>HYPERLINK("https://klasma.github.io/Logging_1485/klagomål/A 17995-2026 FSC-klagomål.docx", "A 17995-2026")</f>
        <v/>
      </c>
      <c r="Z25">
        <f>HYPERLINK("https://klasma.github.io/Logging_1485/klagomålsmail/A 17995-2026 FSC-klagomål mail.docx", "A 17995-2026")</f>
        <v/>
      </c>
      <c r="AA25">
        <f>HYPERLINK("https://klasma.github.io/Logging_1485/tillsyn/A 17995-2026 tillsynsbegäran.docx", "A 17995-2026")</f>
        <v/>
      </c>
      <c r="AB25">
        <f>HYPERLINK("https://klasma.github.io/Logging_1485/tillsynsmail/A 17995-2026 tillsynsbegäran mail.docx", "A 17995-2026")</f>
        <v/>
      </c>
      <c r="AC25">
        <f>HYPERLINK("https://klasma.github.io/Logging_1485/fåglar/A 17995-2026 prioriterade fågelarter.docx", "A 17995-2026")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46217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s="2" t="inlineStr">
        <is>
          <t>Grönhjon
Granbarkgnagare</t>
        </is>
      </c>
      <c r="V26">
        <f>HYPERLINK("https://klasma.github.io/Logging_1485/artfynd/A 32528-2024 artfynd.xlsx", "A 32528-2024")</f>
        <v/>
      </c>
      <c r="W26">
        <f>HYPERLINK("https://klasma.github.io/Logging_1485/kartor/A 32528-2024 karta.png", "A 32528-2024")</f>
        <v/>
      </c>
      <c r="Y26">
        <f>HYPERLINK("https://klasma.github.io/Logging_1485/klagomål/A 32528-2024 FSC-klagomål.docx", "A 32528-2024")</f>
        <v/>
      </c>
      <c r="Z26">
        <f>HYPERLINK("https://klasma.github.io/Logging_1485/klagomålsmail/A 32528-2024 FSC-klagomål mail.docx", "A 32528-2024")</f>
        <v/>
      </c>
      <c r="AA26">
        <f>HYPERLINK("https://klasma.github.io/Logging_1485/tillsyn/A 32528-2024 tillsynsbegäran.docx", "A 32528-2024")</f>
        <v/>
      </c>
      <c r="AB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46217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Åttafläckig praktbagge</t>
        </is>
      </c>
      <c r="V27">
        <f>HYPERLINK("https://klasma.github.io/Logging_1485/artfynd/A 65109-2023 artfynd.xlsx", "A 65109-2023")</f>
        <v/>
      </c>
      <c r="W27">
        <f>HYPERLINK("https://klasma.github.io/Logging_1485/kartor/A 65109-2023 karta.png", "A 65109-2023")</f>
        <v/>
      </c>
      <c r="Y27">
        <f>HYPERLINK("https://klasma.github.io/Logging_1485/klagomål/A 65109-2023 FSC-klagomål.docx", "A 65109-2023")</f>
        <v/>
      </c>
      <c r="Z27">
        <f>HYPERLINK("https://klasma.github.io/Logging_1485/klagomålsmail/A 65109-2023 FSC-klagomål mail.docx", "A 65109-2023")</f>
        <v/>
      </c>
      <c r="AA27">
        <f>HYPERLINK("https://klasma.github.io/Logging_1485/tillsyn/A 65109-2023 tillsynsbegäran.docx", "A 65109-2023")</f>
        <v/>
      </c>
      <c r="AB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46217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s="2" t="inlineStr">
        <is>
          <t>Västlig hakmossa
Spillkråka</t>
        </is>
      </c>
      <c r="V28">
        <f>HYPERLINK("https://klasma.github.io/Logging_1485/artfynd/A 8666-2024 artfynd.xlsx", "A 8666-2024")</f>
        <v/>
      </c>
      <c r="W28">
        <f>HYPERLINK("https://klasma.github.io/Logging_1485/kartor/A 8666-2024 karta.png", "A 8666-2024")</f>
        <v/>
      </c>
      <c r="Y28">
        <f>HYPERLINK("https://klasma.github.io/Logging_1485/klagomål/A 8666-2024 FSC-klagomål.docx", "A 8666-2024")</f>
        <v/>
      </c>
      <c r="Z28">
        <f>HYPERLINK("https://klasma.github.io/Logging_1485/klagomålsmail/A 8666-2024 FSC-klagomål mail.docx", "A 8666-2024")</f>
        <v/>
      </c>
      <c r="AA28">
        <f>HYPERLINK("https://klasma.github.io/Logging_1485/tillsyn/A 8666-2024 tillsynsbegäran.docx", "A 8666-2024")</f>
        <v/>
      </c>
      <c r="AB28">
        <f>HYPERLINK("https://klasma.github.io/Logging_1485/tillsynsmail/A 8666-2024 tillsynsbegäran mail.docx", "A 8666-2024")</f>
        <v/>
      </c>
      <c r="AC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46217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46217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Y30">
        <f>HYPERLINK("https://klasma.github.io/Logging_1485/klagomål/A 25806-2022 FSC-klagomål.docx", "A 25806-2022")</f>
        <v/>
      </c>
      <c r="Z30">
        <f>HYPERLINK("https://klasma.github.io/Logging_1485/klagomålsmail/A 25806-2022 FSC-klagomål mail.docx", "A 25806-2022")</f>
        <v/>
      </c>
      <c r="AA30">
        <f>HYPERLINK("https://klasma.github.io/Logging_1485/tillsyn/A 25806-2022 tillsynsbegäran.docx", "A 25806-2022")</f>
        <v/>
      </c>
      <c r="AB30">
        <f>HYPERLINK("https://klasma.github.io/Logging_1485/tillsynsmail/A 25806-2022 tillsynsbegäran mail.docx", "A 25806-2022")</f>
        <v/>
      </c>
      <c r="AC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46217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Y31">
        <f>HYPERLINK("https://klasma.github.io/Logging_1485/klagomål/A 51869-2021 FSC-klagomål.docx", "A 51869-2021")</f>
        <v/>
      </c>
      <c r="Z31">
        <f>HYPERLINK("https://klasma.github.io/Logging_1485/klagomålsmail/A 51869-2021 FSC-klagomål mail.docx", "A 51869-2021")</f>
        <v/>
      </c>
      <c r="AA31">
        <f>HYPERLINK("https://klasma.github.io/Logging_1485/tillsyn/A 51869-2021 tillsynsbegäran.docx", "A 51869-2021")</f>
        <v/>
      </c>
      <c r="AB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46217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Lundvaxskivling</t>
        </is>
      </c>
      <c r="V32">
        <f>HYPERLINK("https://klasma.github.io/Logging_1485/artfynd/A 34058-2023 artfynd.xlsx", "A 34058-2023")</f>
        <v/>
      </c>
      <c r="W32">
        <f>HYPERLINK("https://klasma.github.io/Logging_1485/kartor/A 34058-2023 karta.png", "A 34058-2023")</f>
        <v/>
      </c>
      <c r="Y32">
        <f>HYPERLINK("https://klasma.github.io/Logging_1485/klagomål/A 34058-2023 FSC-klagomål.docx", "A 34058-2023")</f>
        <v/>
      </c>
      <c r="Z32">
        <f>HYPERLINK("https://klasma.github.io/Logging_1485/klagomålsmail/A 34058-2023 FSC-klagomål mail.docx", "A 34058-2023")</f>
        <v/>
      </c>
      <c r="AA32">
        <f>HYPERLINK("https://klasma.github.io/Logging_1485/tillsyn/A 34058-2023 tillsynsbegäran.docx", "A 34058-2023")</f>
        <v/>
      </c>
      <c r="AB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46217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Grönsångare</t>
        </is>
      </c>
      <c r="V33">
        <f>HYPERLINK("https://klasma.github.io/Logging_1485/artfynd/A 495-2023 artfynd.xlsx", "A 495-2023")</f>
        <v/>
      </c>
      <c r="W33">
        <f>HYPERLINK("https://klasma.github.io/Logging_1485/kartor/A 495-2023 karta.png", "A 495-2023")</f>
        <v/>
      </c>
      <c r="Y33">
        <f>HYPERLINK("https://klasma.github.io/Logging_1485/klagomål/A 495-2023 FSC-klagomål.docx", "A 495-2023")</f>
        <v/>
      </c>
      <c r="Z33">
        <f>HYPERLINK("https://klasma.github.io/Logging_1485/klagomålsmail/A 495-2023 FSC-klagomål mail.docx", "A 495-2023")</f>
        <v/>
      </c>
      <c r="AA33">
        <f>HYPERLINK("https://klasma.github.io/Logging_1485/tillsyn/A 495-2023 tillsynsbegäran.docx", "A 495-2023")</f>
        <v/>
      </c>
      <c r="AB33">
        <f>HYPERLINK("https://klasma.github.io/Logging_1485/tillsynsmail/A 495-2023 tillsynsbegäran mail.docx", "A 495-2023")</f>
        <v/>
      </c>
      <c r="AC33">
        <f>HYPERLINK("https://klasma.github.io/Logging_1485/fåglar/A 495-2023 prioriterade fågelarter.docx", "A 495-2023")</f>
        <v/>
      </c>
    </row>
    <row r="34" ht="15" customHeight="1">
      <c r="A34" t="inlineStr">
        <is>
          <t>A 50274-2024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46217</v>
      </c>
      <c r="F34" t="inlineStr">
        <is>
          <t>VÄSTRA GÖTALANDS LÄN</t>
        </is>
      </c>
      <c r="G34" t="inlineStr">
        <is>
          <t>UDDEVALLA</t>
        </is>
      </c>
      <c r="I34" t="n">
        <v>20.1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Grönsångare</t>
        </is>
      </c>
      <c r="V34">
        <f>HYPERLINK("https://klasma.github.io/Logging_1485/artfynd/A 50274-2024 artfynd.xlsx", "A 50274-2024")</f>
        <v/>
      </c>
      <c r="W34">
        <f>HYPERLINK("https://klasma.github.io/Logging_1485/kartor/A 50274-2024 karta.png", "A 50274-2024")</f>
        <v/>
      </c>
      <c r="Y34">
        <f>HYPERLINK("https://klasma.github.io/Logging_1485/klagomål/A 50274-2024 FSC-klagomål.docx", "A 50274-2024")</f>
        <v/>
      </c>
      <c r="Z34">
        <f>HYPERLINK("https://klasma.github.io/Logging_1485/klagomålsmail/A 50274-2024 FSC-klagomål mail.docx", "A 50274-2024")</f>
        <v/>
      </c>
      <c r="AA34">
        <f>HYPERLINK("https://klasma.github.io/Logging_1485/tillsyn/A 50274-2024 tillsynsbegäran.docx", "A 50274-2024")</f>
        <v/>
      </c>
      <c r="AB34">
        <f>HYPERLINK("https://klasma.github.io/Logging_1485/tillsynsmail/A 50274-2024 tillsynsbegäran mail.docx", "A 50274-2024")</f>
        <v/>
      </c>
      <c r="AC34">
        <f>HYPERLINK("https://klasma.github.io/Logging_1485/fåglar/A 50274-2024 prioriterade fågelarter.docx", "A 50274-2024")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46217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HYPERLINK("https://klasma.github.io/Logging_1485/artfynd/A 10865-2022 artfynd.xlsx", "A 10865-2022")</f>
        <v/>
      </c>
      <c r="W35">
        <f>HYPERLINK("https://klasma.github.io/Logging_1485/kartor/A 10865-2022 karta.png", "A 10865-2022")</f>
        <v/>
      </c>
      <c r="Y35">
        <f>HYPERLINK("https://klasma.github.io/Logging_1485/klagomål/A 10865-2022 FSC-klagomål.docx", "A 10865-2022")</f>
        <v/>
      </c>
      <c r="Z35">
        <f>HYPERLINK("https://klasma.github.io/Logging_1485/klagomålsmail/A 10865-2022 FSC-klagomål mail.docx", "A 10865-2022")</f>
        <v/>
      </c>
      <c r="AA35">
        <f>HYPERLINK("https://klasma.github.io/Logging_1485/tillsyn/A 10865-2022 tillsynsbegäran.docx", "A 10865-2022")</f>
        <v/>
      </c>
      <c r="AB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46217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Kopparödla</t>
        </is>
      </c>
      <c r="V36">
        <f>HYPERLINK("https://klasma.github.io/Logging_1485/artfynd/A 29691-2023 artfynd.xlsx", "A 29691-2023")</f>
        <v/>
      </c>
      <c r="W36">
        <f>HYPERLINK("https://klasma.github.io/Logging_1485/kartor/A 29691-2023 karta.png", "A 29691-2023")</f>
        <v/>
      </c>
      <c r="Y36">
        <f>HYPERLINK("https://klasma.github.io/Logging_1485/klagomål/A 29691-2023 FSC-klagomål.docx", "A 29691-2023")</f>
        <v/>
      </c>
      <c r="Z36">
        <f>HYPERLINK("https://klasma.github.io/Logging_1485/klagomålsmail/A 29691-2023 FSC-klagomål mail.docx", "A 29691-2023")</f>
        <v/>
      </c>
      <c r="AA36">
        <f>HYPERLINK("https://klasma.github.io/Logging_1485/tillsyn/A 29691-2023 tillsynsbegäran.docx", "A 29691-2023")</f>
        <v/>
      </c>
      <c r="AB36">
        <f>HYPERLINK("https://klasma.github.io/Logging_1485/tillsynsmail/A 29691-2023 tillsynsbegäran mail.docx", "A 29691-2023")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46217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Gröngöling</t>
        </is>
      </c>
      <c r="V37">
        <f>HYPERLINK("https://klasma.github.io/Logging_1485/artfynd/A 22603-2023 artfynd.xlsx", "A 22603-2023")</f>
        <v/>
      </c>
      <c r="W37">
        <f>HYPERLINK("https://klasma.github.io/Logging_1485/kartor/A 22603-2023 karta.png", "A 22603-2023")</f>
        <v/>
      </c>
      <c r="Y37">
        <f>HYPERLINK("https://klasma.github.io/Logging_1485/klagomål/A 22603-2023 FSC-klagomål.docx", "A 22603-2023")</f>
        <v/>
      </c>
      <c r="Z37">
        <f>HYPERLINK("https://klasma.github.io/Logging_1485/klagomålsmail/A 22603-2023 FSC-klagomål mail.docx", "A 22603-2023")</f>
        <v/>
      </c>
      <c r="AA37">
        <f>HYPERLINK("https://klasma.github.io/Logging_1485/tillsyn/A 22603-2023 tillsynsbegäran.docx", "A 22603-2023")</f>
        <v/>
      </c>
      <c r="AB37">
        <f>HYPERLINK("https://klasma.github.io/Logging_1485/tillsynsmail/A 22603-2023 tillsynsbegäran mail.docx", "A 22603-2023")</f>
        <v/>
      </c>
    </row>
    <row r="38" ht="15" customHeight="1">
      <c r="A38" t="inlineStr">
        <is>
          <t>A 9424-2026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46071</v>
      </c>
      <c r="E38" s="1" t="n">
        <v>46217</v>
      </c>
      <c r="F38" t="inlineStr">
        <is>
          <t>VÄSTRA GÖTALANDS LÄN</t>
        </is>
      </c>
      <c r="G38" t="inlineStr">
        <is>
          <t>UDDEVALLA</t>
        </is>
      </c>
      <c r="I38" t="n">
        <v>4.3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Flotagräs</t>
        </is>
      </c>
      <c r="V38">
        <f>HYPERLINK("https://klasma.github.io/Logging_1485/artfynd/A 9424-2026 artfynd.xlsx", "A 9424-2026")</f>
        <v/>
      </c>
      <c r="W38">
        <f>HYPERLINK("https://klasma.github.io/Logging_1485/kartor/A 9424-2026 karta.png", "A 9424-2026")</f>
        <v/>
      </c>
      <c r="Y38">
        <f>HYPERLINK("https://klasma.github.io/Logging_1485/klagomål/A 9424-2026 FSC-klagomål.docx", "A 9424-2026")</f>
        <v/>
      </c>
      <c r="Z38">
        <f>HYPERLINK("https://klasma.github.io/Logging_1485/klagomålsmail/A 9424-2026 FSC-klagomål mail.docx", "A 9424-2026")</f>
        <v/>
      </c>
      <c r="AA38">
        <f>HYPERLINK("https://klasma.github.io/Logging_1485/tillsyn/A 9424-2026 tillsynsbegäran.docx", "A 9424-2026")</f>
        <v/>
      </c>
      <c r="AB38">
        <f>HYPERLINK("https://klasma.github.io/Logging_1485/tillsynsmail/A 9424-2026 tillsynsbegäran mail.docx", "A 9424-2026")</f>
        <v/>
      </c>
    </row>
    <row r="39" ht="15" customHeight="1">
      <c r="A39" t="inlineStr">
        <is>
          <t>A 7770-2024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46217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Kyrkan</t>
        </is>
      </c>
      <c r="I39" t="n">
        <v>6.2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Blåsippa</t>
        </is>
      </c>
      <c r="V39">
        <f>HYPERLINK("https://klasma.github.io/Logging_1485/artfynd/A 7770-2024 artfynd.xlsx", "A 7770-2024")</f>
        <v/>
      </c>
      <c r="W39">
        <f>HYPERLINK("https://klasma.github.io/Logging_1485/kartor/A 7770-2024 karta.png", "A 7770-2024")</f>
        <v/>
      </c>
      <c r="Y39">
        <f>HYPERLINK("https://klasma.github.io/Logging_1485/klagomål/A 7770-2024 FSC-klagomål.docx", "A 7770-2024")</f>
        <v/>
      </c>
      <c r="Z39">
        <f>HYPERLINK("https://klasma.github.io/Logging_1485/klagomålsmail/A 7770-2024 FSC-klagomål mail.docx", "A 7770-2024")</f>
        <v/>
      </c>
      <c r="AA39">
        <f>HYPERLINK("https://klasma.github.io/Logging_1485/tillsyn/A 7770-2024 tillsynsbegäran.docx", "A 7770-2024")</f>
        <v/>
      </c>
      <c r="AB39">
        <f>HYPERLINK("https://klasma.github.io/Logging_1485/tillsynsmail/A 7770-2024 tillsynsbegäran mail.docx", "A 7770-2024")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46217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HYPERLINK("https://klasma.github.io/Logging_1485/artfynd/A 55288-2023 artfynd.xlsx", "A 55288-2023")</f>
        <v/>
      </c>
      <c r="W40">
        <f>HYPERLINK("https://klasma.github.io/Logging_1485/kartor/A 55288-2023 karta.png", "A 55288-2023")</f>
        <v/>
      </c>
      <c r="Y40">
        <f>HYPERLINK("https://klasma.github.io/Logging_1485/klagomål/A 55288-2023 FSC-klagomål.docx", "A 55288-2023")</f>
        <v/>
      </c>
      <c r="Z40">
        <f>HYPERLINK("https://klasma.github.io/Logging_1485/klagomålsmail/A 55288-2023 FSC-klagomål mail.docx", "A 55288-2023")</f>
        <v/>
      </c>
      <c r="AA40">
        <f>HYPERLINK("https://klasma.github.io/Logging_1485/tillsyn/A 55288-2023 tillsynsbegäran.docx", "A 55288-2023")</f>
        <v/>
      </c>
      <c r="AB40">
        <f>HYPERLINK("https://klasma.github.io/Logging_1485/tillsynsmail/A 55288-2023 tillsynsbegäran mail.docx", "A 55288-2023")</f>
        <v/>
      </c>
    </row>
    <row r="41" ht="15" customHeight="1">
      <c r="A41" t="inlineStr">
        <is>
          <t>A 2429-2026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46217</v>
      </c>
      <c r="F41" t="inlineStr">
        <is>
          <t>VÄSTRA GÖTALANDS LÄN</t>
        </is>
      </c>
      <c r="G41" t="inlineStr">
        <is>
          <t>UDDEVALLA</t>
        </is>
      </c>
      <c r="I41" t="n">
        <v>7.6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Slåttergubbe</t>
        </is>
      </c>
      <c r="V41">
        <f>HYPERLINK("https://klasma.github.io/Logging_1485/artfynd/A 2429-2026 artfynd.xlsx", "A 2429-2026")</f>
        <v/>
      </c>
      <c r="W41">
        <f>HYPERLINK("https://klasma.github.io/Logging_1485/kartor/A 2429-2026 karta.png", "A 2429-2026")</f>
        <v/>
      </c>
      <c r="Y41">
        <f>HYPERLINK("https://klasma.github.io/Logging_1485/klagomål/A 2429-2026 FSC-klagomål.docx", "A 2429-2026")</f>
        <v/>
      </c>
      <c r="Z41">
        <f>HYPERLINK("https://klasma.github.io/Logging_1485/klagomålsmail/A 2429-2026 FSC-klagomål mail.docx", "A 2429-2026")</f>
        <v/>
      </c>
      <c r="AA41">
        <f>HYPERLINK("https://klasma.github.io/Logging_1485/tillsyn/A 2429-2026 tillsynsbegäran.docx", "A 2429-2026")</f>
        <v/>
      </c>
      <c r="AB41">
        <f>HYPERLINK("https://klasma.github.io/Logging_1485/tillsynsmail/A 2429-2026 tillsynsbegäran mail.docx", "A 2429-2026")</f>
        <v/>
      </c>
    </row>
    <row r="42" ht="15" customHeight="1">
      <c r="A42" t="inlineStr">
        <is>
          <t>A 236-2023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46217</v>
      </c>
      <c r="F42" t="inlineStr">
        <is>
          <t>VÄSTRA GÖTALANDS LÄN</t>
        </is>
      </c>
      <c r="G42" t="inlineStr">
        <is>
          <t>UDDEVALLA</t>
        </is>
      </c>
      <c r="I42" t="n">
        <v>16.7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Rödgul trumpetsvamp</t>
        </is>
      </c>
      <c r="V42">
        <f>HYPERLINK("https://klasma.github.io/Logging_1485/artfynd/A 236-2023 artfynd.xlsx", "A 236-2023")</f>
        <v/>
      </c>
      <c r="W42">
        <f>HYPERLINK("https://klasma.github.io/Logging_1485/kartor/A 236-2023 karta.png", "A 236-2023")</f>
        <v/>
      </c>
      <c r="Y42">
        <f>HYPERLINK("https://klasma.github.io/Logging_1485/klagomål/A 236-2023 FSC-klagomål.docx", "A 236-2023")</f>
        <v/>
      </c>
      <c r="Z42">
        <f>HYPERLINK("https://klasma.github.io/Logging_1485/klagomålsmail/A 236-2023 FSC-klagomål mail.docx", "A 236-2023")</f>
        <v/>
      </c>
      <c r="AA42">
        <f>HYPERLINK("https://klasma.github.io/Logging_1485/tillsyn/A 236-2023 tillsynsbegäran.docx", "A 236-2023")</f>
        <v/>
      </c>
      <c r="AB42">
        <f>HYPERLINK("https://klasma.github.io/Logging_1485/tillsynsmail/A 236-2023 tillsynsbegäran mail.docx", "A 236-2023")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46217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HYPERLINK("https://klasma.github.io/Logging_1485/artfynd/A 23401-2023 artfynd.xlsx", "A 23401-2023")</f>
        <v/>
      </c>
      <c r="W43">
        <f>HYPERLINK("https://klasma.github.io/Logging_1485/kartor/A 23401-2023 karta.png", "A 23401-2023")</f>
        <v/>
      </c>
      <c r="Y43">
        <f>HYPERLINK("https://klasma.github.io/Logging_1485/klagomål/A 23401-2023 FSC-klagomål.docx", "A 23401-2023")</f>
        <v/>
      </c>
      <c r="Z43">
        <f>HYPERLINK("https://klasma.github.io/Logging_1485/klagomålsmail/A 23401-2023 FSC-klagomål mail.docx", "A 23401-2023")</f>
        <v/>
      </c>
      <c r="AA43">
        <f>HYPERLINK("https://klasma.github.io/Logging_1485/tillsyn/A 23401-2023 tillsynsbegäran.docx", "A 23401-2023")</f>
        <v/>
      </c>
      <c r="AB43">
        <f>HYPERLINK("https://klasma.github.io/Logging_1485/tillsynsmail/A 23401-2023 tillsynsbegäran mail.docx", "A 23401-2023")</f>
        <v/>
      </c>
    </row>
    <row r="44" ht="15" customHeight="1">
      <c r="A44" t="inlineStr">
        <is>
          <t>A 23322-2025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46217</v>
      </c>
      <c r="F44" t="inlineStr">
        <is>
          <t>VÄSTRA GÖTALANDS LÄN</t>
        </is>
      </c>
      <c r="G44" t="inlineStr">
        <is>
          <t>UDDEVALLA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Kungsörn</t>
        </is>
      </c>
      <c r="V44">
        <f>HYPERLINK("https://klasma.github.io/Logging_1485/artfynd/A 23322-2025 artfynd.xlsx", "A 23322-2025")</f>
        <v/>
      </c>
      <c r="W44">
        <f>HYPERLINK("https://klasma.github.io/Logging_1485/kartor/A 23322-2025 karta.png", "A 23322-2025")</f>
        <v/>
      </c>
      <c r="Y44">
        <f>HYPERLINK("https://klasma.github.io/Logging_1485/klagomål/A 23322-2025 FSC-klagomål.docx", "A 23322-2025")</f>
        <v/>
      </c>
      <c r="Z44">
        <f>HYPERLINK("https://klasma.github.io/Logging_1485/klagomålsmail/A 23322-2025 FSC-klagomål mail.docx", "A 23322-2025")</f>
        <v/>
      </c>
      <c r="AA44">
        <f>HYPERLINK("https://klasma.github.io/Logging_1485/tillsyn/A 23322-2025 tillsynsbegäran.docx", "A 23322-2025")</f>
        <v/>
      </c>
      <c r="AB44">
        <f>HYPERLINK("https://klasma.github.io/Logging_1485/tillsynsmail/A 23322-2025 tillsynsbegäran mail.docx", "A 23322-2025")</f>
        <v/>
      </c>
      <c r="AC44">
        <f>HYPERLINK("https://klasma.github.io/Logging_1485/fåglar/A 23322-2025 prioriterade fågelarter.docx", "A 23322-2025")</f>
        <v/>
      </c>
    </row>
    <row r="45" ht="15" customHeight="1">
      <c r="A45" t="inlineStr">
        <is>
          <t>A 30954-2025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46217</v>
      </c>
      <c r="F45" t="inlineStr">
        <is>
          <t>VÄSTRA GÖTALANDS LÄN</t>
        </is>
      </c>
      <c r="G45" t="inlineStr">
        <is>
          <t>UDDEVALLA</t>
        </is>
      </c>
      <c r="I45" t="n">
        <v>11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Svinrot</t>
        </is>
      </c>
      <c r="V45">
        <f>HYPERLINK("https://klasma.github.io/Logging_1485/artfynd/A 30954-2025 artfynd.xlsx", "A 30954-2025")</f>
        <v/>
      </c>
      <c r="W45">
        <f>HYPERLINK("https://klasma.github.io/Logging_1485/kartor/A 30954-2025 karta.png", "A 30954-2025")</f>
        <v/>
      </c>
      <c r="Y45">
        <f>HYPERLINK("https://klasma.github.io/Logging_1485/klagomål/A 30954-2025 FSC-klagomål.docx", "A 30954-2025")</f>
        <v/>
      </c>
      <c r="Z45">
        <f>HYPERLINK("https://klasma.github.io/Logging_1485/klagomålsmail/A 30954-2025 FSC-klagomål mail.docx", "A 30954-2025")</f>
        <v/>
      </c>
      <c r="AA45">
        <f>HYPERLINK("https://klasma.github.io/Logging_1485/tillsyn/A 30954-2025 tillsynsbegäran.docx", "A 30954-2025")</f>
        <v/>
      </c>
      <c r="AB45">
        <f>HYPERLINK("https://klasma.github.io/Logging_1485/tillsynsmail/A 30954-2025 tillsynsbegäran mail.docx", "A 30954-2025")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46217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46217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46217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46217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46217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46217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46217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46217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46217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46217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46217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46217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46217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46217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46217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46217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46217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46217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46217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46217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46217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46217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46217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46217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46217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46217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46217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46217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46217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46217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46217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46217</v>
      </c>
      <c r="F77" t="inlineStr">
        <is>
          <t>VÄSTRA GÖTALANDS LÄN</t>
        </is>
      </c>
      <c r="G77" t="inlineStr">
        <is>
          <t>UDDEVALLA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23462-2024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45453</v>
      </c>
      <c r="E78" s="1" t="n">
        <v>46217</v>
      </c>
      <c r="F78" t="inlineStr">
        <is>
          <t>VÄSTRA GÖTALANDS LÄN</t>
        </is>
      </c>
      <c r="G78" t="inlineStr">
        <is>
          <t>UDDEVALLA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25469-2024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45463</v>
      </c>
      <c r="E79" s="1" t="n">
        <v>46217</v>
      </c>
      <c r="F79" t="inlineStr">
        <is>
          <t>VÄSTRA GÖTALANDS LÄN</t>
        </is>
      </c>
      <c r="G79" t="inlineStr">
        <is>
          <t>UDDEVALLA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10585-2024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46217</v>
      </c>
      <c r="F80" t="inlineStr">
        <is>
          <t>VÄSTRA GÖTALANDS LÄN</t>
        </is>
      </c>
      <c r="G80" t="inlineStr">
        <is>
          <t>UDDEVALLA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46217</v>
      </c>
      <c r="F81" t="inlineStr">
        <is>
          <t>VÄSTRA GÖTALANDS LÄN</t>
        </is>
      </c>
      <c r="G81" t="inlineStr">
        <is>
          <t>UDDEVALLA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45484</v>
      </c>
      <c r="E82" s="1" t="n">
        <v>46217</v>
      </c>
      <c r="F82" t="inlineStr">
        <is>
          <t>VÄSTRA GÖTALANDS LÄN</t>
        </is>
      </c>
      <c r="G82" t="inlineStr">
        <is>
          <t>UDDEVALLA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46217</v>
      </c>
      <c r="F83" t="inlineStr">
        <is>
          <t>VÄSTRA GÖTALANDS LÄN</t>
        </is>
      </c>
      <c r="G83" t="inlineStr">
        <is>
          <t>UDDEVALLA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46217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17242-2023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46217</v>
      </c>
      <c r="F85" t="inlineStr">
        <is>
          <t>VÄSTRA GÖTALANDS LÄN</t>
        </is>
      </c>
      <c r="G85" t="inlineStr">
        <is>
          <t>UDDEVALLA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46217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33092-2024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45517</v>
      </c>
      <c r="E87" s="1" t="n">
        <v>46217</v>
      </c>
      <c r="F87" t="inlineStr">
        <is>
          <t>VÄSTRA GÖTALANDS LÄN</t>
        </is>
      </c>
      <c r="G87" t="inlineStr">
        <is>
          <t>UDDEVALLA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59513-2024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46217</v>
      </c>
      <c r="F88" t="inlineStr">
        <is>
          <t>VÄSTRA GÖTALANDS LÄN</t>
        </is>
      </c>
      <c r="G88" t="inlineStr">
        <is>
          <t>UDDEVALLA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46217</v>
      </c>
      <c r="F89" t="inlineStr">
        <is>
          <t>VÄSTRA GÖTALANDS LÄN</t>
        </is>
      </c>
      <c r="G89" t="inlineStr">
        <is>
          <t>UDDEVALLA</t>
        </is>
      </c>
      <c r="I89" t="n">
        <v>9.699999999999999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39121-2024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46217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45602</v>
      </c>
      <c r="E91" s="1" t="n">
        <v>46217</v>
      </c>
      <c r="F91" t="inlineStr">
        <is>
          <t>VÄSTRA GÖTALANDS LÄN</t>
        </is>
      </c>
      <c r="G91" t="inlineStr">
        <is>
          <t>UDDEVALLA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41511-2024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46217</v>
      </c>
      <c r="F92" t="inlineStr">
        <is>
          <t>VÄSTRA GÖTALANDS LÄN</t>
        </is>
      </c>
      <c r="G92" t="inlineStr">
        <is>
          <t>UDDEVALLA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4639-2022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44592</v>
      </c>
      <c r="E93" s="1" t="n">
        <v>46217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46480-2023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46217</v>
      </c>
      <c r="F94" t="inlineStr">
        <is>
          <t>VÄSTRA GÖTALANDS LÄN</t>
        </is>
      </c>
      <c r="G94" t="inlineStr">
        <is>
          <t>UDDEVALLA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52889-2023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46217</v>
      </c>
      <c r="F95" t="inlineStr">
        <is>
          <t>VÄSTRA GÖTALANDS LÄN</t>
        </is>
      </c>
      <c r="G95" t="inlineStr">
        <is>
          <t>UDDEVALLA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58385-2024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45633</v>
      </c>
      <c r="E96" s="1" t="n">
        <v>46217</v>
      </c>
      <c r="F96" t="inlineStr">
        <is>
          <t>VÄSTRA GÖTALANDS LÄN</t>
        </is>
      </c>
      <c r="G96" t="inlineStr">
        <is>
          <t>UDDEVALLA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19849-2025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46217</v>
      </c>
      <c r="F97" t="inlineStr">
        <is>
          <t>VÄSTRA GÖTALANDS LÄN</t>
        </is>
      </c>
      <c r="G97" t="inlineStr">
        <is>
          <t>UDDEVALLA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25607-2026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46217</v>
      </c>
      <c r="F98" t="inlineStr">
        <is>
          <t>VÄSTRA GÖTALANDS LÄN</t>
        </is>
      </c>
      <c r="G98" t="inlineStr">
        <is>
          <t>UDDEVALLA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15716-2025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46217</v>
      </c>
      <c r="F99" t="inlineStr">
        <is>
          <t>VÄSTRA GÖTALANDS LÄN</t>
        </is>
      </c>
      <c r="G99" t="inlineStr">
        <is>
          <t>UDDEVALLA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1147-2024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45302</v>
      </c>
      <c r="E100" s="1" t="n">
        <v>46217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38130-2025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45882</v>
      </c>
      <c r="E101" s="1" t="n">
        <v>46217</v>
      </c>
      <c r="F101" t="inlineStr">
        <is>
          <t>VÄSTRA GÖTALANDS LÄN</t>
        </is>
      </c>
      <c r="G101" t="inlineStr">
        <is>
          <t>UDDEVALLA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38133-2025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46217</v>
      </c>
      <c r="F102" t="inlineStr">
        <is>
          <t>VÄSTRA GÖTALANDS LÄN</t>
        </is>
      </c>
      <c r="G102" t="inlineStr">
        <is>
          <t>UDDEVALLA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11770-2022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44634</v>
      </c>
      <c r="E103" s="1" t="n">
        <v>46217</v>
      </c>
      <c r="F103" t="inlineStr">
        <is>
          <t>VÄSTRA GÖTALANDS LÄN</t>
        </is>
      </c>
      <c r="G103" t="inlineStr">
        <is>
          <t>UDDEVALLA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59674-2023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45255</v>
      </c>
      <c r="E104" s="1" t="n">
        <v>46217</v>
      </c>
      <c r="F104" t="inlineStr">
        <is>
          <t>VÄSTRA GÖTALANDS LÄN</t>
        </is>
      </c>
      <c r="G104" t="inlineStr">
        <is>
          <t>UDDEVALLA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33293-2025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46217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46217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46217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25792-2026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46217</v>
      </c>
      <c r="F108" t="inlineStr">
        <is>
          <t>VÄSTRA GÖTALANDS LÄN</t>
        </is>
      </c>
      <c r="G108" t="inlineStr">
        <is>
          <t>UDDEVALLA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11021-2023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46217</v>
      </c>
      <c r="F109" t="inlineStr">
        <is>
          <t>VÄSTRA GÖTALANDS LÄN</t>
        </is>
      </c>
      <c r="G109" t="inlineStr">
        <is>
          <t>UDDEVALLA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25613-2026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46217</v>
      </c>
      <c r="F110" t="inlineStr">
        <is>
          <t>VÄSTRA GÖTALANDS LÄN</t>
        </is>
      </c>
      <c r="G110" t="inlineStr">
        <is>
          <t>UDDEVALLA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40037-2021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44418</v>
      </c>
      <c r="E111" s="1" t="n">
        <v>46217</v>
      </c>
      <c r="F111" t="inlineStr">
        <is>
          <t>VÄSTRA GÖTALANDS LÄN</t>
        </is>
      </c>
      <c r="G111" t="inlineStr">
        <is>
          <t>UDDEVALLA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25611-2026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46217</v>
      </c>
      <c r="F112" t="inlineStr">
        <is>
          <t>VÄSTRA GÖTALANDS LÄN</t>
        </is>
      </c>
      <c r="G112" t="inlineStr">
        <is>
          <t>UDDEVALLA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46217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2115-2025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45672</v>
      </c>
      <c r="E114" s="1" t="n">
        <v>46217</v>
      </c>
      <c r="F114" t="inlineStr">
        <is>
          <t>VÄSTRA GÖTALANDS LÄN</t>
        </is>
      </c>
      <c r="G114" t="inlineStr">
        <is>
          <t>UDDEVALLA</t>
        </is>
      </c>
      <c r="I114" t="n">
        <v>14.1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41567-2025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46217</v>
      </c>
      <c r="F115" t="inlineStr">
        <is>
          <t>VÄSTRA GÖTALANDS LÄN</t>
        </is>
      </c>
      <c r="G115" t="inlineStr">
        <is>
          <t>UDDEVALLA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73437-2021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46217</v>
      </c>
      <c r="F116" t="inlineStr">
        <is>
          <t>VÄSTRA GÖTALANDS LÄN</t>
        </is>
      </c>
      <c r="G116" t="inlineStr">
        <is>
          <t>UDDEVALLA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41576-2025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46217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38389-2023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46217</v>
      </c>
      <c r="F118" t="inlineStr">
        <is>
          <t>VÄSTRA GÖTALANDS LÄN</t>
        </is>
      </c>
      <c r="G118" t="inlineStr">
        <is>
          <t>UDDEVALLA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12169-2023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46217</v>
      </c>
      <c r="F119" t="inlineStr">
        <is>
          <t>VÄSTRA GÖTALANDS LÄN</t>
        </is>
      </c>
      <c r="G119" t="inlineStr">
        <is>
          <t>UDDEVALLA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43552-2025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46217</v>
      </c>
      <c r="F120" t="inlineStr">
        <is>
          <t>VÄSTRA GÖTALANDS LÄN</t>
        </is>
      </c>
      <c r="G120" t="inlineStr">
        <is>
          <t>UDDEVALLA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39395-2025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46217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62041-2024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45656</v>
      </c>
      <c r="E122" s="1" t="n">
        <v>46217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Kommuner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45914</v>
      </c>
      <c r="E123" s="1" t="n">
        <v>46217</v>
      </c>
      <c r="F123" t="inlineStr">
        <is>
          <t>VÄSTRA GÖTALANDS LÄN</t>
        </is>
      </c>
      <c r="G123" t="inlineStr">
        <is>
          <t>UDDEVALLA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42658-2025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45907</v>
      </c>
      <c r="E124" s="1" t="n">
        <v>46217</v>
      </c>
      <c r="F124" t="inlineStr">
        <is>
          <t>VÄSTRA GÖTALANDS LÄN</t>
        </is>
      </c>
      <c r="G124" t="inlineStr">
        <is>
          <t>UDDEVALLA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45914</v>
      </c>
      <c r="E125" s="1" t="n">
        <v>46217</v>
      </c>
      <c r="F125" t="inlineStr">
        <is>
          <t>VÄSTRA GÖTALANDS LÄN</t>
        </is>
      </c>
      <c r="G125" t="inlineStr">
        <is>
          <t>UDDEVALLA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45157-2025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46217</v>
      </c>
      <c r="F126" t="inlineStr">
        <is>
          <t>VÄSTRA GÖTALANDS LÄN</t>
        </is>
      </c>
      <c r="G126" t="inlineStr">
        <is>
          <t>UDDEVALLA</t>
        </is>
      </c>
      <c r="I126" t="n">
        <v>19.4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45567-2025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46217</v>
      </c>
      <c r="F127" t="inlineStr">
        <is>
          <t>VÄSTRA GÖTALANDS LÄN</t>
        </is>
      </c>
      <c r="G127" t="inlineStr">
        <is>
          <t>UDDEVALLA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32531-2023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45121</v>
      </c>
      <c r="E128" s="1" t="n">
        <v>46217</v>
      </c>
      <c r="F128" t="inlineStr">
        <is>
          <t>VÄSTRA GÖTALANDS LÄN</t>
        </is>
      </c>
      <c r="G128" t="inlineStr">
        <is>
          <t>UDDEVALLA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46304-2025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46217</v>
      </c>
      <c r="F129" t="inlineStr">
        <is>
          <t>VÄSTRA GÖTALANDS LÄN</t>
        </is>
      </c>
      <c r="G129" t="inlineStr">
        <is>
          <t>UDDEVALLA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45901</v>
      </c>
      <c r="E130" s="1" t="n">
        <v>46217</v>
      </c>
      <c r="F130" t="inlineStr">
        <is>
          <t>VÄSTRA GÖTALANDS LÄN</t>
        </is>
      </c>
      <c r="G130" t="inlineStr">
        <is>
          <t>UDDEVALLA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29526-2024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45484</v>
      </c>
      <c r="E131" s="1" t="n">
        <v>46217</v>
      </c>
      <c r="F131" t="inlineStr">
        <is>
          <t>VÄSTRA GÖTALANDS LÄN</t>
        </is>
      </c>
      <c r="G131" t="inlineStr">
        <is>
          <t>UDDEVALLA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45059-2025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46217</v>
      </c>
      <c r="F132" t="inlineStr">
        <is>
          <t>VÄSTRA GÖTALANDS LÄN</t>
        </is>
      </c>
      <c r="G132" t="inlineStr">
        <is>
          <t>UDDEVALLA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47083-2025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46217</v>
      </c>
      <c r="F133" t="inlineStr">
        <is>
          <t>VÄSTRA GÖTALANDS LÄN</t>
        </is>
      </c>
      <c r="G133" t="inlineStr">
        <is>
          <t>UDDEVALLA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47103-2025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46217</v>
      </c>
      <c r="F134" t="inlineStr">
        <is>
          <t>VÄSTRA GÖTALANDS LÄN</t>
        </is>
      </c>
      <c r="G134" t="inlineStr">
        <is>
          <t>UDDEVALLA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17378-2026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46119</v>
      </c>
      <c r="E135" s="1" t="n">
        <v>46217</v>
      </c>
      <c r="F135" t="inlineStr">
        <is>
          <t>VÄSTRA GÖTALANDS LÄN</t>
        </is>
      </c>
      <c r="G135" t="inlineStr">
        <is>
          <t>UDDEVALLA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20401-2026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46139</v>
      </c>
      <c r="E136" s="1" t="n">
        <v>46217</v>
      </c>
      <c r="F136" t="inlineStr">
        <is>
          <t>VÄSTRA GÖTALANDS LÄN</t>
        </is>
      </c>
      <c r="G136" t="inlineStr">
        <is>
          <t>UDDEVALLA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46217</v>
      </c>
      <c r="F137" t="inlineStr">
        <is>
          <t>VÄSTRA GÖTALANDS LÄN</t>
        </is>
      </c>
      <c r="G137" t="inlineStr">
        <is>
          <t>UDDEVALLA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61629-2024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46217</v>
      </c>
      <c r="F138" t="inlineStr">
        <is>
          <t>VÄSTRA GÖTALANDS LÄN</t>
        </is>
      </c>
      <c r="G138" t="inlineStr">
        <is>
          <t>UDDEVALLA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60241-2024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45642</v>
      </c>
      <c r="E139" s="1" t="n">
        <v>46217</v>
      </c>
      <c r="F139" t="inlineStr">
        <is>
          <t>VÄSTRA GÖTALANDS LÄN</t>
        </is>
      </c>
      <c r="G139" t="inlineStr">
        <is>
          <t>UDDEVALLA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46217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26847-2024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45470</v>
      </c>
      <c r="E141" s="1" t="n">
        <v>46217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62037-2024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46217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62075-2024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46217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46217</v>
      </c>
      <c r="F144" t="inlineStr">
        <is>
          <t>VÄSTRA GÖTALANDS LÄN</t>
        </is>
      </c>
      <c r="G144" t="inlineStr">
        <is>
          <t>UDDEVALLA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46217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46217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46217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40571-2022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46217</v>
      </c>
      <c r="F148" t="inlineStr">
        <is>
          <t>VÄSTRA GÖTALANDS LÄN</t>
        </is>
      </c>
      <c r="G148" t="inlineStr">
        <is>
          <t>UDDEVALLA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49721-2025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46217</v>
      </c>
      <c r="F149" t="inlineStr">
        <is>
          <t>VÄSTRA GÖTALANDS LÄN</t>
        </is>
      </c>
      <c r="G149" t="inlineStr">
        <is>
          <t>UDDEVALLA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64083-2023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46217</v>
      </c>
      <c r="F150" t="inlineStr">
        <is>
          <t>VÄSTRA GÖTALANDS LÄN</t>
        </is>
      </c>
      <c r="G150" t="inlineStr">
        <is>
          <t>UDDEVALLA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46217</v>
      </c>
      <c r="F151" t="inlineStr">
        <is>
          <t>VÄSTRA GÖTALANDS LÄN</t>
        </is>
      </c>
      <c r="G151" t="inlineStr">
        <is>
          <t>UDDEVALLA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46899-2024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46217</v>
      </c>
      <c r="F152" t="inlineStr">
        <is>
          <t>VÄSTRA GÖTALANDS LÄN</t>
        </is>
      </c>
      <c r="G152" t="inlineStr">
        <is>
          <t>UDDEVALLA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63878-2021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44509</v>
      </c>
      <c r="E153" s="1" t="n">
        <v>46217</v>
      </c>
      <c r="F153" t="inlineStr">
        <is>
          <t>VÄSTRA GÖTALANDS LÄN</t>
        </is>
      </c>
      <c r="G153" t="inlineStr">
        <is>
          <t>UDDEVALLA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39867-2023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46217</v>
      </c>
      <c r="F154" t="inlineStr">
        <is>
          <t>VÄSTRA GÖTALANDS LÄN</t>
        </is>
      </c>
      <c r="G154" t="inlineStr">
        <is>
          <t>UDDEVALLA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49780-2023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46217</v>
      </c>
      <c r="F155" t="inlineStr">
        <is>
          <t>VÄSTRA GÖTALANDS LÄN</t>
        </is>
      </c>
      <c r="G155" t="inlineStr">
        <is>
          <t>UDDEVALLA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18916-2025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46217</v>
      </c>
      <c r="F156" t="inlineStr">
        <is>
          <t>VÄSTRA GÖTALANDS LÄN</t>
        </is>
      </c>
      <c r="G156" t="inlineStr">
        <is>
          <t>UDDEVALLA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50586-2025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46217</v>
      </c>
      <c r="F157" t="inlineStr">
        <is>
          <t>VÄSTRA GÖTALANDS LÄN</t>
        </is>
      </c>
      <c r="G157" t="inlineStr">
        <is>
          <t>UDDEVALLA</t>
        </is>
      </c>
      <c r="I157" t="n">
        <v>11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23210-2023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46217</v>
      </c>
      <c r="F158" t="inlineStr">
        <is>
          <t>VÄSTRA GÖTALANDS LÄN</t>
        </is>
      </c>
      <c r="G158" t="inlineStr">
        <is>
          <t>UDDEVALLA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50609-2025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46217</v>
      </c>
      <c r="F159" t="inlineStr">
        <is>
          <t>VÄSTRA GÖTALANDS LÄN</t>
        </is>
      </c>
      <c r="G159" t="inlineStr">
        <is>
          <t>UDDEVALLA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50611-2025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46217</v>
      </c>
      <c r="F160" t="inlineStr">
        <is>
          <t>VÄSTRA GÖTALANDS LÄN</t>
        </is>
      </c>
      <c r="G160" t="inlineStr">
        <is>
          <t>UDDEVALLA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46217</v>
      </c>
      <c r="F161" t="inlineStr">
        <is>
          <t>VÄSTRA GÖTALANDS LÄN</t>
        </is>
      </c>
      <c r="G161" t="inlineStr">
        <is>
          <t>UDDEVALLA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46217</v>
      </c>
      <c r="F162" t="inlineStr">
        <is>
          <t>VÄSTRA GÖTALANDS LÄN</t>
        </is>
      </c>
      <c r="G162" t="inlineStr">
        <is>
          <t>UDDEVALLA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50617-2025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46217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25993-2026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46217</v>
      </c>
      <c r="F164" t="inlineStr">
        <is>
          <t>VÄSTRA GÖTALANDS LÄN</t>
        </is>
      </c>
      <c r="G164" t="inlineStr">
        <is>
          <t>UDDEVALLA</t>
        </is>
      </c>
      <c r="H164" t="inlineStr">
        <is>
          <t>Kommuner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51747-2025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45950</v>
      </c>
      <c r="E165" s="1" t="n">
        <v>46217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46217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55416-2023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46217</v>
      </c>
      <c r="F167" t="inlineStr">
        <is>
          <t>VÄSTRA GÖTALANDS LÄN</t>
        </is>
      </c>
      <c r="G167" t="inlineStr">
        <is>
          <t>UDDEVALLA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46217</v>
      </c>
      <c r="F168" t="inlineStr">
        <is>
          <t>VÄSTRA GÖTALANDS LÄN</t>
        </is>
      </c>
      <c r="G168" t="inlineStr">
        <is>
          <t>UDDEVALLA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17058-2025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45754</v>
      </c>
      <c r="E169" s="1" t="n">
        <v>46217</v>
      </c>
      <c r="F169" t="inlineStr">
        <is>
          <t>VÄSTRA GÖTALANDS LÄN</t>
        </is>
      </c>
      <c r="G169" t="inlineStr">
        <is>
          <t>UDDEVALLA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43170-2021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44431</v>
      </c>
      <c r="E170" s="1" t="n">
        <v>46217</v>
      </c>
      <c r="F170" t="inlineStr">
        <is>
          <t>VÄSTRA GÖTALANDS LÄN</t>
        </is>
      </c>
      <c r="G170" t="inlineStr">
        <is>
          <t>UDDEVALLA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39431-2024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45551</v>
      </c>
      <c r="E171" s="1" t="n">
        <v>46217</v>
      </c>
      <c r="F171" t="inlineStr">
        <is>
          <t>VÄSTRA GÖTALANDS LÄN</t>
        </is>
      </c>
      <c r="G171" t="inlineStr">
        <is>
          <t>UDDEVALLA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73437-2021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46217</v>
      </c>
      <c r="F172" t="inlineStr">
        <is>
          <t>VÄSTRA GÖTALANDS LÄN</t>
        </is>
      </c>
      <c r="G172" t="inlineStr">
        <is>
          <t>UDDEVALLA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54491-2025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46217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52905-2023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46217</v>
      </c>
      <c r="F174" t="inlineStr">
        <is>
          <t>VÄSTRA GÖTALANDS LÄN</t>
        </is>
      </c>
      <c r="G174" t="inlineStr">
        <is>
          <t>UDDEVALLA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46217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23887-2024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45455</v>
      </c>
      <c r="E176" s="1" t="n">
        <v>46217</v>
      </c>
      <c r="F176" t="inlineStr">
        <is>
          <t>VÄSTRA GÖTALANDS LÄN</t>
        </is>
      </c>
      <c r="G176" t="inlineStr">
        <is>
          <t>UDDEVALLA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21581-2023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45063</v>
      </c>
      <c r="E177" s="1" t="n">
        <v>46217</v>
      </c>
      <c r="F177" t="inlineStr">
        <is>
          <t>VÄSTRA GÖTALANDS LÄN</t>
        </is>
      </c>
      <c r="G177" t="inlineStr">
        <is>
          <t>UDDEVALLA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46217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20790-2026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46217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15634-2023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46217</v>
      </c>
      <c r="F180" t="inlineStr">
        <is>
          <t>VÄSTRA GÖTALANDS LÄN</t>
        </is>
      </c>
      <c r="G180" t="inlineStr">
        <is>
          <t>UDDEVALLA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59474-2022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46217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58563-2025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46217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58416-2025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46217</v>
      </c>
      <c r="F183" t="inlineStr">
        <is>
          <t>VÄSTRA GÖTALANDS LÄN</t>
        </is>
      </c>
      <c r="G183" t="inlineStr">
        <is>
          <t>UDDEVALLA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73007-2021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46217</v>
      </c>
      <c r="F184" t="inlineStr">
        <is>
          <t>VÄSTRA GÖTALANDS LÄN</t>
        </is>
      </c>
      <c r="G184" t="inlineStr">
        <is>
          <t>UDDEVALLA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21390-2026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46147</v>
      </c>
      <c r="E185" s="1" t="n">
        <v>46217</v>
      </c>
      <c r="F185" t="inlineStr">
        <is>
          <t>VÄSTRA GÖTALANDS LÄN</t>
        </is>
      </c>
      <c r="G185" t="inlineStr">
        <is>
          <t>UDDEVALLA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21491-2026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46148</v>
      </c>
      <c r="E186" s="1" t="n">
        <v>46217</v>
      </c>
      <c r="F186" t="inlineStr">
        <is>
          <t>VÄSTRA GÖTALANDS LÄN</t>
        </is>
      </c>
      <c r="G186" t="inlineStr">
        <is>
          <t>UDDEVALLA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63397-2021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46217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59801-2025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46217</v>
      </c>
      <c r="F188" t="inlineStr">
        <is>
          <t>VÄSTRA GÖTALANDS LÄN</t>
        </is>
      </c>
      <c r="G188" t="inlineStr">
        <is>
          <t>UDDEVALLA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46217</v>
      </c>
      <c r="F189" t="inlineStr">
        <is>
          <t>VÄSTRA GÖTALANDS LÄN</t>
        </is>
      </c>
      <c r="G189" t="inlineStr">
        <is>
          <t>UDDEVALLA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69198-2021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46217</v>
      </c>
      <c r="F190" t="inlineStr">
        <is>
          <t>VÄSTRA GÖTALANDS LÄN</t>
        </is>
      </c>
      <c r="G190" t="inlineStr">
        <is>
          <t>UDDEVALLA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60989-2025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46217</v>
      </c>
      <c r="F191" t="inlineStr">
        <is>
          <t>VÄSTRA GÖTALANDS LÄN</t>
        </is>
      </c>
      <c r="G191" t="inlineStr">
        <is>
          <t>UDDEVALLA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22461-2026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46217</v>
      </c>
      <c r="F192" t="inlineStr">
        <is>
          <t>VÄSTRA GÖTALANDS LÄN</t>
        </is>
      </c>
      <c r="G192" t="inlineStr">
        <is>
          <t>UDDEVALLA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6887-2023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44967</v>
      </c>
      <c r="E193" s="1" t="n">
        <v>46217</v>
      </c>
      <c r="F193" t="inlineStr">
        <is>
          <t>VÄSTRA GÖTALANDS LÄN</t>
        </is>
      </c>
      <c r="G193" t="inlineStr">
        <is>
          <t>UDDEVALLA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46217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36236-2023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45150</v>
      </c>
      <c r="E195" s="1" t="n">
        <v>46217</v>
      </c>
      <c r="F195" t="inlineStr">
        <is>
          <t>VÄSTRA GÖTALANDS LÄN</t>
        </is>
      </c>
      <c r="G195" t="inlineStr">
        <is>
          <t>UDDEVALLA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33761-2023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46217</v>
      </c>
      <c r="F196" t="inlineStr">
        <is>
          <t>VÄSTRA GÖTALANDS LÄN</t>
        </is>
      </c>
      <c r="G196" t="inlineStr">
        <is>
          <t>UDDEVALLA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27524-2023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46217</v>
      </c>
      <c r="F197" t="inlineStr">
        <is>
          <t>VÄSTRA GÖTALANDS LÄN</t>
        </is>
      </c>
      <c r="G197" t="inlineStr">
        <is>
          <t>UDDEVALLA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27869-2024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46217</v>
      </c>
      <c r="F198" t="inlineStr">
        <is>
          <t>VÄSTRA GÖTALANDS LÄN</t>
        </is>
      </c>
      <c r="G198" t="inlineStr">
        <is>
          <t>UDDEVALLA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13527-2024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45387</v>
      </c>
      <c r="E199" s="1" t="n">
        <v>46217</v>
      </c>
      <c r="F199" t="inlineStr">
        <is>
          <t>VÄSTRA GÖTALANDS LÄN</t>
        </is>
      </c>
      <c r="G199" t="inlineStr">
        <is>
          <t>UDDEVALLA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44572</v>
      </c>
      <c r="E200" s="1" t="n">
        <v>46217</v>
      </c>
      <c r="F200" t="inlineStr">
        <is>
          <t>VÄSTRA GÖTALANDS LÄN</t>
        </is>
      </c>
      <c r="G200" t="inlineStr">
        <is>
          <t>UDDEVALLA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32846-2023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46217</v>
      </c>
      <c r="F201" t="inlineStr">
        <is>
          <t>VÄSTRA GÖTALANDS LÄN</t>
        </is>
      </c>
      <c r="G201" t="inlineStr">
        <is>
          <t>UDDEVALLA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62365-2025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46217</v>
      </c>
      <c r="F202" t="inlineStr">
        <is>
          <t>VÄSTRA GÖTALANDS LÄN</t>
        </is>
      </c>
      <c r="G202" t="inlineStr">
        <is>
          <t>UDDEVALLA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58958-2021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44489</v>
      </c>
      <c r="E203" s="1" t="n">
        <v>46217</v>
      </c>
      <c r="F203" t="inlineStr">
        <is>
          <t>VÄSTRA GÖTALANDS LÄN</t>
        </is>
      </c>
      <c r="G203" t="inlineStr">
        <is>
          <t>UDDEVALLA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39621-2023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46217</v>
      </c>
      <c r="F204" t="inlineStr">
        <is>
          <t>VÄSTRA GÖTALANDS LÄN</t>
        </is>
      </c>
      <c r="G204" t="inlineStr">
        <is>
          <t>UDDEVALLA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19982-2025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46217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10426-2023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46217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19980-2025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46217</v>
      </c>
      <c r="F207" t="inlineStr">
        <is>
          <t>VÄSTRA GÖTALANDS LÄN</t>
        </is>
      </c>
      <c r="G207" t="inlineStr">
        <is>
          <t>UDDEVALLA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46026</v>
      </c>
      <c r="E208" s="1" t="n">
        <v>46217</v>
      </c>
      <c r="F208" t="inlineStr">
        <is>
          <t>VÄSTRA GÖTALANDS LÄN</t>
        </is>
      </c>
      <c r="G208" t="inlineStr">
        <is>
          <t>UDDEVALLA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46027</v>
      </c>
      <c r="E209" s="1" t="n">
        <v>46217</v>
      </c>
      <c r="F209" t="inlineStr">
        <is>
          <t>VÄSTRA GÖTALANDS LÄN</t>
        </is>
      </c>
      <c r="G209" t="inlineStr">
        <is>
          <t>UDDEVALLA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7726-2024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45349</v>
      </c>
      <c r="E210" s="1" t="n">
        <v>46217</v>
      </c>
      <c r="F210" t="inlineStr">
        <is>
          <t>VÄSTRA GÖTALANDS LÄN</t>
        </is>
      </c>
      <c r="G210" t="inlineStr">
        <is>
          <t>UDDEVALLA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46217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46217</v>
      </c>
      <c r="F212" t="inlineStr">
        <is>
          <t>VÄSTRA GÖTALANDS LÄN</t>
        </is>
      </c>
      <c r="G212" t="inlineStr">
        <is>
          <t>UDDEVALLA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2306-2022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44578</v>
      </c>
      <c r="E213" s="1" t="n">
        <v>46217</v>
      </c>
      <c r="F213" t="inlineStr">
        <is>
          <t>VÄSTRA GÖTALANDS LÄN</t>
        </is>
      </c>
      <c r="G213" t="inlineStr">
        <is>
          <t>UDDEVALLA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46217</v>
      </c>
      <c r="F214" t="inlineStr">
        <is>
          <t>VÄSTRA GÖTALANDS LÄN</t>
        </is>
      </c>
      <c r="G214" t="inlineStr">
        <is>
          <t>UDDEVALLA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46217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46217</v>
      </c>
      <c r="F216" t="inlineStr">
        <is>
          <t>VÄSTRA GÖTALANDS LÄN</t>
        </is>
      </c>
      <c r="G216" t="inlineStr">
        <is>
          <t>UDDEVALLA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40027-2024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46217</v>
      </c>
      <c r="F217" t="inlineStr">
        <is>
          <t>VÄSTRA GÖTALANDS LÄN</t>
        </is>
      </c>
      <c r="G217" t="inlineStr">
        <is>
          <t>UDDEVALLA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46217</v>
      </c>
      <c r="F218" t="inlineStr">
        <is>
          <t>VÄSTRA GÖTALANDS LÄN</t>
        </is>
      </c>
      <c r="G218" t="inlineStr">
        <is>
          <t>UDDEVALLA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46217</v>
      </c>
      <c r="F219" t="inlineStr">
        <is>
          <t>VÄSTRA GÖTALANDS LÄN</t>
        </is>
      </c>
      <c r="G219" t="inlineStr">
        <is>
          <t>UDDEVALLA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46217</v>
      </c>
      <c r="F220" t="inlineStr">
        <is>
          <t>VÄSTRA GÖTALANDS LÄN</t>
        </is>
      </c>
      <c r="G220" t="inlineStr">
        <is>
          <t>UDDEVALLA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46217</v>
      </c>
      <c r="F221" t="inlineStr">
        <is>
          <t>VÄSTRA GÖTALANDS LÄN</t>
        </is>
      </c>
      <c r="G221" t="inlineStr">
        <is>
          <t>UDDEVALLA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46217</v>
      </c>
      <c r="F222" t="inlineStr">
        <is>
          <t>VÄSTRA GÖTALANDS LÄN</t>
        </is>
      </c>
      <c r="G222" t="inlineStr">
        <is>
          <t>UDDEVALLA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46217</v>
      </c>
      <c r="F223" t="inlineStr">
        <is>
          <t>VÄSTRA GÖTALANDS LÄN</t>
        </is>
      </c>
      <c r="G223" t="inlineStr">
        <is>
          <t>UDDEVALLA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6875-2022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46217</v>
      </c>
      <c r="F224" t="inlineStr">
        <is>
          <t>VÄSTRA GÖTALANDS LÄN</t>
        </is>
      </c>
      <c r="G224" t="inlineStr">
        <is>
          <t>UDDEVALLA</t>
        </is>
      </c>
      <c r="I224" t="n">
        <v>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46217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14604-2022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44655</v>
      </c>
      <c r="E226" s="1" t="n">
        <v>46217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24081-2024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46217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46217</v>
      </c>
      <c r="F228" t="inlineStr">
        <is>
          <t>VÄSTRA GÖTALANDS LÄN</t>
        </is>
      </c>
      <c r="G228" t="inlineStr">
        <is>
          <t>UDDEVALLA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7868-2026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46217</v>
      </c>
      <c r="F229" t="inlineStr">
        <is>
          <t>VÄSTRA GÖTALANDS LÄN</t>
        </is>
      </c>
      <c r="G229" t="inlineStr">
        <is>
          <t>UDDEVALLA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7870-2026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46217</v>
      </c>
      <c r="F230" t="inlineStr">
        <is>
          <t>VÄSTRA GÖTALANDS LÄN</t>
        </is>
      </c>
      <c r="G230" t="inlineStr">
        <is>
          <t>UDDEVALLA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9574-2026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46217</v>
      </c>
      <c r="F231" t="inlineStr">
        <is>
          <t>VÄSTRA GÖTALANDS LÄN</t>
        </is>
      </c>
      <c r="G231" t="inlineStr">
        <is>
          <t>UDDEVALLA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46217</v>
      </c>
      <c r="F232" t="inlineStr">
        <is>
          <t>VÄSTRA GÖTALANDS LÄN</t>
        </is>
      </c>
      <c r="G232" t="inlineStr">
        <is>
          <t>UDDEVALLA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33205-2023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45127</v>
      </c>
      <c r="E233" s="1" t="n">
        <v>46217</v>
      </c>
      <c r="F233" t="inlineStr">
        <is>
          <t>VÄSTRA GÖTALANDS LÄN</t>
        </is>
      </c>
      <c r="G233" t="inlineStr">
        <is>
          <t>UDDEVALLA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43271-2023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45183</v>
      </c>
      <c r="E234" s="1" t="n">
        <v>46217</v>
      </c>
      <c r="F234" t="inlineStr">
        <is>
          <t>VÄSTRA GÖTALANDS LÄN</t>
        </is>
      </c>
      <c r="G234" t="inlineStr">
        <is>
          <t>UDDEVALLA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44133-2024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46217</v>
      </c>
      <c r="F235" t="inlineStr">
        <is>
          <t>VÄSTRA GÖTALANDS LÄN</t>
        </is>
      </c>
      <c r="G235" t="inlineStr">
        <is>
          <t>UDDEVALLA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17824-2025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46217</v>
      </c>
      <c r="F236" t="inlineStr">
        <is>
          <t>VÄSTRA GÖTALANDS LÄN</t>
        </is>
      </c>
      <c r="G236" t="inlineStr">
        <is>
          <t>UDDEVALLA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29516-2026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46217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Övriga statliga verk och myndigheter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10436-2026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46076</v>
      </c>
      <c r="E238" s="1" t="n">
        <v>46217</v>
      </c>
      <c r="F238" t="inlineStr">
        <is>
          <t>VÄSTRA GÖTALANDS LÄN</t>
        </is>
      </c>
      <c r="G238" t="inlineStr">
        <is>
          <t>UDDEVALLA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57824-2024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46217</v>
      </c>
      <c r="F239" t="inlineStr">
        <is>
          <t>VÄSTRA GÖTALANDS LÄN</t>
        </is>
      </c>
      <c r="G239" t="inlineStr">
        <is>
          <t>UDDEVALLA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11465-2026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46217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46217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46217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46217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57762-2025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46217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15334-2024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45400</v>
      </c>
      <c r="E245" s="1" t="n">
        <v>46217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Kyrkan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25813-2022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44733</v>
      </c>
      <c r="E246" s="1" t="n">
        <v>46217</v>
      </c>
      <c r="F246" t="inlineStr">
        <is>
          <t>VÄSTRA GÖTALANDS LÄN</t>
        </is>
      </c>
      <c r="G246" t="inlineStr">
        <is>
          <t>UDDEVALLA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57750-2025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46217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37427-2024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45540</v>
      </c>
      <c r="E248" s="1" t="n">
        <v>46217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22923-2022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46217</v>
      </c>
      <c r="F249" t="inlineStr">
        <is>
          <t>VÄSTRA GÖTALANDS LÄN</t>
        </is>
      </c>
      <c r="G249" t="inlineStr">
        <is>
          <t>UDDEVALLA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55731-2023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45239</v>
      </c>
      <c r="E250" s="1" t="n">
        <v>46217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39991-2022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46217</v>
      </c>
      <c r="F251" t="inlineStr">
        <is>
          <t>VÄSTRA GÖTALANDS LÄN</t>
        </is>
      </c>
      <c r="G251" t="inlineStr">
        <is>
          <t>UDDEVALLA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39088-2022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44817</v>
      </c>
      <c r="E252" s="1" t="n">
        <v>46217</v>
      </c>
      <c r="F252" t="inlineStr">
        <is>
          <t>VÄSTRA GÖTALANDS LÄN</t>
        </is>
      </c>
      <c r="G252" t="inlineStr">
        <is>
          <t>UDDEVALLA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12555-2026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46217</v>
      </c>
      <c r="F253" t="inlineStr">
        <is>
          <t>VÄSTRA GÖTALANDS LÄN</t>
        </is>
      </c>
      <c r="G253" t="inlineStr">
        <is>
          <t>UDDEVALLA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12533-2026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46217</v>
      </c>
      <c r="F254" t="inlineStr">
        <is>
          <t>VÄSTRA GÖTALANDS LÄN</t>
        </is>
      </c>
      <c r="G254" t="inlineStr">
        <is>
          <t>UDDEVALLA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30203-2026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46217</v>
      </c>
      <c r="F255" t="inlineStr">
        <is>
          <t>VÄSTRA GÖTALANDS LÄN</t>
        </is>
      </c>
      <c r="G255" t="inlineStr">
        <is>
          <t>UDDEVALLA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23751-2026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46217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45303</v>
      </c>
      <c r="E257" s="1" t="n">
        <v>46217</v>
      </c>
      <c r="F257" t="inlineStr">
        <is>
          <t>VÄSTRA GÖTALANDS LÄN</t>
        </is>
      </c>
      <c r="G257" t="inlineStr">
        <is>
          <t>UDDEVALLA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45314</v>
      </c>
      <c r="E258" s="1" t="n">
        <v>46217</v>
      </c>
      <c r="F258" t="inlineStr">
        <is>
          <t>VÄSTRA GÖTALANDS LÄN</t>
        </is>
      </c>
      <c r="G258" t="inlineStr">
        <is>
          <t>UDDEVALLA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7771-2023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44973</v>
      </c>
      <c r="E259" s="1" t="n">
        <v>46217</v>
      </c>
      <c r="F259" t="inlineStr">
        <is>
          <t>VÄSTRA GÖTALANDS LÄN</t>
        </is>
      </c>
      <c r="G259" t="inlineStr">
        <is>
          <t>UDDEVALLA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59829-2023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46217</v>
      </c>
      <c r="F260" t="inlineStr">
        <is>
          <t>VÄSTRA GÖTALANDS LÄN</t>
        </is>
      </c>
      <c r="G260" t="inlineStr">
        <is>
          <t>UDDEVALLA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46217</v>
      </c>
      <c r="F261" t="inlineStr">
        <is>
          <t>VÄSTRA GÖTALANDS LÄN</t>
        </is>
      </c>
      <c r="G261" t="inlineStr">
        <is>
          <t>UDDEVALLA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30517-2026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46217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46217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10333-2024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46217</v>
      </c>
      <c r="F264" t="inlineStr">
        <is>
          <t>VÄSTRA GÖTALANDS LÄN</t>
        </is>
      </c>
      <c r="G264" t="inlineStr">
        <is>
          <t>UDDEVALLA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16819-2026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46113</v>
      </c>
      <c r="E265" s="1" t="n">
        <v>46217</v>
      </c>
      <c r="F265" t="inlineStr">
        <is>
          <t>VÄSTRA GÖTALANDS LÄN</t>
        </is>
      </c>
      <c r="G265" t="inlineStr">
        <is>
          <t>UDDEVALLA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16929-2026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46217</v>
      </c>
      <c r="F266" t="inlineStr">
        <is>
          <t>VÄSTRA GÖTALANDS LÄN</t>
        </is>
      </c>
      <c r="G266" t="inlineStr">
        <is>
          <t>UDDEVALLA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30815-2026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46212</v>
      </c>
      <c r="E267" s="1" t="n">
        <v>46217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17244-2026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46217</v>
      </c>
      <c r="F268" t="inlineStr">
        <is>
          <t>VÄSTRA GÖTALANDS LÄN</t>
        </is>
      </c>
      <c r="G268" t="inlineStr">
        <is>
          <t>UDDEVALLA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46217</v>
      </c>
      <c r="F269" t="inlineStr">
        <is>
          <t>VÄSTRA GÖTALANDS LÄN</t>
        </is>
      </c>
      <c r="G269" t="inlineStr">
        <is>
          <t>UDDEVALLA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30744-2026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46211</v>
      </c>
      <c r="E270" s="1" t="n">
        <v>46217</v>
      </c>
      <c r="F270" t="inlineStr">
        <is>
          <t>VÄSTRA GÖTALANDS LÄN</t>
        </is>
      </c>
      <c r="G270" t="inlineStr">
        <is>
          <t>UDDEVALLA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17729-2026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46217</v>
      </c>
      <c r="F271" t="inlineStr">
        <is>
          <t>VÄSTRA GÖTALANDS LÄN</t>
        </is>
      </c>
      <c r="G271" t="inlineStr">
        <is>
          <t>UDDEVALLA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18123-2026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46217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18207-2026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46217</v>
      </c>
      <c r="F273" t="inlineStr">
        <is>
          <t>VÄSTRA GÖTALANDS LÄN</t>
        </is>
      </c>
      <c r="G273" t="inlineStr">
        <is>
          <t>UDDEVALLA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44056-2025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46217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18821-2026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46217</v>
      </c>
      <c r="F275" t="inlineStr">
        <is>
          <t>VÄSTRA GÖTALANDS LÄN</t>
        </is>
      </c>
      <c r="G275" t="inlineStr">
        <is>
          <t>UDDEVALLA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25060-2026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46174</v>
      </c>
      <c r="E276" s="1" t="n">
        <v>46217</v>
      </c>
      <c r="F276" t="inlineStr">
        <is>
          <t>VÄSTRA GÖTALANDS LÄN</t>
        </is>
      </c>
      <c r="G276" t="inlineStr">
        <is>
          <t>UDDEVALLA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25061-2026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46217</v>
      </c>
      <c r="F277" t="inlineStr">
        <is>
          <t>VÄSTRA GÖTALANDS LÄN</t>
        </is>
      </c>
      <c r="G277" t="inlineStr">
        <is>
          <t>UDDEVALLA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30639-2024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45495</v>
      </c>
      <c r="E278" s="1" t="n">
        <v>46217</v>
      </c>
      <c r="F278" t="inlineStr">
        <is>
          <t>VÄSTRA GÖTALANDS LÄN</t>
        </is>
      </c>
      <c r="G278" t="inlineStr">
        <is>
          <t>UDDEVALLA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18767-2026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46128</v>
      </c>
      <c r="E279" s="1" t="n">
        <v>46217</v>
      </c>
      <c r="F279" t="inlineStr">
        <is>
          <t>VÄSTRA GÖTALANDS LÄN</t>
        </is>
      </c>
      <c r="G279" t="inlineStr">
        <is>
          <t>UDDEVALLA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17727-2026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46217</v>
      </c>
      <c r="F280" t="inlineStr">
        <is>
          <t>VÄSTRA GÖTALANDS LÄN</t>
        </is>
      </c>
      <c r="G280" t="inlineStr">
        <is>
          <t>UDDEVALLA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9797-2023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44984</v>
      </c>
      <c r="E281" s="1" t="n">
        <v>46217</v>
      </c>
      <c r="F281" t="inlineStr">
        <is>
          <t>VÄSTRA GÖTALANDS LÄN</t>
        </is>
      </c>
      <c r="G281" t="inlineStr">
        <is>
          <t>UDDEVALLA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19550-2026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46217</v>
      </c>
      <c r="F282" t="inlineStr">
        <is>
          <t>VÄSTRA GÖTALANDS LÄN</t>
        </is>
      </c>
      <c r="G282" t="inlineStr">
        <is>
          <t>UDDEVALLA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17964-2022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44683</v>
      </c>
      <c r="E283" s="1" t="n">
        <v>46217</v>
      </c>
      <c r="F283" t="inlineStr">
        <is>
          <t>VÄSTRA GÖTALANDS LÄN</t>
        </is>
      </c>
      <c r="G283" t="inlineStr">
        <is>
          <t>UDDEVALLA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26940-2023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45093</v>
      </c>
      <c r="E284" s="1" t="n">
        <v>46217</v>
      </c>
      <c r="F284" t="inlineStr">
        <is>
          <t>VÄSTRA GÖTALANDS LÄN</t>
        </is>
      </c>
      <c r="G284" t="inlineStr">
        <is>
          <t>UDDEVALLA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70491-2021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44536</v>
      </c>
      <c r="E285" s="1" t="n">
        <v>46217</v>
      </c>
      <c r="F285" t="inlineStr">
        <is>
          <t>VÄSTRA GÖTALANDS LÄN</t>
        </is>
      </c>
      <c r="G285" t="inlineStr">
        <is>
          <t>UDDEVALLA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45141</v>
      </c>
      <c r="E286" s="1" t="n">
        <v>46217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10286-2024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46217</v>
      </c>
      <c r="F287" t="inlineStr">
        <is>
          <t>VÄSTRA GÖTALANDS LÄN</t>
        </is>
      </c>
      <c r="G287" t="inlineStr">
        <is>
          <t>UDDEVALLA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40026-2024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46217</v>
      </c>
      <c r="F288" t="inlineStr">
        <is>
          <t>VÄSTRA GÖTALANDS LÄN</t>
        </is>
      </c>
      <c r="G288" t="inlineStr">
        <is>
          <t>UDDEVALLA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44959</v>
      </c>
      <c r="E289" s="1" t="n">
        <v>46217</v>
      </c>
      <c r="F289" t="inlineStr">
        <is>
          <t>VÄSTRA GÖTALANDS LÄN</t>
        </is>
      </c>
      <c r="G289" t="inlineStr">
        <is>
          <t>UDDEVALLA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16205-2023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45028</v>
      </c>
      <c r="E290" s="1" t="n">
        <v>46217</v>
      </c>
      <c r="F290" t="inlineStr">
        <is>
          <t>VÄSTRA GÖTALANDS LÄN</t>
        </is>
      </c>
      <c r="G290" t="inlineStr">
        <is>
          <t>UDDEVALLA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55254-2023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46217</v>
      </c>
      <c r="F291" t="inlineStr">
        <is>
          <t>VÄSTRA GÖTALANDS LÄN</t>
        </is>
      </c>
      <c r="G291" t="inlineStr">
        <is>
          <t>UDDEVALLA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45089</v>
      </c>
      <c r="E292" s="1" t="n">
        <v>46217</v>
      </c>
      <c r="F292" t="inlineStr">
        <is>
          <t>VÄSTRA GÖTALANDS LÄN</t>
        </is>
      </c>
      <c r="G292" t="inlineStr">
        <is>
          <t>UDDEVALLA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40297-2024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46217</v>
      </c>
      <c r="F293" t="inlineStr">
        <is>
          <t>VÄSTRA GÖTALANDS LÄN</t>
        </is>
      </c>
      <c r="G293" t="inlineStr">
        <is>
          <t>UDDEVALLA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8893-2024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45355</v>
      </c>
      <c r="E294" s="1" t="n">
        <v>46217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Kyrkan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40121-2024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46217</v>
      </c>
      <c r="F295" t="inlineStr">
        <is>
          <t>VÄSTRA GÖTALANDS LÄN</t>
        </is>
      </c>
      <c r="G295" t="inlineStr">
        <is>
          <t>UDDEVALLA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39559-2023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45167</v>
      </c>
      <c r="E296" s="1" t="n">
        <v>46217</v>
      </c>
      <c r="F296" t="inlineStr">
        <is>
          <t>VÄSTRA GÖTALANDS LÄN</t>
        </is>
      </c>
      <c r="G296" t="inlineStr">
        <is>
          <t>UDDEVALLA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46217</v>
      </c>
      <c r="F297" t="inlineStr">
        <is>
          <t>VÄSTRA GÖTALANDS LÄN</t>
        </is>
      </c>
      <c r="G297" t="inlineStr">
        <is>
          <t>UDDEVALLA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59144-2023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46217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46217</v>
      </c>
      <c r="F299" t="inlineStr">
        <is>
          <t>VÄSTRA GÖTALANDS LÄN</t>
        </is>
      </c>
      <c r="G299" t="inlineStr">
        <is>
          <t>UDDEVALLA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45902-2024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45580</v>
      </c>
      <c r="E300" s="1" t="n">
        <v>46217</v>
      </c>
      <c r="F300" t="inlineStr">
        <is>
          <t>VÄSTRA GÖTALANDS LÄN</t>
        </is>
      </c>
      <c r="G300" t="inlineStr">
        <is>
          <t>UDDEVALLA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44960</v>
      </c>
      <c r="E301" s="1" t="n">
        <v>46217</v>
      </c>
      <c r="F301" t="inlineStr">
        <is>
          <t>VÄSTRA GÖTALANDS LÄN</t>
        </is>
      </c>
      <c r="G301" t="inlineStr">
        <is>
          <t>UDDEVALLA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23395-2023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46217</v>
      </c>
      <c r="F302" t="inlineStr">
        <is>
          <t>VÄSTRA GÖTALANDS LÄN</t>
        </is>
      </c>
      <c r="G302" t="inlineStr">
        <is>
          <t>UDDEVALLA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43426-2024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45568</v>
      </c>
      <c r="E303" s="1" t="n">
        <v>46217</v>
      </c>
      <c r="F303" t="inlineStr">
        <is>
          <t>VÄSTRA GÖTALANDS LÄN</t>
        </is>
      </c>
      <c r="G303" t="inlineStr">
        <is>
          <t>UDDEVALLA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58625-2024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45635</v>
      </c>
      <c r="E304" s="1" t="n">
        <v>46217</v>
      </c>
      <c r="F304" t="inlineStr">
        <is>
          <t>VÄSTRA GÖTALANDS LÄN</t>
        </is>
      </c>
      <c r="G304" t="inlineStr">
        <is>
          <t>UDDEVALLA</t>
        </is>
      </c>
      <c r="I304" t="n">
        <v>14.9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44924</v>
      </c>
      <c r="E305" s="1" t="n">
        <v>46217</v>
      </c>
      <c r="F305" t="inlineStr">
        <is>
          <t>VÄSTRA GÖTALANDS LÄN</t>
        </is>
      </c>
      <c r="G305" t="inlineStr">
        <is>
          <t>UDDEVALLA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46217</v>
      </c>
      <c r="F306" t="inlineStr">
        <is>
          <t>VÄSTRA GÖTALANDS LÄN</t>
        </is>
      </c>
      <c r="G306" t="inlineStr">
        <is>
          <t>UDDEVALLA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44325-2023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45188</v>
      </c>
      <c r="E307" s="1" t="n">
        <v>46217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59139-2023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46217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49718-2024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45596</v>
      </c>
      <c r="E309" s="1" t="n">
        <v>46217</v>
      </c>
      <c r="F309" t="inlineStr">
        <is>
          <t>VÄSTRA GÖTALANDS LÄN</t>
        </is>
      </c>
      <c r="G309" t="inlineStr">
        <is>
          <t>UDDEVALLA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18811-2024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45426</v>
      </c>
      <c r="E310" s="1" t="n">
        <v>46217</v>
      </c>
      <c r="F310" t="inlineStr">
        <is>
          <t>VÄSTRA GÖTALANDS LÄN</t>
        </is>
      </c>
      <c r="G310" t="inlineStr">
        <is>
          <t>UDDEVALLA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19981-2025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45771</v>
      </c>
      <c r="E311" s="1" t="n">
        <v>46217</v>
      </c>
      <c r="F311" t="inlineStr">
        <is>
          <t>VÄSTRA GÖTALANDS LÄN</t>
        </is>
      </c>
      <c r="G311" t="inlineStr">
        <is>
          <t>UDDEVALLA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50023-2023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46217</v>
      </c>
      <c r="F312" t="inlineStr">
        <is>
          <t>VÄSTRA GÖTALANDS LÄN</t>
        </is>
      </c>
      <c r="G312" t="inlineStr">
        <is>
          <t>UDDEVALLA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46217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46217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6650-2025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46217</v>
      </c>
      <c r="F315" t="inlineStr">
        <is>
          <t>VÄSTRA GÖTALANDS LÄN</t>
        </is>
      </c>
      <c r="G315" t="inlineStr">
        <is>
          <t>UDDEVALLA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14066-2025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46217</v>
      </c>
      <c r="F316" t="inlineStr">
        <is>
          <t>VÄSTRA GÖTALANDS LÄN</t>
        </is>
      </c>
      <c r="G316" t="inlineStr">
        <is>
          <t>UDDEVALLA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46217</v>
      </c>
      <c r="F317" t="inlineStr">
        <is>
          <t>VÄSTRA GÖTALANDS LÄN</t>
        </is>
      </c>
      <c r="G317" t="inlineStr">
        <is>
          <t>UDDEVALLA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36562-2024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46217</v>
      </c>
      <c r="F318" t="inlineStr">
        <is>
          <t>VÄSTRA GÖTALANDS LÄN</t>
        </is>
      </c>
      <c r="G318" t="inlineStr">
        <is>
          <t>UDDEVALLA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39355-2024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46217</v>
      </c>
      <c r="F319" t="inlineStr">
        <is>
          <t>VÄSTRA GÖTALANDS LÄN</t>
        </is>
      </c>
      <c r="G319" t="inlineStr">
        <is>
          <t>UDDEVALLA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10684-2022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46217</v>
      </c>
      <c r="F320" t="inlineStr">
        <is>
          <t>VÄSTRA GÖTALANDS LÄN</t>
        </is>
      </c>
      <c r="G320" t="inlineStr">
        <is>
          <t>UDDEVALLA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10900-2025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46217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23895-2024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46217</v>
      </c>
      <c r="F322" t="inlineStr">
        <is>
          <t>VÄSTRA GÖTALANDS LÄN</t>
        </is>
      </c>
      <c r="G322" t="inlineStr">
        <is>
          <t>UDDEVALLA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11076-2025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45723</v>
      </c>
      <c r="E323" s="1" t="n">
        <v>46217</v>
      </c>
      <c r="F323" t="inlineStr">
        <is>
          <t>VÄSTRA GÖTALANDS LÄN</t>
        </is>
      </c>
      <c r="G323" t="inlineStr">
        <is>
          <t>UDDEVALLA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29929-2025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46217</v>
      </c>
      <c r="F324" t="inlineStr">
        <is>
          <t>VÄSTRA GÖTALANDS LÄN</t>
        </is>
      </c>
      <c r="G324" t="inlineStr">
        <is>
          <t>UDDEVALLA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46217</v>
      </c>
      <c r="F325" t="inlineStr">
        <is>
          <t>VÄSTRA GÖTALANDS LÄN</t>
        </is>
      </c>
      <c r="G325" t="inlineStr">
        <is>
          <t>UDDEVALLA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46217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46217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46217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34493-2025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46217</v>
      </c>
      <c r="F329" t="inlineStr">
        <is>
          <t>VÄSTRA GÖTALANDS LÄN</t>
        </is>
      </c>
      <c r="G329" t="inlineStr">
        <is>
          <t>UDDEVALLA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46217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46217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46217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46217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46217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46217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2026-07-14T09:02:02Z</dcterms:created>
  <dcterms:modified xmlns:dcterms="http://purl.org/dc/terms/" xmlns:xsi="http://www.w3.org/2001/XMLSchema-instance" xsi:type="dcterms:W3CDTF">2026-07-14T09:02:02Z</dcterms:modified>
</cp:coreProperties>
</file>