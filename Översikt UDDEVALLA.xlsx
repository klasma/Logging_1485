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46229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46229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46229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46229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46229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46229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46229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46229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46229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46229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46229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46229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46229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46229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46229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3432-2024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46229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3.1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Klippfrullania
Västlig hakmossa</t>
        </is>
      </c>
      <c r="W18">
        <f>HYPERLINK("https://klasma.github.io/Logging_1485/artfynd/A 3432-2024 artfynd.xlsx", "A 3432-2024")</f>
        <v/>
      </c>
      <c r="X18">
        <f>HYPERLINK("https://klasma.github.io/Logging_1485/kartor/A 3432-2024 karta.png", "A 3432-2024")</f>
        <v/>
      </c>
      <c r="Y18">
        <f>HYPERLINK("https://klasma.github.io/Logging_1485/kartor_geotiff/A 3432-2024 georefererad karta.tif", "A 3432-2024")</f>
        <v/>
      </c>
      <c r="AA18">
        <f>HYPERLINK("https://klasma.github.io/Logging_1485/klagomål/A 3432-2024 FSC-klagomål.docx", "A 3432-2024")</f>
        <v/>
      </c>
      <c r="AB18">
        <f>HYPERLINK("https://klasma.github.io/Logging_1485/klagomålsmail/A 3432-2024 FSC-klagomål mail.docx", "A 3432-2024")</f>
        <v/>
      </c>
      <c r="AC18">
        <f>HYPERLINK("https://klasma.github.io/Logging_1485/tillsyn/A 3432-2024 tillsynsbegäran.docx", "A 3432-2024")</f>
        <v/>
      </c>
      <c r="AD18">
        <f>HYPERLINK("https://klasma.github.io/Logging_1485/tillsynsmail/A 3432-2024 tillsynsbegäran mail.docx", "A 3432-2024")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46229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46229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46229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32528-2024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46229</v>
      </c>
      <c r="F22" t="inlineStr">
        <is>
          <t>VÄSTRA GÖTALANDS LÄN</t>
        </is>
      </c>
      <c r="G22" t="inlineStr">
        <is>
          <t>UDDEVALLA</t>
        </is>
      </c>
      <c r="I22" t="n">
        <v>1.5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Grönhjon
Granbarkgnagare</t>
        </is>
      </c>
      <c r="W22">
        <f>HYPERLINK("https://klasma.github.io/Logging_1485/artfynd/A 32528-2024 artfynd.xlsx", "A 32528-2024")</f>
        <v/>
      </c>
      <c r="X22">
        <f>HYPERLINK("https://klasma.github.io/Logging_1485/kartor/A 32528-2024 karta.png", "A 32528-2024")</f>
        <v/>
      </c>
      <c r="Y22">
        <f>HYPERLINK("https://klasma.github.io/Logging_1485/kartor_geotiff/A 32528-2024 georefererad karta.tif", "A 32528-2024")</f>
        <v/>
      </c>
      <c r="AA22">
        <f>HYPERLINK("https://klasma.github.io/Logging_1485/klagomål/A 32528-2024 FSC-klagomål.docx", "A 32528-2024")</f>
        <v/>
      </c>
      <c r="AB22">
        <f>HYPERLINK("https://klasma.github.io/Logging_1485/klagomålsmail/A 32528-2024 FSC-klagomål mail.docx", "A 32528-2024")</f>
        <v/>
      </c>
      <c r="AC22">
        <f>HYPERLINK("https://klasma.github.io/Logging_1485/tillsyn/A 32528-2024 tillsynsbegäran.docx", "A 32528-2024")</f>
        <v/>
      </c>
      <c r="AD22">
        <f>HYPERLINK("https://klasma.github.io/Logging_1485/tillsynsmail/A 32528-2024 tillsynsbegäran mail.docx", "A 32528-2024")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46229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46229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46229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46229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46229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46229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46229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46229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46229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495-2023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44930</v>
      </c>
      <c r="E32" s="1" t="n">
        <v>46229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Kommuner</t>
        </is>
      </c>
      <c r="I32" t="n">
        <v>3.7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Grönsångare</t>
        </is>
      </c>
      <c r="W32">
        <f>HYPERLINK("https://klasma.github.io/Logging_1485/artfynd/A 495-2023 artfynd.xlsx", "A 495-2023")</f>
        <v/>
      </c>
      <c r="X32">
        <f>HYPERLINK("https://klasma.github.io/Logging_1485/kartor/A 495-2023 karta.png", "A 495-2023")</f>
        <v/>
      </c>
      <c r="Y32">
        <f>HYPERLINK("https://klasma.github.io/Logging_1485/kartor_geotiff/A 495-2023 georefererad karta.tif", "A 495-2023")</f>
        <v/>
      </c>
      <c r="AA32">
        <f>HYPERLINK("https://klasma.github.io/Logging_1485/klagomål/A 495-2023 FSC-klagomål.docx", "A 495-2023")</f>
        <v/>
      </c>
      <c r="AB32">
        <f>HYPERLINK("https://klasma.github.io/Logging_1485/klagomålsmail/A 495-2023 FSC-klagomål mail.docx", "A 495-2023")</f>
        <v/>
      </c>
      <c r="AC32">
        <f>HYPERLINK("https://klasma.github.io/Logging_1485/tillsyn/A 495-2023 tillsynsbegäran.docx", "A 495-2023")</f>
        <v/>
      </c>
      <c r="AD32">
        <f>HYPERLINK("https://klasma.github.io/Logging_1485/tillsynsmail/A 495-2023 tillsynsbegäran mail.docx", "A 495-2023")</f>
        <v/>
      </c>
      <c r="AE32">
        <f>HYPERLINK("https://klasma.github.io/Logging_1485/fåglar/A 495-2023 prioriterade fågelarter.docx", "A 495-2023")</f>
        <v/>
      </c>
    </row>
    <row r="33" ht="15" customHeight="1">
      <c r="A33" t="inlineStr">
        <is>
          <t>A 22603-2023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45071</v>
      </c>
      <c r="E33" s="1" t="n">
        <v>46229</v>
      </c>
      <c r="F33" t="inlineStr">
        <is>
          <t>VÄSTRA GÖTALANDS LÄN</t>
        </is>
      </c>
      <c r="G33" t="inlineStr">
        <is>
          <t>UDDEVALLA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HYPERLINK("https://klasma.github.io/Logging_1485/artfynd/A 22603-2023 artfynd.xlsx", "A 22603-2023")</f>
        <v/>
      </c>
      <c r="X33">
        <f>HYPERLINK("https://klasma.github.io/Logging_1485/kartor/A 22603-2023 karta.png", "A 22603-2023")</f>
        <v/>
      </c>
      <c r="Y33">
        <f>HYPERLINK("https://klasma.github.io/Logging_1485/kartor_geotiff/A 22603-2023 georefererad karta.tif", "A 22603-2023")</f>
        <v/>
      </c>
      <c r="AA33">
        <f>HYPERLINK("https://klasma.github.io/Logging_1485/klagomål/A 22603-2023 FSC-klagomål.docx", "A 22603-2023")</f>
        <v/>
      </c>
      <c r="AB33">
        <f>HYPERLINK("https://klasma.github.io/Logging_1485/klagomålsmail/A 22603-2023 FSC-klagomål mail.docx", "A 22603-2023")</f>
        <v/>
      </c>
      <c r="AC33">
        <f>HYPERLINK("https://klasma.github.io/Logging_1485/tillsyn/A 22603-2023 tillsynsbegäran.docx", "A 22603-2023")</f>
        <v/>
      </c>
      <c r="AD33">
        <f>HYPERLINK("https://klasma.github.io/Logging_1485/tillsynsmail/A 22603-2023 tillsynsbegäran mail.docx", "A 22603-2023")</f>
        <v/>
      </c>
    </row>
    <row r="34" ht="15" customHeight="1">
      <c r="A34" t="inlineStr">
        <is>
          <t>A 236-2023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46229</v>
      </c>
      <c r="F34" t="inlineStr">
        <is>
          <t>VÄSTRA GÖTALANDS LÄN</t>
        </is>
      </c>
      <c r="G34" t="inlineStr">
        <is>
          <t>UDDEVALLA</t>
        </is>
      </c>
      <c r="I34" t="n">
        <v>16.7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Rödgul trumpetsvamp</t>
        </is>
      </c>
      <c r="W34">
        <f>HYPERLINK("https://klasma.github.io/Logging_1485/artfynd/A 236-2023 artfynd.xlsx", "A 236-2023")</f>
        <v/>
      </c>
      <c r="X34">
        <f>HYPERLINK("https://klasma.github.io/Logging_1485/kartor/A 236-2023 karta.png", "A 236-2023")</f>
        <v/>
      </c>
      <c r="Y34">
        <f>HYPERLINK("https://klasma.github.io/Logging_1485/kartor_geotiff/A 236-2023 georefererad karta.tif", "A 236-2023")</f>
        <v/>
      </c>
      <c r="AA34">
        <f>HYPERLINK("https://klasma.github.io/Logging_1485/klagomål/A 236-2023 FSC-klagomål.docx", "A 236-2023")</f>
        <v/>
      </c>
      <c r="AB34">
        <f>HYPERLINK("https://klasma.github.io/Logging_1485/klagomålsmail/A 236-2023 FSC-klagomål mail.docx", "A 236-2023")</f>
        <v/>
      </c>
      <c r="AC34">
        <f>HYPERLINK("https://klasma.github.io/Logging_1485/tillsyn/A 236-2023 tillsynsbegäran.docx", "A 236-2023")</f>
        <v/>
      </c>
      <c r="AD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46229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46229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46229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46229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46229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46229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9424-2026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46229</v>
      </c>
      <c r="F41" t="inlineStr">
        <is>
          <t>VÄSTRA GÖTALANDS LÄN</t>
        </is>
      </c>
      <c r="G41" t="inlineStr">
        <is>
          <t>UDDEVALLA</t>
        </is>
      </c>
      <c r="I41" t="n">
        <v>4.3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Flotagräs</t>
        </is>
      </c>
      <c r="W41">
        <f>HYPERLINK("https://klasma.github.io/Logging_1485/artfynd/A 9424-2026 artfynd.xlsx", "A 9424-2026")</f>
        <v/>
      </c>
      <c r="X41">
        <f>HYPERLINK("https://klasma.github.io/Logging_1485/kartor/A 9424-2026 karta.png", "A 9424-2026")</f>
        <v/>
      </c>
      <c r="Y41">
        <f>HYPERLINK("https://klasma.github.io/Logging_1485/kartor_geotiff/A 9424-2026 georefererad karta.tif", "A 9424-2026")</f>
        <v/>
      </c>
      <c r="AA41">
        <f>HYPERLINK("https://klasma.github.io/Logging_1485/klagomål/A 9424-2026 FSC-klagomål.docx", "A 9424-2026")</f>
        <v/>
      </c>
      <c r="AB41">
        <f>HYPERLINK("https://klasma.github.io/Logging_1485/klagomålsmail/A 9424-2026 FSC-klagomål mail.docx", "A 9424-2026")</f>
        <v/>
      </c>
      <c r="AC41">
        <f>HYPERLINK("https://klasma.github.io/Logging_1485/tillsyn/A 9424-2026 tillsynsbegäran.docx", "A 9424-2026")</f>
        <v/>
      </c>
      <c r="AD41">
        <f>HYPERLINK("https://klasma.github.io/Logging_1485/tillsynsmail/A 9424-2026 tillsynsbegäran mail.docx", "A 9424-2026")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46229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46229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23322-2025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46229</v>
      </c>
      <c r="F44" t="inlineStr">
        <is>
          <t>VÄSTRA GÖTALANDS LÄN</t>
        </is>
      </c>
      <c r="G44" t="inlineStr">
        <is>
          <t>UDDEVALLA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HYPERLINK("https://klasma.github.io/Logging_1485/artfynd/A 23322-2025 artfynd.xlsx", "A 23322-2025")</f>
        <v/>
      </c>
      <c r="X44">
        <f>HYPERLINK("https://klasma.github.io/Logging_1485/kartor/A 23322-2025 karta.png", "A 23322-2025")</f>
        <v/>
      </c>
      <c r="Y44">
        <f>HYPERLINK("https://klasma.github.io/Logging_1485/kartor_geotiff/A 23322-2025 georefererad karta.tif", "A 23322-2025")</f>
        <v/>
      </c>
      <c r="AA44">
        <f>HYPERLINK("https://klasma.github.io/Logging_1485/klagomål/A 23322-2025 FSC-klagomål.docx", "A 23322-2025")</f>
        <v/>
      </c>
      <c r="AB44">
        <f>HYPERLINK("https://klasma.github.io/Logging_1485/klagomålsmail/A 23322-2025 FSC-klagomål mail.docx", "A 23322-2025")</f>
        <v/>
      </c>
      <c r="AC44">
        <f>HYPERLINK("https://klasma.github.io/Logging_1485/tillsyn/A 23322-2025 tillsynsbegäran.docx", "A 23322-2025")</f>
        <v/>
      </c>
      <c r="AD44">
        <f>HYPERLINK("https://klasma.github.io/Logging_1485/tillsynsmail/A 23322-2025 tillsynsbegäran mail.docx", "A 23322-2025")</f>
        <v/>
      </c>
      <c r="AE44">
        <f>HYPERLINK("https://klasma.github.io/Logging_1485/fåglar/A 23322-2025 prioriterade fågelarter.docx", "A 23322-2025")</f>
        <v/>
      </c>
    </row>
    <row r="45" ht="15" customHeight="1">
      <c r="A45" t="inlineStr">
        <is>
          <t>A 30954-2025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45832</v>
      </c>
      <c r="E45" s="1" t="n">
        <v>46229</v>
      </c>
      <c r="F45" t="inlineStr">
        <is>
          <t>VÄSTRA GÖTALANDS LÄN</t>
        </is>
      </c>
      <c r="G45" t="inlineStr">
        <is>
          <t>UDDEVALLA</t>
        </is>
      </c>
      <c r="I45" t="n">
        <v>11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HYPERLINK("https://klasma.github.io/Logging_1485/artfynd/A 30954-2025 artfynd.xlsx", "A 30954-2025")</f>
        <v/>
      </c>
      <c r="X45">
        <f>HYPERLINK("https://klasma.github.io/Logging_1485/kartor/A 30954-2025 karta.png", "A 30954-2025")</f>
        <v/>
      </c>
      <c r="Y45">
        <f>HYPERLINK("https://klasma.github.io/Logging_1485/kartor_geotiff/A 30954-2025 georefererad karta.tif", "A 30954-2025")</f>
        <v/>
      </c>
      <c r="AA45">
        <f>HYPERLINK("https://klasma.github.io/Logging_1485/klagomål/A 30954-2025 FSC-klagomål.docx", "A 30954-2025")</f>
        <v/>
      </c>
      <c r="AB45">
        <f>HYPERLINK("https://klasma.github.io/Logging_1485/klagomålsmail/A 30954-2025 FSC-klagomål mail.docx", "A 30954-2025")</f>
        <v/>
      </c>
      <c r="AC45">
        <f>HYPERLINK("https://klasma.github.io/Logging_1485/tillsyn/A 30954-2025 tillsynsbegäran.docx", "A 30954-2025")</f>
        <v/>
      </c>
      <c r="AD45">
        <f>HYPERLINK("https://klasma.github.io/Logging_1485/tillsynsmail/A 30954-2025 tillsynsbegäran mail.docx", "A 30954-2025")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46229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HYPERLINK("https://klasma.github.io/Logging_1485/artfynd/S 337-2024 artfynd.xlsx", "S 337-2024")</f>
        <v/>
      </c>
      <c r="X46">
        <f>HYPERLINK("https://klasma.github.io/Logging_1485/kartor/S 337-2024 karta.png", "S 337-2024")</f>
        <v/>
      </c>
      <c r="Y46">
        <f>HYPERLINK("https://klasma.github.io/Logging_1485/kartor_geotiff/S 337-2024 georefererad karta.tif", "S 337-2024")</f>
        <v/>
      </c>
      <c r="AA46">
        <f>HYPERLINK("https://klasma.github.io/Logging_1485/klagomål/S 337-2024 FSC-klagomål.docx", "S 337-2024")</f>
        <v/>
      </c>
      <c r="AB46">
        <f>HYPERLINK("https://klasma.github.io/Logging_1485/klagomålsmail/S 337-2024 FSC-klagomål mail.docx", "S 337-2024")</f>
        <v/>
      </c>
      <c r="AC46">
        <f>HYPERLINK("https://klasma.github.io/Logging_1485/tillsyn/S 337-2024 tillsynsbegäran.docx", "S 337-2024")</f>
        <v/>
      </c>
      <c r="AD46">
        <f>HYPERLINK("https://klasma.github.io/Logging_1485/tillsynsmail/S 337-2024 tillsynsbegäran mail.docx", "S 337-2024")</f>
        <v/>
      </c>
      <c r="AE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46229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46229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46229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46229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46229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46229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46229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46229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46229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46229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46229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46229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46229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46229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46229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46229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46229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46229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46229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46229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46229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46229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46229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46229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46229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46229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46229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46229</v>
      </c>
      <c r="F74" t="inlineStr">
        <is>
          <t>VÄSTRA GÖTALANDS LÄN</t>
        </is>
      </c>
      <c r="G74" t="inlineStr">
        <is>
          <t>UDDEVALLA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46229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46229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46229</v>
      </c>
      <c r="F77" t="inlineStr">
        <is>
          <t>VÄSTRA GÖTALANDS LÄN</t>
        </is>
      </c>
      <c r="G77" t="inlineStr">
        <is>
          <t>UDDEVALLA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70491-2021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46229</v>
      </c>
      <c r="F78" t="inlineStr">
        <is>
          <t>VÄSTRA GÖTALANDS LÄN</t>
        </is>
      </c>
      <c r="G78" t="inlineStr">
        <is>
          <t>UDDEVALLA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46229</v>
      </c>
      <c r="F79" t="inlineStr">
        <is>
          <t>VÄSTRA GÖTALANDS LÄN</t>
        </is>
      </c>
      <c r="G79" t="inlineStr">
        <is>
          <t>UDDEVALLA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46229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46229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46229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46229</v>
      </c>
      <c r="F83" t="inlineStr">
        <is>
          <t>VÄSTRA GÖTALANDS LÄN</t>
        </is>
      </c>
      <c r="G83" t="inlineStr">
        <is>
          <t>UDDEVALLA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46229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46229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46229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46229</v>
      </c>
      <c r="F87" t="inlineStr">
        <is>
          <t>VÄSTRA GÖTALANDS LÄN</t>
        </is>
      </c>
      <c r="G87" t="inlineStr">
        <is>
          <t>UDDEVALLA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46229</v>
      </c>
      <c r="F88" t="inlineStr">
        <is>
          <t>VÄSTRA GÖTALANDS LÄN</t>
        </is>
      </c>
      <c r="G88" t="inlineStr">
        <is>
          <t>UDDEVALLA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46229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46229</v>
      </c>
      <c r="F90" t="inlineStr">
        <is>
          <t>VÄSTRA GÖTALANDS LÄN</t>
        </is>
      </c>
      <c r="G90" t="inlineStr">
        <is>
          <t>UDDEVALLA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45226</v>
      </c>
      <c r="E91" s="1" t="n">
        <v>46229</v>
      </c>
      <c r="F91" t="inlineStr">
        <is>
          <t>VÄSTRA GÖTALANDS LÄN</t>
        </is>
      </c>
      <c r="G91" t="inlineStr">
        <is>
          <t>UDDEVALLA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4639-2022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44592</v>
      </c>
      <c r="E92" s="1" t="n">
        <v>46229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46229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46229</v>
      </c>
      <c r="F94" t="inlineStr">
        <is>
          <t>VÄSTRA GÖTALANDS LÄN</t>
        </is>
      </c>
      <c r="G94" t="inlineStr">
        <is>
          <t>UDDEVALLA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46229</v>
      </c>
      <c r="F95" t="inlineStr">
        <is>
          <t>VÄSTRA GÖTALANDS LÄN</t>
        </is>
      </c>
      <c r="G95" t="inlineStr">
        <is>
          <t>UDDEVALLA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46229</v>
      </c>
      <c r="F96" t="inlineStr">
        <is>
          <t>VÄSTRA GÖTALANDS LÄN</t>
        </is>
      </c>
      <c r="G96" t="inlineStr">
        <is>
          <t>UDDEVALLA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45631</v>
      </c>
      <c r="E97" s="1" t="n">
        <v>46229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46229</v>
      </c>
      <c r="F98" t="inlineStr">
        <is>
          <t>VÄSTRA GÖTALANDS LÄN</t>
        </is>
      </c>
      <c r="G98" t="inlineStr">
        <is>
          <t>UDDEVALLA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44133-2024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46229</v>
      </c>
      <c r="F99" t="inlineStr">
        <is>
          <t>VÄSTRA GÖTALANDS LÄN</t>
        </is>
      </c>
      <c r="G99" t="inlineStr">
        <is>
          <t>UDDEVALLA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46229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46229</v>
      </c>
      <c r="F101" t="inlineStr">
        <is>
          <t>VÄSTRA GÖTALANDS LÄN</t>
        </is>
      </c>
      <c r="G101" t="inlineStr">
        <is>
          <t>UDDEVALLA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58958-2021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44489</v>
      </c>
      <c r="E102" s="1" t="n">
        <v>46229</v>
      </c>
      <c r="F102" t="inlineStr">
        <is>
          <t>VÄSTRA GÖTALANDS LÄN</t>
        </is>
      </c>
      <c r="G102" t="inlineStr">
        <is>
          <t>UDDEVALLA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46229</v>
      </c>
      <c r="F103" t="inlineStr">
        <is>
          <t>VÄSTRA GÖTALANDS LÄN</t>
        </is>
      </c>
      <c r="G103" t="inlineStr">
        <is>
          <t>UDDEVALLA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46229</v>
      </c>
      <c r="F104" t="inlineStr">
        <is>
          <t>VÄSTRA GÖTALANDS LÄN</t>
        </is>
      </c>
      <c r="G104" t="inlineStr">
        <is>
          <t>UDDEVALLA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46229</v>
      </c>
      <c r="F105" t="inlineStr">
        <is>
          <t>VÄSTRA GÖTALANDS LÄN</t>
        </is>
      </c>
      <c r="G105" t="inlineStr">
        <is>
          <t>UDDEVALLA</t>
        </is>
      </c>
      <c r="I105" t="n">
        <v>10.3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45150</v>
      </c>
      <c r="E106" s="1" t="n">
        <v>46229</v>
      </c>
      <c r="F106" t="inlineStr">
        <is>
          <t>VÄSTRA GÖTALANDS LÄN</t>
        </is>
      </c>
      <c r="G106" t="inlineStr">
        <is>
          <t>UDDEVALLA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46229</v>
      </c>
      <c r="F107" t="inlineStr">
        <is>
          <t>VÄSTRA GÖTALANDS LÄN</t>
        </is>
      </c>
      <c r="G107" t="inlineStr">
        <is>
          <t>UDDEVALLA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45672</v>
      </c>
      <c r="E108" s="1" t="n">
        <v>46229</v>
      </c>
      <c r="F108" t="inlineStr">
        <is>
          <t>VÄSTRA GÖTALANDS LÄN</t>
        </is>
      </c>
      <c r="G108" t="inlineStr">
        <is>
          <t>UDDEVALLA</t>
        </is>
      </c>
      <c r="I108" t="n">
        <v>14.1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45771</v>
      </c>
      <c r="E109" s="1" t="n">
        <v>46229</v>
      </c>
      <c r="F109" t="inlineStr">
        <is>
          <t>VÄSTRA GÖTALANDS LÄN</t>
        </is>
      </c>
      <c r="G109" t="inlineStr">
        <is>
          <t>UDDEVALLA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73437-2021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46229</v>
      </c>
      <c r="F110" t="inlineStr">
        <is>
          <t>VÄSTRA GÖTALANDS LÄN</t>
        </is>
      </c>
      <c r="G110" t="inlineStr">
        <is>
          <t>UDDEVALLA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46229</v>
      </c>
      <c r="F111" t="inlineStr">
        <is>
          <t>VÄSTRA GÖTALANDS LÄN</t>
        </is>
      </c>
      <c r="G111" t="inlineStr">
        <is>
          <t>UDDEVALLA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46229</v>
      </c>
      <c r="F112" t="inlineStr">
        <is>
          <t>VÄSTRA GÖTALANDS LÄN</t>
        </is>
      </c>
      <c r="G112" t="inlineStr">
        <is>
          <t>UDDEVALLA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46229</v>
      </c>
      <c r="F113" t="inlineStr">
        <is>
          <t>VÄSTRA GÖTALANDS LÄN</t>
        </is>
      </c>
      <c r="G113" t="inlineStr">
        <is>
          <t>UDDEVALLA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45907</v>
      </c>
      <c r="E114" s="1" t="n">
        <v>46229</v>
      </c>
      <c r="F114" t="inlineStr">
        <is>
          <t>VÄSTRA GÖTALANDS LÄN</t>
        </is>
      </c>
      <c r="G114" t="inlineStr">
        <is>
          <t>UDDEVALLA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46229</v>
      </c>
      <c r="F115" t="inlineStr">
        <is>
          <t>VÄSTRA GÖTALANDS LÄN</t>
        </is>
      </c>
      <c r="G115" t="inlineStr">
        <is>
          <t>UDDEVALLA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33293-2025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46229</v>
      </c>
      <c r="F116" t="inlineStr">
        <is>
          <t>VÄSTRA GÖTALANDS LÄN</t>
        </is>
      </c>
      <c r="G116" t="inlineStr">
        <is>
          <t>UDDEVALLA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40331-2025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46229</v>
      </c>
      <c r="F117" t="inlineStr">
        <is>
          <t>VÄSTRA GÖTALANDS LÄN</t>
        </is>
      </c>
      <c r="G117" t="inlineStr">
        <is>
          <t>UDDEVALLA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46229</v>
      </c>
      <c r="F118" t="inlineStr">
        <is>
          <t>VÄSTRA GÖTALANDS LÄN</t>
        </is>
      </c>
      <c r="G118" t="inlineStr">
        <is>
          <t>UDDEVALLA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46229</v>
      </c>
      <c r="F119" t="inlineStr">
        <is>
          <t>VÄSTRA GÖTALANDS LÄN</t>
        </is>
      </c>
      <c r="G119" t="inlineStr">
        <is>
          <t>UDDEVALLA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46229</v>
      </c>
      <c r="F120" t="inlineStr">
        <is>
          <t>VÄSTRA GÖTALANDS LÄN</t>
        </is>
      </c>
      <c r="G120" t="inlineStr">
        <is>
          <t>UDDEVALLA</t>
        </is>
      </c>
      <c r="I120" t="n">
        <v>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46229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17378-2026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46229</v>
      </c>
      <c r="F122" t="inlineStr">
        <is>
          <t>VÄSTRA GÖTALANDS LÄN</t>
        </is>
      </c>
      <c r="G122" t="inlineStr">
        <is>
          <t>UDDEVALLA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45656</v>
      </c>
      <c r="E123" s="1" t="n">
        <v>46229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Kommuner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46229</v>
      </c>
      <c r="F124" t="inlineStr">
        <is>
          <t>VÄSTRA GÖTALANDS LÄN</t>
        </is>
      </c>
      <c r="G124" t="inlineStr">
        <is>
          <t>UDDEVALLA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46229</v>
      </c>
      <c r="F125" t="inlineStr">
        <is>
          <t>VÄSTRA GÖTALANDS LÄN</t>
        </is>
      </c>
      <c r="G125" t="inlineStr">
        <is>
          <t>UDDEVALLA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46229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44715</v>
      </c>
      <c r="E127" s="1" t="n">
        <v>46229</v>
      </c>
      <c r="F127" t="inlineStr">
        <is>
          <t>VÄSTRA GÖTALANDS LÄN</t>
        </is>
      </c>
      <c r="G127" t="inlineStr">
        <is>
          <t>UDDEVALLA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46229</v>
      </c>
      <c r="F128" t="inlineStr">
        <is>
          <t>VÄSTRA GÖTALANDS LÄN</t>
        </is>
      </c>
      <c r="G128" t="inlineStr">
        <is>
          <t>UDDEVALLA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46229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46229</v>
      </c>
      <c r="F130" t="inlineStr">
        <is>
          <t>VÄSTRA GÖTALANDS LÄN</t>
        </is>
      </c>
      <c r="G130" t="inlineStr">
        <is>
          <t>UDDEVALLA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46229</v>
      </c>
      <c r="F131" t="inlineStr">
        <is>
          <t>VÄSTRA GÖTALANDS LÄN</t>
        </is>
      </c>
      <c r="G131" t="inlineStr">
        <is>
          <t>UDDEVALLA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46229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46229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46229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46229</v>
      </c>
      <c r="F135" t="inlineStr">
        <is>
          <t>VÄSTRA GÖTALANDS LÄN</t>
        </is>
      </c>
      <c r="G135" t="inlineStr">
        <is>
          <t>UDDEVALLA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46229</v>
      </c>
      <c r="F136" t="inlineStr">
        <is>
          <t>VÄSTRA GÖTALANDS LÄN</t>
        </is>
      </c>
      <c r="G136" t="inlineStr">
        <is>
          <t>UDDEVALLA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46229</v>
      </c>
      <c r="F137" t="inlineStr">
        <is>
          <t>VÄSTRA GÖTALANDS LÄN</t>
        </is>
      </c>
      <c r="G137" t="inlineStr">
        <is>
          <t>UDDEVALLA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46229</v>
      </c>
      <c r="F138" t="inlineStr">
        <is>
          <t>VÄSTRA GÖTALANDS LÄN</t>
        </is>
      </c>
      <c r="G138" t="inlineStr">
        <is>
          <t>UDDEVALLA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46229</v>
      </c>
      <c r="F139" t="inlineStr">
        <is>
          <t>VÄSTRA GÖTALANDS LÄN</t>
        </is>
      </c>
      <c r="G139" t="inlineStr">
        <is>
          <t>UDDEVALLA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46229</v>
      </c>
      <c r="F140" t="inlineStr">
        <is>
          <t>VÄSTRA GÖTALANDS LÄN</t>
        </is>
      </c>
      <c r="G140" t="inlineStr">
        <is>
          <t>UDDEVALLA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46229</v>
      </c>
      <c r="F141" t="inlineStr">
        <is>
          <t>VÄSTRA GÖTALANDS LÄN</t>
        </is>
      </c>
      <c r="G141" t="inlineStr">
        <is>
          <t>UDDEVALLA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46229</v>
      </c>
      <c r="F142" t="inlineStr">
        <is>
          <t>VÄSTRA GÖTALANDS LÄN</t>
        </is>
      </c>
      <c r="G142" t="inlineStr">
        <is>
          <t>UDDEVALLA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46229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46229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45440</v>
      </c>
      <c r="E145" s="1" t="n">
        <v>46229</v>
      </c>
      <c r="F145" t="inlineStr">
        <is>
          <t>VÄSTRA GÖTALANDS LÄN</t>
        </is>
      </c>
      <c r="G145" t="inlineStr">
        <is>
          <t>UDDEVALLA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46229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46229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46229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46229</v>
      </c>
      <c r="F149" t="inlineStr">
        <is>
          <t>VÄSTRA GÖTALANDS LÄN</t>
        </is>
      </c>
      <c r="G149" t="inlineStr">
        <is>
          <t>UDDEVALLA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60241-2024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45642</v>
      </c>
      <c r="E150" s="1" t="n">
        <v>46229</v>
      </c>
      <c r="F150" t="inlineStr">
        <is>
          <t>VÄSTRA GÖTALANDS LÄN</t>
        </is>
      </c>
      <c r="G150" t="inlineStr">
        <is>
          <t>UDDEVALLA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20401-2026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46139</v>
      </c>
      <c r="E151" s="1" t="n">
        <v>46229</v>
      </c>
      <c r="F151" t="inlineStr">
        <is>
          <t>VÄSTRA GÖTALANDS LÄN</t>
        </is>
      </c>
      <c r="G151" t="inlineStr">
        <is>
          <t>UDDEVALLA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46229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46229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46229</v>
      </c>
      <c r="F154" t="inlineStr">
        <is>
          <t>VÄSTRA GÖTALANDS LÄN</t>
        </is>
      </c>
      <c r="G154" t="inlineStr">
        <is>
          <t>UDDEVALLA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46229</v>
      </c>
      <c r="F155" t="inlineStr">
        <is>
          <t>VÄSTRA GÖTALANDS LÄN</t>
        </is>
      </c>
      <c r="G155" t="inlineStr">
        <is>
          <t>UDDEVALLA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46229</v>
      </c>
      <c r="F156" t="inlineStr">
        <is>
          <t>VÄSTRA GÖTALANDS LÄN</t>
        </is>
      </c>
      <c r="G156" t="inlineStr">
        <is>
          <t>UDDEVALLA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46229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46229</v>
      </c>
      <c r="F158" t="inlineStr">
        <is>
          <t>VÄSTRA GÖTALANDS LÄN</t>
        </is>
      </c>
      <c r="G158" t="inlineStr">
        <is>
          <t>UDDEVALLA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46229</v>
      </c>
      <c r="F159" t="inlineStr">
        <is>
          <t>VÄSTRA GÖTALANDS LÄN</t>
        </is>
      </c>
      <c r="G159" t="inlineStr">
        <is>
          <t>UDDEVALLA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46229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46229</v>
      </c>
      <c r="F161" t="inlineStr">
        <is>
          <t>VÄSTRA GÖTALANDS LÄN</t>
        </is>
      </c>
      <c r="G161" t="inlineStr">
        <is>
          <t>UDDEVALLA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46229</v>
      </c>
      <c r="F162" t="inlineStr">
        <is>
          <t>VÄSTRA GÖTALANDS LÄN</t>
        </is>
      </c>
      <c r="G162" t="inlineStr">
        <is>
          <t>UDDEVALLA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46229</v>
      </c>
      <c r="F163" t="inlineStr">
        <is>
          <t>VÄSTRA GÖTALANDS LÄN</t>
        </is>
      </c>
      <c r="G163" t="inlineStr">
        <is>
          <t>UDDEVALLA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73007-2021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44550</v>
      </c>
      <c r="E164" s="1" t="n">
        <v>46229</v>
      </c>
      <c r="F164" t="inlineStr">
        <is>
          <t>VÄSTRA GÖTALANDS LÄN</t>
        </is>
      </c>
      <c r="G164" t="inlineStr">
        <is>
          <t>UDDEVALLA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46229</v>
      </c>
      <c r="F165" t="inlineStr">
        <is>
          <t>VÄSTRA GÖTALANDS LÄN</t>
        </is>
      </c>
      <c r="G165" t="inlineStr">
        <is>
          <t>UDDEVALLA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45771</v>
      </c>
      <c r="E166" s="1" t="n">
        <v>46229</v>
      </c>
      <c r="F166" t="inlineStr">
        <is>
          <t>VÄSTRA GÖTALANDS LÄN</t>
        </is>
      </c>
      <c r="G166" t="inlineStr">
        <is>
          <t>UDDEVALLA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51747-2025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45950</v>
      </c>
      <c r="E167" s="1" t="n">
        <v>46229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45940</v>
      </c>
      <c r="E168" s="1" t="n">
        <v>46229</v>
      </c>
      <c r="F168" t="inlineStr">
        <is>
          <t>VÄSTRA GÖTALANDS LÄN</t>
        </is>
      </c>
      <c r="G168" t="inlineStr">
        <is>
          <t>UDDEVALLA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44683</v>
      </c>
      <c r="E169" s="1" t="n">
        <v>46229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46229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46229</v>
      </c>
      <c r="F171" t="inlineStr">
        <is>
          <t>VÄSTRA GÖTALANDS LÄN</t>
        </is>
      </c>
      <c r="G171" t="inlineStr">
        <is>
          <t>UDDEVALLA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46147</v>
      </c>
      <c r="E172" s="1" t="n">
        <v>46229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46229</v>
      </c>
      <c r="F173" t="inlineStr">
        <is>
          <t>VÄSTRA GÖTALANDS LÄN</t>
        </is>
      </c>
      <c r="G173" t="inlineStr">
        <is>
          <t>UDDEVALLA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46229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46229</v>
      </c>
      <c r="F175" t="inlineStr">
        <is>
          <t>VÄSTRA GÖTALANDS LÄN</t>
        </is>
      </c>
      <c r="G175" t="inlineStr">
        <is>
          <t>UDDEVALLA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46229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46229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46229</v>
      </c>
      <c r="F178" t="inlineStr">
        <is>
          <t>VÄSTRA GÖTALANDS LÄN</t>
        </is>
      </c>
      <c r="G178" t="inlineStr">
        <is>
          <t>UDDEVALLA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46229</v>
      </c>
      <c r="F179" t="inlineStr">
        <is>
          <t>VÄSTRA GÖTALANDS LÄN</t>
        </is>
      </c>
      <c r="G179" t="inlineStr">
        <is>
          <t>UDDEVALLA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46229</v>
      </c>
      <c r="F180" t="inlineStr">
        <is>
          <t>VÄSTRA GÖTALANDS LÄN</t>
        </is>
      </c>
      <c r="G180" t="inlineStr">
        <is>
          <t>UDDEVALLA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46229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46229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44973</v>
      </c>
      <c r="E183" s="1" t="n">
        <v>46229</v>
      </c>
      <c r="F183" t="inlineStr">
        <is>
          <t>VÄSTRA GÖTALANDS LÄN</t>
        </is>
      </c>
      <c r="G183" t="inlineStr">
        <is>
          <t>UDDEVALLA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46229</v>
      </c>
      <c r="F184" t="inlineStr">
        <is>
          <t>VÄSTRA GÖTALANDS LÄN</t>
        </is>
      </c>
      <c r="G184" t="inlineStr">
        <is>
          <t>UDDEVALLA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46229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45314</v>
      </c>
      <c r="E186" s="1" t="n">
        <v>46229</v>
      </c>
      <c r="F186" t="inlineStr">
        <is>
          <t>VÄSTRA GÖTALANDS LÄN</t>
        </is>
      </c>
      <c r="G186" t="inlineStr">
        <is>
          <t>UDDEVALLA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45374</v>
      </c>
      <c r="E187" s="1" t="n">
        <v>46229</v>
      </c>
      <c r="F187" t="inlineStr">
        <is>
          <t>VÄSTRA GÖTALANDS LÄN</t>
        </is>
      </c>
      <c r="G187" t="inlineStr">
        <is>
          <t>UDDEVALLA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46229</v>
      </c>
      <c r="F188" t="inlineStr">
        <is>
          <t>VÄSTRA GÖTALANDS LÄN</t>
        </is>
      </c>
      <c r="G188" t="inlineStr">
        <is>
          <t>UDDEVALLA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46229</v>
      </c>
      <c r="F189" t="inlineStr">
        <is>
          <t>VÄSTRA GÖTALANDS LÄN</t>
        </is>
      </c>
      <c r="G189" t="inlineStr">
        <is>
          <t>UDDEVALLA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45456</v>
      </c>
      <c r="E190" s="1" t="n">
        <v>46229</v>
      </c>
      <c r="F190" t="inlineStr">
        <is>
          <t>VÄSTRA GÖTALANDS LÄN</t>
        </is>
      </c>
      <c r="G190" t="inlineStr">
        <is>
          <t>UDDEVALLA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46229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44813</v>
      </c>
      <c r="E192" s="1" t="n">
        <v>46229</v>
      </c>
      <c r="F192" t="inlineStr">
        <is>
          <t>VÄSTRA GÖTALANDS LÄN</t>
        </is>
      </c>
      <c r="G192" t="inlineStr">
        <is>
          <t>UDDEVALLA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45021</v>
      </c>
      <c r="E193" s="1" t="n">
        <v>46229</v>
      </c>
      <c r="F193" t="inlineStr">
        <is>
          <t>VÄSTRA GÖTALANDS LÄN</t>
        </is>
      </c>
      <c r="G193" t="inlineStr">
        <is>
          <t>UDDEVALLA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46229</v>
      </c>
      <c r="F194" t="inlineStr">
        <is>
          <t>VÄSTRA GÖTALANDS LÄN</t>
        </is>
      </c>
      <c r="G194" t="inlineStr">
        <is>
          <t>UDDEVALLA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46229</v>
      </c>
      <c r="F195" t="inlineStr">
        <is>
          <t>VÄSTRA GÖTALANDS LÄN</t>
        </is>
      </c>
      <c r="G195" t="inlineStr">
        <is>
          <t>UDDEVALLA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46229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73437-2021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46229</v>
      </c>
      <c r="F197" t="inlineStr">
        <is>
          <t>VÄSTRA GÖTALANDS LÄN</t>
        </is>
      </c>
      <c r="G197" t="inlineStr">
        <is>
          <t>UDDEVALLA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46229</v>
      </c>
      <c r="F198" t="inlineStr">
        <is>
          <t>VÄSTRA GÖTALANDS LÄN</t>
        </is>
      </c>
      <c r="G198" t="inlineStr">
        <is>
          <t>UDDEVALLA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46229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46229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46027</v>
      </c>
      <c r="E201" s="1" t="n">
        <v>46229</v>
      </c>
      <c r="F201" t="inlineStr">
        <is>
          <t>VÄSTRA GÖTALANDS LÄN</t>
        </is>
      </c>
      <c r="G201" t="inlineStr">
        <is>
          <t>UDDEVALLA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45309</v>
      </c>
      <c r="E202" s="1" t="n">
        <v>46229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33761-2023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45133</v>
      </c>
      <c r="E203" s="1" t="n">
        <v>46229</v>
      </c>
      <c r="F203" t="inlineStr">
        <is>
          <t>VÄSTRA GÖTALANDS LÄN</t>
        </is>
      </c>
      <c r="G203" t="inlineStr">
        <is>
          <t>UDDEVALLA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46229</v>
      </c>
      <c r="F204" t="inlineStr">
        <is>
          <t>VÄSTRA GÖTALANDS LÄN</t>
        </is>
      </c>
      <c r="G204" t="inlineStr">
        <is>
          <t>UDDEVALLA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46229</v>
      </c>
      <c r="F205" t="inlineStr">
        <is>
          <t>VÄSTRA GÖTALANDS LÄN</t>
        </is>
      </c>
      <c r="G205" t="inlineStr">
        <is>
          <t>UDDEVALLA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46229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46229</v>
      </c>
      <c r="F207" t="inlineStr">
        <is>
          <t>VÄSTRA GÖTALANDS LÄN</t>
        </is>
      </c>
      <c r="G207" t="inlineStr">
        <is>
          <t>UDDEVALLA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46229</v>
      </c>
      <c r="F208" t="inlineStr">
        <is>
          <t>VÄSTRA GÖTALANDS LÄN</t>
        </is>
      </c>
      <c r="G208" t="inlineStr">
        <is>
          <t>UDDEVALLA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46229</v>
      </c>
      <c r="F209" t="inlineStr">
        <is>
          <t>VÄSTRA GÖTALANDS LÄN</t>
        </is>
      </c>
      <c r="G209" t="inlineStr">
        <is>
          <t>UDDEVALLA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46229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8893-2024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45355</v>
      </c>
      <c r="E211" s="1" t="n">
        <v>46229</v>
      </c>
      <c r="F211" t="inlineStr">
        <is>
          <t>VÄSTRA GÖTALANDS LÄN</t>
        </is>
      </c>
      <c r="G211" t="inlineStr">
        <is>
          <t>UDDEVALLA</t>
        </is>
      </c>
      <c r="H211" t="inlineStr">
        <is>
          <t>Kyrkan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44578</v>
      </c>
      <c r="E212" s="1" t="n">
        <v>46229</v>
      </c>
      <c r="F212" t="inlineStr">
        <is>
          <t>VÄSTRA GÖTALANDS LÄN</t>
        </is>
      </c>
      <c r="G212" t="inlineStr">
        <is>
          <t>UDDEVALLA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46229</v>
      </c>
      <c r="F213" t="inlineStr">
        <is>
          <t>VÄSTRA GÖTALANDS LÄN</t>
        </is>
      </c>
      <c r="G213" t="inlineStr">
        <is>
          <t>UDDEVALLA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46229</v>
      </c>
      <c r="F214" t="inlineStr">
        <is>
          <t>VÄSTRA GÖTALANDS LÄN</t>
        </is>
      </c>
      <c r="G214" t="inlineStr">
        <is>
          <t>UDDEVALLA</t>
        </is>
      </c>
      <c r="H214" t="inlineStr">
        <is>
          <t>Övriga statliga verk och myndigheter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45463</v>
      </c>
      <c r="E215" s="1" t="n">
        <v>46229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46229</v>
      </c>
      <c r="F216" t="inlineStr">
        <is>
          <t>VÄSTRA GÖTALANDS LÄN</t>
        </is>
      </c>
      <c r="G216" t="inlineStr">
        <is>
          <t>UDDEVALLA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46229</v>
      </c>
      <c r="F217" t="inlineStr">
        <is>
          <t>VÄSTRA GÖTALANDS LÄN</t>
        </is>
      </c>
      <c r="G217" t="inlineStr">
        <is>
          <t>UDDEVALLA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46229</v>
      </c>
      <c r="F218" t="inlineStr">
        <is>
          <t>VÄSTRA GÖTALANDS LÄN</t>
        </is>
      </c>
      <c r="G218" t="inlineStr">
        <is>
          <t>UDDEVALLA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46229</v>
      </c>
      <c r="F219" t="inlineStr">
        <is>
          <t>VÄSTRA GÖTALANDS LÄN</t>
        </is>
      </c>
      <c r="G219" t="inlineStr">
        <is>
          <t>UDDEVALLA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46229</v>
      </c>
      <c r="F220" t="inlineStr">
        <is>
          <t>VÄSTRA GÖTALANDS LÄN</t>
        </is>
      </c>
      <c r="G220" t="inlineStr">
        <is>
          <t>UDDEVALLA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46229</v>
      </c>
      <c r="F221" t="inlineStr">
        <is>
          <t>VÄSTRA GÖTALANDS LÄN</t>
        </is>
      </c>
      <c r="G221" t="inlineStr">
        <is>
          <t>UDDEVALLA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46229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46229</v>
      </c>
      <c r="F223" t="inlineStr">
        <is>
          <t>VÄSTRA GÖTALANDS LÄN</t>
        </is>
      </c>
      <c r="G223" t="inlineStr">
        <is>
          <t>UDDEVALLA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46229</v>
      </c>
      <c r="F224" t="inlineStr">
        <is>
          <t>VÄSTRA GÖTALANDS LÄN</t>
        </is>
      </c>
      <c r="G224" t="inlineStr">
        <is>
          <t>UDDEVALLA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46229</v>
      </c>
      <c r="F225" t="inlineStr">
        <is>
          <t>VÄSTRA GÖTALANDS LÄN</t>
        </is>
      </c>
      <c r="G225" t="inlineStr">
        <is>
          <t>UDDEVALLA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46229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46229</v>
      </c>
      <c r="F227" t="inlineStr">
        <is>
          <t>VÄSTRA GÖTALANDS LÄN</t>
        </is>
      </c>
      <c r="G227" t="inlineStr">
        <is>
          <t>UDDEVALLA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10436-2026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46076</v>
      </c>
      <c r="E228" s="1" t="n">
        <v>46229</v>
      </c>
      <c r="F228" t="inlineStr">
        <is>
          <t>VÄSTRA GÖTALANDS LÄN</t>
        </is>
      </c>
      <c r="G228" t="inlineStr">
        <is>
          <t>UDDEVALLA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11465-2026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46083</v>
      </c>
      <c r="E229" s="1" t="n">
        <v>46229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46210</v>
      </c>
      <c r="E230" s="1" t="n">
        <v>46229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Kommuner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46210</v>
      </c>
      <c r="E231" s="1" t="n">
        <v>46229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44956</v>
      </c>
      <c r="E232" s="1" t="n">
        <v>46229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46229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46229</v>
      </c>
      <c r="F234" t="inlineStr">
        <is>
          <t>VÄSTRA GÖTALANDS LÄN</t>
        </is>
      </c>
      <c r="G234" t="inlineStr">
        <is>
          <t>UDDEVALLA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46229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16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46229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45400</v>
      </c>
      <c r="E237" s="1" t="n">
        <v>46229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46229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46229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46229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46229</v>
      </c>
      <c r="F241" t="inlineStr">
        <is>
          <t>VÄSTRA GÖTALANDS LÄN</t>
        </is>
      </c>
      <c r="G241" t="inlineStr">
        <is>
          <t>UDDEVALLA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46229</v>
      </c>
      <c r="F242" t="inlineStr">
        <is>
          <t>VÄSTRA GÖTALANDS LÄN</t>
        </is>
      </c>
      <c r="G242" t="inlineStr">
        <is>
          <t>UDDEVALLA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46212</v>
      </c>
      <c r="E243" s="1" t="n">
        <v>46229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46229</v>
      </c>
      <c r="F244" t="inlineStr">
        <is>
          <t>VÄSTRA GÖTALANDS LÄN</t>
        </is>
      </c>
      <c r="G244" t="inlineStr">
        <is>
          <t>UDDEVALLA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45517</v>
      </c>
      <c r="E245" s="1" t="n">
        <v>46229</v>
      </c>
      <c r="F245" t="inlineStr">
        <is>
          <t>VÄSTRA GÖTALANDS LÄN</t>
        </is>
      </c>
      <c r="G245" t="inlineStr">
        <is>
          <t>UDDEVALLA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44733</v>
      </c>
      <c r="E246" s="1" t="n">
        <v>46229</v>
      </c>
      <c r="F246" t="inlineStr">
        <is>
          <t>VÄSTRA GÖTALANDS LÄN</t>
        </is>
      </c>
      <c r="G246" t="inlineStr">
        <is>
          <t>UDDEVALLA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46229</v>
      </c>
      <c r="F247" t="inlineStr">
        <is>
          <t>VÄSTRA GÖTALANDS LÄN</t>
        </is>
      </c>
      <c r="G247" t="inlineStr">
        <is>
          <t>UDDEVALLA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46229</v>
      </c>
      <c r="F248" t="inlineStr">
        <is>
          <t>VÄSTRA GÖTALANDS LÄN</t>
        </is>
      </c>
      <c r="G248" t="inlineStr">
        <is>
          <t>UDDEVALLA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46229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46229</v>
      </c>
      <c r="F250" t="inlineStr">
        <is>
          <t>VÄSTRA GÖTALANDS LÄN</t>
        </is>
      </c>
      <c r="G250" t="inlineStr">
        <is>
          <t>UDDEVALLA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63878-2021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46229</v>
      </c>
      <c r="F251" t="inlineStr">
        <is>
          <t>VÄSTRA GÖTALANDS LÄN</t>
        </is>
      </c>
      <c r="G251" t="inlineStr">
        <is>
          <t>UDDEVALLA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16819-2026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46113</v>
      </c>
      <c r="E252" s="1" t="n">
        <v>46229</v>
      </c>
      <c r="F252" t="inlineStr">
        <is>
          <t>VÄSTRA GÖTALANDS LÄN</t>
        </is>
      </c>
      <c r="G252" t="inlineStr">
        <is>
          <t>UDDEVALLA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46229</v>
      </c>
      <c r="F253" t="inlineStr">
        <is>
          <t>VÄSTRA GÖTALANDS LÄN</t>
        </is>
      </c>
      <c r="G253" t="inlineStr">
        <is>
          <t>UDDEVALLA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25607-2026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46229</v>
      </c>
      <c r="F254" t="inlineStr">
        <is>
          <t>VÄSTRA GÖTALANDS LÄN</t>
        </is>
      </c>
      <c r="G254" t="inlineStr">
        <is>
          <t>UDDEVALLA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46229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46229</v>
      </c>
      <c r="F256" t="inlineStr">
        <is>
          <t>VÄSTRA GÖTALANDS LÄN</t>
        </is>
      </c>
      <c r="G256" t="inlineStr">
        <is>
          <t>UDDEVALLA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31481-2026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46222</v>
      </c>
      <c r="E257" s="1" t="n">
        <v>46229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46229</v>
      </c>
      <c r="F258" t="inlineStr">
        <is>
          <t>VÄSTRA GÖTALANDS LÄN</t>
        </is>
      </c>
      <c r="G258" t="inlineStr">
        <is>
          <t>UDDEVALLA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46229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46229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46229</v>
      </c>
      <c r="F261" t="inlineStr">
        <is>
          <t>VÄSTRA GÖTALANDS LÄN</t>
        </is>
      </c>
      <c r="G261" t="inlineStr">
        <is>
          <t>UDDEVALLA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46229</v>
      </c>
      <c r="F262" t="inlineStr">
        <is>
          <t>VÄSTRA GÖTALANDS LÄN</t>
        </is>
      </c>
      <c r="G262" t="inlineStr">
        <is>
          <t>UDDEVALLA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46229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46229</v>
      </c>
      <c r="F264" t="inlineStr">
        <is>
          <t>VÄSTRA GÖTALANDS LÄN</t>
        </is>
      </c>
      <c r="G264" t="inlineStr">
        <is>
          <t>UDDEVALLA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46229</v>
      </c>
      <c r="F265" t="inlineStr">
        <is>
          <t>VÄSTRA GÖTALANDS LÄN</t>
        </is>
      </c>
      <c r="G265" t="inlineStr">
        <is>
          <t>UDDEVALLA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44602</v>
      </c>
      <c r="E266" s="1" t="n">
        <v>46229</v>
      </c>
      <c r="F266" t="inlineStr">
        <is>
          <t>VÄSTRA GÖTALANDS LÄN</t>
        </is>
      </c>
      <c r="G266" t="inlineStr">
        <is>
          <t>UDDEVALLA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46229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46229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Kommuner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46229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46229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46229</v>
      </c>
      <c r="F271" t="inlineStr">
        <is>
          <t>VÄSTRA GÖTALANDS LÄN</t>
        </is>
      </c>
      <c r="G271" t="inlineStr">
        <is>
          <t>UDDEVALLA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46229</v>
      </c>
      <c r="F272" t="inlineStr">
        <is>
          <t>VÄSTRA GÖTALANDS LÄN</t>
        </is>
      </c>
      <c r="G272" t="inlineStr">
        <is>
          <t>UDDEVALLA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46229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46229</v>
      </c>
      <c r="F274" t="inlineStr">
        <is>
          <t>VÄSTRA GÖTALANDS LÄN</t>
        </is>
      </c>
      <c r="G274" t="inlineStr">
        <is>
          <t>UDDEVALLA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46229</v>
      </c>
      <c r="F275" t="inlineStr">
        <is>
          <t>VÄSTRA GÖTALANDS LÄN</t>
        </is>
      </c>
      <c r="G275" t="inlineStr">
        <is>
          <t>UDDEVALLA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17058-2025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45754</v>
      </c>
      <c r="E276" s="1" t="n">
        <v>46229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58625-2024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45635</v>
      </c>
      <c r="E277" s="1" t="n">
        <v>46229</v>
      </c>
      <c r="F277" t="inlineStr">
        <is>
          <t>VÄSTRA GÖTALANDS LÄN</t>
        </is>
      </c>
      <c r="G277" t="inlineStr">
        <is>
          <t>UDDEVALLA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46229</v>
      </c>
      <c r="F278" t="inlineStr">
        <is>
          <t>VÄSTRA GÖTALANDS LÄN</t>
        </is>
      </c>
      <c r="G278" t="inlineStr">
        <is>
          <t>UDDEVALLA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46229</v>
      </c>
      <c r="F279" t="inlineStr">
        <is>
          <t>VÄSTRA GÖTALANDS LÄN</t>
        </is>
      </c>
      <c r="G279" t="inlineStr">
        <is>
          <t>UDDEVALLA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46229</v>
      </c>
      <c r="F280" t="inlineStr">
        <is>
          <t>VÄSTRA GÖTALANDS LÄN</t>
        </is>
      </c>
      <c r="G280" t="inlineStr">
        <is>
          <t>UDDEVALLA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46229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46229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46229</v>
      </c>
      <c r="F283" t="inlineStr">
        <is>
          <t>VÄSTRA GÖTALANDS LÄN</t>
        </is>
      </c>
      <c r="G283" t="inlineStr">
        <is>
          <t>UDDEVALLA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46229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46229</v>
      </c>
      <c r="F285" t="inlineStr">
        <is>
          <t>VÄSTRA GÖTALANDS LÄN</t>
        </is>
      </c>
      <c r="G285" t="inlineStr">
        <is>
          <t>UDDEVALLA</t>
        </is>
      </c>
      <c r="I285" t="n">
        <v>12.2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9797-2023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44984</v>
      </c>
      <c r="E286" s="1" t="n">
        <v>46229</v>
      </c>
      <c r="F286" t="inlineStr">
        <is>
          <t>VÄSTRA GÖTALANDS LÄN</t>
        </is>
      </c>
      <c r="G286" t="inlineStr">
        <is>
          <t>UDDEVALLA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46229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46229</v>
      </c>
      <c r="F288" t="inlineStr">
        <is>
          <t>VÄSTRA GÖTALANDS LÄN</t>
        </is>
      </c>
      <c r="G288" t="inlineStr">
        <is>
          <t>UDDEVALLA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46229</v>
      </c>
      <c r="F289" t="inlineStr">
        <is>
          <t>VÄSTRA GÖTALANDS LÄN</t>
        </is>
      </c>
      <c r="G289" t="inlineStr">
        <is>
          <t>UDDEVALLA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69198-2021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46229</v>
      </c>
      <c r="F290" t="inlineStr">
        <is>
          <t>VÄSTRA GÖTALANDS LÄN</t>
        </is>
      </c>
      <c r="G290" t="inlineStr">
        <is>
          <t>UDDEVALLA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46229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46229</v>
      </c>
      <c r="F292" t="inlineStr">
        <is>
          <t>VÄSTRA GÖTALANDS LÄN</t>
        </is>
      </c>
      <c r="G292" t="inlineStr">
        <is>
          <t>UDDEVALLA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45255</v>
      </c>
      <c r="E293" s="1" t="n">
        <v>46229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45121</v>
      </c>
      <c r="E294" s="1" t="n">
        <v>46229</v>
      </c>
      <c r="F294" t="inlineStr">
        <is>
          <t>VÄSTRA GÖTALANDS LÄN</t>
        </is>
      </c>
      <c r="G294" t="inlineStr">
        <is>
          <t>UDDEVALLA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46229</v>
      </c>
      <c r="F295" t="inlineStr">
        <is>
          <t>VÄSTRA GÖTALANDS LÄN</t>
        </is>
      </c>
      <c r="G295" t="inlineStr">
        <is>
          <t>UDDEVALLA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46229</v>
      </c>
      <c r="F296" t="inlineStr">
        <is>
          <t>VÄSTRA GÖTALANDS LÄN</t>
        </is>
      </c>
      <c r="G296" t="inlineStr">
        <is>
          <t>UDDEVALLA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45426</v>
      </c>
      <c r="E297" s="1" t="n">
        <v>46229</v>
      </c>
      <c r="F297" t="inlineStr">
        <is>
          <t>VÄSTRA GÖTALANDS LÄN</t>
        </is>
      </c>
      <c r="G297" t="inlineStr">
        <is>
          <t>UDDEVALLA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46229</v>
      </c>
      <c r="F298" t="inlineStr">
        <is>
          <t>VÄSTRA GÖTALANDS LÄN</t>
        </is>
      </c>
      <c r="G298" t="inlineStr">
        <is>
          <t>UDDEVALLA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46229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46229</v>
      </c>
      <c r="F300" t="inlineStr">
        <is>
          <t>VÄSTRA GÖTALANDS LÄN</t>
        </is>
      </c>
      <c r="G300" t="inlineStr">
        <is>
          <t>UDDEVALLA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44794</v>
      </c>
      <c r="E301" s="1" t="n">
        <v>46229</v>
      </c>
      <c r="F301" t="inlineStr">
        <is>
          <t>VÄSTRA GÖTALANDS LÄN</t>
        </is>
      </c>
      <c r="G301" t="inlineStr">
        <is>
          <t>UDDEVALLA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45188</v>
      </c>
      <c r="E302" s="1" t="n">
        <v>46229</v>
      </c>
      <c r="F302" t="inlineStr">
        <is>
          <t>VÄSTRA GÖTALANDS LÄN</t>
        </is>
      </c>
      <c r="G302" t="inlineStr">
        <is>
          <t>UDDEVALLA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46229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44582</v>
      </c>
      <c r="E304" s="1" t="n">
        <v>46229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43170-2021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44431</v>
      </c>
      <c r="E305" s="1" t="n">
        <v>46229</v>
      </c>
      <c r="F305" t="inlineStr">
        <is>
          <t>VÄSTRA GÖTALANDS LÄN</t>
        </is>
      </c>
      <c r="G305" t="inlineStr">
        <is>
          <t>UDDEVALLA</t>
        </is>
      </c>
      <c r="I305" t="n">
        <v>13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45484</v>
      </c>
      <c r="E306" s="1" t="n">
        <v>46229</v>
      </c>
      <c r="F306" t="inlineStr">
        <is>
          <t>VÄSTRA GÖTALANDS LÄN</t>
        </is>
      </c>
      <c r="G306" t="inlineStr">
        <is>
          <t>UDDEVALLA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46229</v>
      </c>
      <c r="F307" t="inlineStr">
        <is>
          <t>VÄSTRA GÖTALANDS LÄN</t>
        </is>
      </c>
      <c r="G307" t="inlineStr">
        <is>
          <t>UDDEVALLA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45453</v>
      </c>
      <c r="E308" s="1" t="n">
        <v>46229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46229</v>
      </c>
      <c r="F309" t="inlineStr">
        <is>
          <t>VÄSTRA GÖTALANDS LÄN</t>
        </is>
      </c>
      <c r="G309" t="inlineStr">
        <is>
          <t>UDDEVALLA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46229</v>
      </c>
      <c r="F310" t="inlineStr">
        <is>
          <t>VÄSTRA GÖTALANDS LÄN</t>
        </is>
      </c>
      <c r="G310" t="inlineStr">
        <is>
          <t>UDDEVALLA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46229</v>
      </c>
      <c r="F311" t="inlineStr">
        <is>
          <t>VÄSTRA GÖTALANDS LÄN</t>
        </is>
      </c>
      <c r="G311" t="inlineStr">
        <is>
          <t>UDDEVALLA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44823</v>
      </c>
      <c r="E312" s="1" t="n">
        <v>46229</v>
      </c>
      <c r="F312" t="inlineStr">
        <is>
          <t>VÄSTRA GÖTALANDS LÄN</t>
        </is>
      </c>
      <c r="G312" t="inlineStr">
        <is>
          <t>UDDEVALLA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45644</v>
      </c>
      <c r="E313" s="1" t="n">
        <v>46229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46229</v>
      </c>
      <c r="F314" t="inlineStr">
        <is>
          <t>VÄSTRA GÖTALANDS LÄN</t>
        </is>
      </c>
      <c r="G314" t="inlineStr">
        <is>
          <t>UDDEVALLA</t>
        </is>
      </c>
      <c r="I314" t="n">
        <v>12.9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46229</v>
      </c>
      <c r="F315" t="inlineStr">
        <is>
          <t>VÄSTRA GÖTALANDS LÄN</t>
        </is>
      </c>
      <c r="G315" t="inlineStr">
        <is>
          <t>UDDEVALLA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46229</v>
      </c>
      <c r="F316" t="inlineStr">
        <is>
          <t>VÄSTRA GÖTALANDS LÄN</t>
        </is>
      </c>
      <c r="G316" t="inlineStr">
        <is>
          <t>UDDEVALLA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46229</v>
      </c>
      <c r="F317" t="inlineStr">
        <is>
          <t>VÄSTRA GÖTALANDS LÄN</t>
        </is>
      </c>
      <c r="G317" t="inlineStr">
        <is>
          <t>UDDEVALLA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46229</v>
      </c>
      <c r="F318" t="inlineStr">
        <is>
          <t>VÄSTRA GÖTALANDS LÄN</t>
        </is>
      </c>
      <c r="G318" t="inlineStr">
        <is>
          <t>UDDEVALLA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46229</v>
      </c>
      <c r="F319" t="inlineStr">
        <is>
          <t>VÄSTRA GÖTALANDS LÄN</t>
        </is>
      </c>
      <c r="G319" t="inlineStr">
        <is>
          <t>UDDEVALLA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46229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46229</v>
      </c>
      <c r="F321" t="inlineStr">
        <is>
          <t>VÄSTRA GÖTALANDS LÄN</t>
        </is>
      </c>
      <c r="G321" t="inlineStr">
        <is>
          <t>UDDEVALLA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45455</v>
      </c>
      <c r="E322" s="1" t="n">
        <v>46229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45723</v>
      </c>
      <c r="E323" s="1" t="n">
        <v>46229</v>
      </c>
      <c r="F323" t="inlineStr">
        <is>
          <t>VÄSTRA GÖTALANDS LÄN</t>
        </is>
      </c>
      <c r="G323" t="inlineStr">
        <is>
          <t>UDDEVALLA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46229</v>
      </c>
      <c r="F324" t="inlineStr">
        <is>
          <t>VÄSTRA GÖTALANDS LÄN</t>
        </is>
      </c>
      <c r="G324" t="inlineStr">
        <is>
          <t>UDDEVALLA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46229</v>
      </c>
      <c r="F325" t="inlineStr">
        <is>
          <t>VÄSTRA GÖTALANDS LÄN</t>
        </is>
      </c>
      <c r="G325" t="inlineStr">
        <is>
          <t>UDDEVALLA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46229</v>
      </c>
      <c r="F326" t="inlineStr">
        <is>
          <t>VÄSTRA GÖTALANDS LÄN</t>
        </is>
      </c>
      <c r="G326" t="inlineStr">
        <is>
          <t>UDDEVALLA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46229</v>
      </c>
      <c r="F327" t="inlineStr">
        <is>
          <t>VÄSTRA GÖTALANDS LÄN</t>
        </is>
      </c>
      <c r="G327" t="inlineStr">
        <is>
          <t>UDDEVALLA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45843</v>
      </c>
      <c r="E328" s="1" t="n">
        <v>46229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46229</v>
      </c>
      <c r="F329" t="inlineStr">
        <is>
          <t>VÄSTRA GÖTALANDS LÄN</t>
        </is>
      </c>
      <c r="G329" t="inlineStr">
        <is>
          <t>UDDEVALLA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45588</v>
      </c>
      <c r="E330" s="1" t="n">
        <v>46229</v>
      </c>
      <c r="F330" t="inlineStr">
        <is>
          <t>VÄSTRA GÖTALANDS LÄN</t>
        </is>
      </c>
      <c r="G330" t="inlineStr">
        <is>
          <t>UDDEVALLA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46229</v>
      </c>
      <c r="F331" t="inlineStr">
        <is>
          <t>VÄSTRA GÖTALANDS LÄN</t>
        </is>
      </c>
      <c r="G331" t="inlineStr">
        <is>
          <t>UDDEVALLA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46229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46229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46229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46229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2026-07-26T01:50:41Z</dcterms:created>
  <dcterms:modified xmlns:dcterms="http://purl.org/dc/terms/" xmlns:xsi="http://www.w3.org/2001/XMLSchema-instance" xsi:type="dcterms:W3CDTF">2026-07-26T01:50:42Z</dcterms:modified>
</cp:coreProperties>
</file>