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46235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46235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46235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46235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46235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46235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46235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46235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46235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46235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46235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46235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46235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46235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46235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46235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46235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46235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46235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46235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46235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65109-2023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45288</v>
      </c>
      <c r="E25" s="1" t="n">
        <v>46235</v>
      </c>
      <c r="F25" t="inlineStr">
        <is>
          <t>VÄSTRA GÖTALANDS LÄN</t>
        </is>
      </c>
      <c r="G25" t="inlineStr">
        <is>
          <t>UDDEVALLA</t>
        </is>
      </c>
      <c r="I25" t="n">
        <v>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Åttafläckig praktbagge</t>
        </is>
      </c>
      <c r="W25">
        <f>HYPERLINK("https://klasma.github.io/Logging_1485/artfynd/A 65109-2023 artfynd.xlsx", "A 65109-2023")</f>
        <v/>
      </c>
      <c r="X25">
        <f>HYPERLINK("https://klasma.github.io/Logging_1485/kartor/A 65109-2023 karta.png", "A 65109-2023")</f>
        <v/>
      </c>
      <c r="Y25">
        <f>HYPERLINK("https://klasma.github.io/Logging_1485/kartor_geotiff/A 65109-2023 georefererad karta.tif", "A 65109-2023")</f>
        <v/>
      </c>
      <c r="AA25">
        <f>HYPERLINK("https://klasma.github.io/Logging_1485/klagomål/A 65109-2023 FSC-klagomål.docx", "A 65109-2023")</f>
        <v/>
      </c>
      <c r="AB25">
        <f>HYPERLINK("https://klasma.github.io/Logging_1485/klagomålsmail/A 65109-2023 FSC-klagomål mail.docx", "A 65109-2023")</f>
        <v/>
      </c>
      <c r="AC25">
        <f>HYPERLINK("https://klasma.github.io/Logging_1485/tillsyn/A 65109-2023 tillsynsbegäran.docx", "A 65109-2023")</f>
        <v/>
      </c>
      <c r="AD25">
        <f>HYPERLINK("https://klasma.github.io/Logging_1485/tillsynsmail/A 65109-2023 tillsynsbegäran mail.docx", "A 65109-2023")</f>
        <v/>
      </c>
    </row>
    <row r="26" ht="15" customHeight="1">
      <c r="A26" t="inlineStr">
        <is>
          <t>A 16882-2026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46113</v>
      </c>
      <c r="E26" s="1" t="n">
        <v>46235</v>
      </c>
      <c r="F26" t="inlineStr">
        <is>
          <t>VÄSTRA GÖTALANDS LÄN</t>
        </is>
      </c>
      <c r="G26" t="inlineStr">
        <is>
          <t>UDDEVALLA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Iller
Svinrot</t>
        </is>
      </c>
      <c r="W26">
        <f>HYPERLINK("https://klasma.github.io/Logging_1485/artfynd/A 16882-2026 artfynd.xlsx", "A 16882-2026")</f>
        <v/>
      </c>
      <c r="X26">
        <f>HYPERLINK("https://klasma.github.io/Logging_1485/kartor/A 16882-2026 karta.png", "A 16882-2026")</f>
        <v/>
      </c>
      <c r="Y26">
        <f>HYPERLINK("https://klasma.github.io/Logging_1485/kartor_geotiff/A 16882-2026 georefererad karta.tif", "A 16882-2026")</f>
        <v/>
      </c>
      <c r="AA26">
        <f>HYPERLINK("https://klasma.github.io/Logging_1485/klagomål/A 16882-2026 FSC-klagomål.docx", "A 16882-2026")</f>
        <v/>
      </c>
      <c r="AB26">
        <f>HYPERLINK("https://klasma.github.io/Logging_1485/klagomålsmail/A 16882-2026 FSC-klagomål mail.docx", "A 16882-2026")</f>
        <v/>
      </c>
      <c r="AC26">
        <f>HYPERLINK("https://klasma.github.io/Logging_1485/tillsyn/A 16882-2026 tillsynsbegäran.docx", "A 16882-2026")</f>
        <v/>
      </c>
      <c r="AD26">
        <f>HYPERLINK("https://klasma.github.io/Logging_1485/tillsynsmail/A 16882-2026 tillsynsbegäran mail.docx", "A 16882-2026")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46235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46235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46235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51869-2021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46235</v>
      </c>
      <c r="F30" t="inlineStr">
        <is>
          <t>VÄSTRA GÖTALANDS LÄN</t>
        </is>
      </c>
      <c r="G30" t="inlineStr">
        <is>
          <t>UDDEVALLA</t>
        </is>
      </c>
      <c r="I30" t="n">
        <v>3.2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HYPERLINK("https://klasma.github.io/Logging_1485/artfynd/A 51869-2021 artfynd.xlsx", "A 51869-2021")</f>
        <v/>
      </c>
      <c r="X30">
        <f>HYPERLINK("https://klasma.github.io/Logging_1485/kartor/A 51869-2021 karta.png", "A 51869-2021")</f>
        <v/>
      </c>
      <c r="Y30">
        <f>HYPERLINK("https://klasma.github.io/Logging_1485/kartor_geotiff/A 51869-2021 georefererad karta.tif", "A 51869-2021")</f>
        <v/>
      </c>
      <c r="AA30">
        <f>HYPERLINK("https://klasma.github.io/Logging_1485/klagomål/A 51869-2021 FSC-klagomål.docx", "A 51869-2021")</f>
        <v/>
      </c>
      <c r="AB30">
        <f>HYPERLINK("https://klasma.github.io/Logging_1485/klagomålsmail/A 51869-2021 FSC-klagomål mail.docx", "A 51869-2021")</f>
        <v/>
      </c>
      <c r="AC30">
        <f>HYPERLINK("https://klasma.github.io/Logging_1485/tillsyn/A 51869-2021 tillsynsbegäran.docx", "A 51869-2021")</f>
        <v/>
      </c>
      <c r="AD30">
        <f>HYPERLINK("https://klasma.github.io/Logging_1485/tillsynsmail/A 51869-2021 tillsynsbegäran mail.docx", "A 51869-2021")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46235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46235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46235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50274-2024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46235</v>
      </c>
      <c r="F34" t="inlineStr">
        <is>
          <t>VÄSTRA GÖTALANDS LÄN</t>
        </is>
      </c>
      <c r="G34" t="inlineStr">
        <is>
          <t>UDDEVALLA</t>
        </is>
      </c>
      <c r="I34" t="n">
        <v>20.1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HYPERLINK("https://klasma.github.io/Logging_1485/artfynd/A 50274-2024 artfynd.xlsx", "A 50274-2024")</f>
        <v/>
      </c>
      <c r="X34">
        <f>HYPERLINK("https://klasma.github.io/Logging_1485/kartor/A 50274-2024 karta.png", "A 50274-2024")</f>
        <v/>
      </c>
      <c r="Y34">
        <f>HYPERLINK("https://klasma.github.io/Logging_1485/kartor_geotiff/A 50274-2024 georefererad karta.tif", "A 50274-2024")</f>
        <v/>
      </c>
      <c r="AA34">
        <f>HYPERLINK("https://klasma.github.io/Logging_1485/klagomål/A 50274-2024 FSC-klagomål.docx", "A 50274-2024")</f>
        <v/>
      </c>
      <c r="AB34">
        <f>HYPERLINK("https://klasma.github.io/Logging_1485/klagomålsmail/A 50274-2024 FSC-klagomål mail.docx", "A 50274-2024")</f>
        <v/>
      </c>
      <c r="AC34">
        <f>HYPERLINK("https://klasma.github.io/Logging_1485/tillsyn/A 50274-2024 tillsynsbegäran.docx", "A 50274-2024")</f>
        <v/>
      </c>
      <c r="AD34">
        <f>HYPERLINK("https://klasma.github.io/Logging_1485/tillsynsmail/A 50274-2024 tillsynsbegäran mail.docx", "A 50274-2024")</f>
        <v/>
      </c>
      <c r="AE34">
        <f>HYPERLINK("https://klasma.github.io/Logging_1485/fåglar/A 50274-2024 prioriterade fågelarter.docx", "A 50274-2024")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46235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46235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2429-2026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46235</v>
      </c>
      <c r="F37" t="inlineStr">
        <is>
          <t>VÄSTRA GÖTALANDS LÄN</t>
        </is>
      </c>
      <c r="G37" t="inlineStr">
        <is>
          <t>UDDEVALLA</t>
        </is>
      </c>
      <c r="I37" t="n">
        <v>7.6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HYPERLINK("https://klasma.github.io/Logging_1485/artfynd/A 2429-2026 artfynd.xlsx", "A 2429-2026")</f>
        <v/>
      </c>
      <c r="X37">
        <f>HYPERLINK("https://klasma.github.io/Logging_1485/kartor/A 2429-2026 karta.png", "A 2429-2026")</f>
        <v/>
      </c>
      <c r="Y37">
        <f>HYPERLINK("https://klasma.github.io/Logging_1485/kartor_geotiff/A 2429-2026 georefererad karta.tif", "A 2429-2026")</f>
        <v/>
      </c>
      <c r="AA37">
        <f>HYPERLINK("https://klasma.github.io/Logging_1485/klagomål/A 2429-2026 FSC-klagomål.docx", "A 2429-2026")</f>
        <v/>
      </c>
      <c r="AB37">
        <f>HYPERLINK("https://klasma.github.io/Logging_1485/klagomålsmail/A 2429-2026 FSC-klagomål mail.docx", "A 2429-2026")</f>
        <v/>
      </c>
      <c r="AC37">
        <f>HYPERLINK("https://klasma.github.io/Logging_1485/tillsyn/A 2429-2026 tillsynsbegäran.docx", "A 2429-2026")</f>
        <v/>
      </c>
      <c r="AD37">
        <f>HYPERLINK("https://klasma.github.io/Logging_1485/tillsynsmail/A 2429-2026 tillsynsbegäran mail.docx", "A 2429-2026")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46235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46235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46235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Flotagräs</t>
        </is>
      </c>
      <c r="W40">
        <f>HYPERLINK("https://klasma.github.io/Logging_1485/artfynd/A 9424-2026 artfynd.xlsx", "A 9424-2026")</f>
        <v/>
      </c>
      <c r="X40">
        <f>HYPERLINK("https://klasma.github.io/Logging_1485/kartor/A 9424-2026 karta.png", "A 9424-2026")</f>
        <v/>
      </c>
      <c r="Y40">
        <f>HYPERLINK("https://klasma.github.io/Logging_1485/kartor_geotiff/A 9424-2026 georefererad karta.tif", "A 9424-2026")</f>
        <v/>
      </c>
      <c r="AA40">
        <f>HYPERLINK("https://klasma.github.io/Logging_1485/klagomål/A 9424-2026 FSC-klagomål.docx", "A 9424-2026")</f>
        <v/>
      </c>
      <c r="AB40">
        <f>HYPERLINK("https://klasma.github.io/Logging_1485/klagomålsmail/A 9424-2026 FSC-klagomål mail.docx", "A 9424-2026")</f>
        <v/>
      </c>
      <c r="AC40">
        <f>HYPERLINK("https://klasma.github.io/Logging_1485/tillsyn/A 9424-2026 tillsynsbegäran.docx", "A 9424-2026")</f>
        <v/>
      </c>
      <c r="AD40">
        <f>HYPERLINK("https://klasma.github.io/Logging_1485/tillsynsmail/A 9424-2026 tillsynsbegäran mail.docx", "A 9424-2026")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46235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46235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46235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46235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46235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46235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46235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46235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46235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46235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46235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46235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46235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46235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46235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46235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46235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46235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46235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46235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46235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46235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46235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46235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46235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46235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46235</v>
      </c>
      <c r="F67" t="inlineStr">
        <is>
          <t>VÄSTRA GÖTALANDS LÄN</t>
        </is>
      </c>
      <c r="G67" t="inlineStr">
        <is>
          <t>UDDEVALLA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46235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46235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46235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45484</v>
      </c>
      <c r="E71" s="1" t="n">
        <v>46235</v>
      </c>
      <c r="F71" t="inlineStr">
        <is>
          <t>VÄSTRA GÖTALANDS LÄN</t>
        </is>
      </c>
      <c r="G71" t="inlineStr">
        <is>
          <t>UDDEVALLA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44683</v>
      </c>
      <c r="E72" s="1" t="n">
        <v>46235</v>
      </c>
      <c r="F72" t="inlineStr">
        <is>
          <t>VÄSTRA GÖTALANDS LÄN</t>
        </is>
      </c>
      <c r="G72" t="inlineStr">
        <is>
          <t>UDDEVALLA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46235</v>
      </c>
      <c r="F73" t="inlineStr">
        <is>
          <t>VÄSTRA GÖTALANDS LÄN</t>
        </is>
      </c>
      <c r="G73" t="inlineStr">
        <is>
          <t>UDDEVALLA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46235</v>
      </c>
      <c r="F74" t="inlineStr">
        <is>
          <t>VÄSTRA GÖTALANDS LÄN</t>
        </is>
      </c>
      <c r="G74" t="inlineStr">
        <is>
          <t>UDDEVALLA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45034</v>
      </c>
      <c r="E75" s="1" t="n">
        <v>46235</v>
      </c>
      <c r="F75" t="inlineStr">
        <is>
          <t>VÄSTRA GÖTALANDS LÄN</t>
        </is>
      </c>
      <c r="G75" t="inlineStr">
        <is>
          <t>UDDEVALLA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46235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45035</v>
      </c>
      <c r="E77" s="1" t="n">
        <v>46235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46235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44794</v>
      </c>
      <c r="E79" s="1" t="n">
        <v>46235</v>
      </c>
      <c r="F79" t="inlineStr">
        <is>
          <t>VÄSTRA GÖTALANDS LÄN</t>
        </is>
      </c>
      <c r="G79" t="inlineStr">
        <is>
          <t>UDDEVALLA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46235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46235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46235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46235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46235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46235</v>
      </c>
      <c r="F85" t="inlineStr">
        <is>
          <t>VÄSTRA GÖTALANDS LÄN</t>
        </is>
      </c>
      <c r="G85" t="inlineStr">
        <is>
          <t>UDDEVALLA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46235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46235</v>
      </c>
      <c r="F87" t="inlineStr">
        <is>
          <t>VÄSTRA GÖTALANDS LÄN</t>
        </is>
      </c>
      <c r="G87" t="inlineStr">
        <is>
          <t>UDDEVALLA</t>
        </is>
      </c>
      <c r="I87" t="n">
        <v>9.699999999999999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46235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46235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46235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46235</v>
      </c>
      <c r="F91" t="inlineStr">
        <is>
          <t>VÄSTRA GÖTALANDS LÄN</t>
        </is>
      </c>
      <c r="G91" t="inlineStr">
        <is>
          <t>UDDEVALLA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46235</v>
      </c>
      <c r="F92" t="inlineStr">
        <is>
          <t>VÄSTRA GÖTALANDS LÄN</t>
        </is>
      </c>
      <c r="G92" t="inlineStr">
        <is>
          <t>UDDEVALLA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45772</v>
      </c>
      <c r="E93" s="1" t="n">
        <v>46235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46235</v>
      </c>
      <c r="F94" t="inlineStr">
        <is>
          <t>VÄSTRA GÖTALANDS LÄN</t>
        </is>
      </c>
      <c r="G94" t="inlineStr">
        <is>
          <t>UDDEVALLA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46235</v>
      </c>
      <c r="F95" t="inlineStr">
        <is>
          <t>VÄSTRA GÖTALANDS LÄN</t>
        </is>
      </c>
      <c r="G95" t="inlineStr">
        <is>
          <t>UDDEVALLA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46235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46235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46235</v>
      </c>
      <c r="F98" t="inlineStr">
        <is>
          <t>VÄSTRA GÖTALANDS LÄN</t>
        </is>
      </c>
      <c r="G98" t="inlineStr">
        <is>
          <t>UDDEVALLA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46235</v>
      </c>
      <c r="F99" t="inlineStr">
        <is>
          <t>VÄSTRA GÖTALANDS LÄN</t>
        </is>
      </c>
      <c r="G99" t="inlineStr">
        <is>
          <t>UDDEVALLA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46235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46235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46235</v>
      </c>
      <c r="F102" t="inlineStr">
        <is>
          <t>VÄSTRA GÖTALANDS LÄN</t>
        </is>
      </c>
      <c r="G102" t="inlineStr">
        <is>
          <t>UDDEVALLA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46235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45197</v>
      </c>
      <c r="E104" s="1" t="n">
        <v>46235</v>
      </c>
      <c r="F104" t="inlineStr">
        <is>
          <t>VÄSTRA GÖTALANDS LÄN</t>
        </is>
      </c>
      <c r="G104" t="inlineStr">
        <is>
          <t>UDDEVALLA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46235</v>
      </c>
      <c r="F105" t="inlineStr">
        <is>
          <t>VÄSTRA GÖTALANDS LÄN</t>
        </is>
      </c>
      <c r="G105" t="inlineStr">
        <is>
          <t>UDDEVALLA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46235</v>
      </c>
      <c r="F106" t="inlineStr">
        <is>
          <t>VÄSTRA GÖTALANDS LÄN</t>
        </is>
      </c>
      <c r="G106" t="inlineStr">
        <is>
          <t>UDDEVALLA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46235</v>
      </c>
      <c r="F107" t="inlineStr">
        <is>
          <t>VÄSTRA GÖTALANDS LÄN</t>
        </is>
      </c>
      <c r="G107" t="inlineStr">
        <is>
          <t>UDDEVALLA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46235</v>
      </c>
      <c r="F108" t="inlineStr">
        <is>
          <t>VÄSTRA GÖTALANDS LÄN</t>
        </is>
      </c>
      <c r="G108" t="inlineStr">
        <is>
          <t>UDDEVALLA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46235</v>
      </c>
      <c r="F109" t="inlineStr">
        <is>
          <t>VÄSTRA GÖTALANDS LÄN</t>
        </is>
      </c>
      <c r="G109" t="inlineStr">
        <is>
          <t>UDDEVALLA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46235</v>
      </c>
      <c r="F110" t="inlineStr">
        <is>
          <t>VÄSTRA GÖTALANDS LÄN</t>
        </is>
      </c>
      <c r="G110" t="inlineStr">
        <is>
          <t>UDDEVALLA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46139</v>
      </c>
      <c r="E111" s="1" t="n">
        <v>46235</v>
      </c>
      <c r="F111" t="inlineStr">
        <is>
          <t>VÄSTRA GÖTALANDS LÄN</t>
        </is>
      </c>
      <c r="G111" t="inlineStr">
        <is>
          <t>UDDEVALLA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46235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45633</v>
      </c>
      <c r="E113" s="1" t="n">
        <v>46235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46235</v>
      </c>
      <c r="F114" t="inlineStr">
        <is>
          <t>VÄSTRA GÖTALANDS LÄN</t>
        </is>
      </c>
      <c r="G114" t="inlineStr">
        <is>
          <t>UDDEVALLA</t>
        </is>
      </c>
      <c r="I114" t="n">
        <v>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46235</v>
      </c>
      <c r="F115" t="inlineStr">
        <is>
          <t>VÄSTRA GÖTALANDS LÄN</t>
        </is>
      </c>
      <c r="G115" t="inlineStr">
        <is>
          <t>UDDEVALLA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46235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46235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46235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46235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46235</v>
      </c>
      <c r="F120" t="inlineStr">
        <is>
          <t>VÄSTRA GÖTALANDS LÄN</t>
        </is>
      </c>
      <c r="G120" t="inlineStr">
        <is>
          <t>UDDEVALLA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46235</v>
      </c>
      <c r="F121" t="inlineStr">
        <is>
          <t>VÄSTRA GÖTALANDS LÄN</t>
        </is>
      </c>
      <c r="G121" t="inlineStr">
        <is>
          <t>UDDEVALLA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46235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46235</v>
      </c>
      <c r="F123" t="inlineStr">
        <is>
          <t>VÄSTRA GÖTALANDS LÄN</t>
        </is>
      </c>
      <c r="G123" t="inlineStr">
        <is>
          <t>UDDEVALLA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46235</v>
      </c>
      <c r="F124" t="inlineStr">
        <is>
          <t>VÄSTRA GÖTALANDS LÄN</t>
        </is>
      </c>
      <c r="G124" t="inlineStr">
        <is>
          <t>UDDEVALLA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46235</v>
      </c>
      <c r="F125" t="inlineStr">
        <is>
          <t>VÄSTRA GÖTALANDS LÄN</t>
        </is>
      </c>
      <c r="G125" t="inlineStr">
        <is>
          <t>UDDEVALLA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46235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46235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46235</v>
      </c>
      <c r="F128" t="inlineStr">
        <is>
          <t>VÄSTRA GÖTALANDS LÄN</t>
        </is>
      </c>
      <c r="G128" t="inlineStr">
        <is>
          <t>UDDEVALLA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46235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46235</v>
      </c>
      <c r="F130" t="inlineStr">
        <is>
          <t>VÄSTRA GÖTALANDS LÄN</t>
        </is>
      </c>
      <c r="G130" t="inlineStr">
        <is>
          <t>UDDEVALLA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59674-2023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45255</v>
      </c>
      <c r="E131" s="1" t="n">
        <v>46235</v>
      </c>
      <c r="F131" t="inlineStr">
        <is>
          <t>VÄSTRA GÖTALANDS LÄN</t>
        </is>
      </c>
      <c r="G131" t="inlineStr">
        <is>
          <t>UDDEVALLA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46235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44956</v>
      </c>
      <c r="E133" s="1" t="n">
        <v>46235</v>
      </c>
      <c r="F133" t="inlineStr">
        <is>
          <t>VÄSTRA GÖTALANDS LÄN</t>
        </is>
      </c>
      <c r="G133" t="inlineStr">
        <is>
          <t>UDDEVALLA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46235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46235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46235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46235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46235</v>
      </c>
      <c r="F138" t="inlineStr">
        <is>
          <t>VÄSTRA GÖTALANDS LÄN</t>
        </is>
      </c>
      <c r="G138" t="inlineStr">
        <is>
          <t>UDDEVALLA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46235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46235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46235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44418</v>
      </c>
      <c r="E142" s="1" t="n">
        <v>46235</v>
      </c>
      <c r="F142" t="inlineStr">
        <is>
          <t>VÄSTRA GÖTALANDS LÄN</t>
        </is>
      </c>
      <c r="G142" t="inlineStr">
        <is>
          <t>UDDEVALLA</t>
        </is>
      </c>
      <c r="I142" t="n">
        <v>10.3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46235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46235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46235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46235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46235</v>
      </c>
      <c r="F147" t="inlineStr">
        <is>
          <t>VÄSTRA GÖTALANDS LÄN</t>
        </is>
      </c>
      <c r="G147" t="inlineStr">
        <is>
          <t>UDDEVALLA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46235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46235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46235</v>
      </c>
      <c r="F150" t="inlineStr">
        <is>
          <t>VÄSTRA GÖTALANDS LÄN</t>
        </is>
      </c>
      <c r="G150" t="inlineStr">
        <is>
          <t>UDDEVALLA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46235</v>
      </c>
      <c r="F151" t="inlineStr">
        <is>
          <t>VÄSTRA GÖTALANDS LÄN</t>
        </is>
      </c>
      <c r="G151" t="inlineStr">
        <is>
          <t>UDDEVALLA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46235</v>
      </c>
      <c r="F152" t="inlineStr">
        <is>
          <t>VÄSTRA GÖTALANDS LÄN</t>
        </is>
      </c>
      <c r="G152" t="inlineStr">
        <is>
          <t>UDDEVALLA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46235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46235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46235</v>
      </c>
      <c r="F155" t="inlineStr">
        <is>
          <t>VÄSTRA GÖTALANDS LÄN</t>
        </is>
      </c>
      <c r="G155" t="inlineStr">
        <is>
          <t>UDDEVALLA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46235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46235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51747-2025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46235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46235</v>
      </c>
      <c r="F159" t="inlineStr">
        <is>
          <t>VÄSTRA GÖTALANDS LÄN</t>
        </is>
      </c>
      <c r="G159" t="inlineStr">
        <is>
          <t>UDDEVALLA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46235</v>
      </c>
      <c r="F160" t="inlineStr">
        <is>
          <t>VÄSTRA GÖTALANDS LÄN</t>
        </is>
      </c>
      <c r="G160" t="inlineStr">
        <is>
          <t>UDDEVALLA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46235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46235</v>
      </c>
      <c r="F162" t="inlineStr">
        <is>
          <t>VÄSTRA GÖTALANDS LÄN</t>
        </is>
      </c>
      <c r="G162" t="inlineStr">
        <is>
          <t>UDDEVALLA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45554</v>
      </c>
      <c r="E163" s="1" t="n">
        <v>46235</v>
      </c>
      <c r="F163" t="inlineStr">
        <is>
          <t>VÄSTRA GÖTALANDS LÄN</t>
        </is>
      </c>
      <c r="G163" t="inlineStr">
        <is>
          <t>UDDEVALLA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46235</v>
      </c>
      <c r="F164" t="inlineStr">
        <is>
          <t>VÄSTRA GÖTALANDS LÄN</t>
        </is>
      </c>
      <c r="G164" t="inlineStr">
        <is>
          <t>UDDEVALLA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46235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46235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46235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46235</v>
      </c>
      <c r="F168" t="inlineStr">
        <is>
          <t>VÄSTRA GÖTALANDS LÄN</t>
        </is>
      </c>
      <c r="G168" t="inlineStr">
        <is>
          <t>UDDEVALLA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46235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46235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46235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46235</v>
      </c>
      <c r="F172" t="inlineStr">
        <is>
          <t>VÄSTRA GÖTALANDS LÄN</t>
        </is>
      </c>
      <c r="G172" t="inlineStr">
        <is>
          <t>UDDEVALLA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46235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46235</v>
      </c>
      <c r="F174" t="inlineStr">
        <is>
          <t>VÄSTRA GÖTALANDS LÄN</t>
        </is>
      </c>
      <c r="G174" t="inlineStr">
        <is>
          <t>UDDEVALLA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46235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46235</v>
      </c>
      <c r="F176" t="inlineStr">
        <is>
          <t>VÄSTRA GÖTALANDS LÄN</t>
        </is>
      </c>
      <c r="G176" t="inlineStr">
        <is>
          <t>UDDEVALLA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46235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46235</v>
      </c>
      <c r="F178" t="inlineStr">
        <is>
          <t>VÄSTRA GÖTALANDS LÄN</t>
        </is>
      </c>
      <c r="G178" t="inlineStr">
        <is>
          <t>UDDEVALLA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46235</v>
      </c>
      <c r="F179" t="inlineStr">
        <is>
          <t>VÄSTRA GÖTALANDS LÄN</t>
        </is>
      </c>
      <c r="G179" t="inlineStr">
        <is>
          <t>UDDEVALLA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46235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Övriga statliga verk och myndigheter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46235</v>
      </c>
      <c r="F181" t="inlineStr">
        <is>
          <t>VÄSTRA GÖTALANDS LÄN</t>
        </is>
      </c>
      <c r="G181" t="inlineStr">
        <is>
          <t>UDDEVALLA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46235</v>
      </c>
      <c r="F182" t="inlineStr">
        <is>
          <t>VÄSTRA GÖTALANDS LÄN</t>
        </is>
      </c>
      <c r="G182" t="inlineStr">
        <is>
          <t>UDDEVALLA</t>
        </is>
      </c>
      <c r="I182" t="n">
        <v>12.2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17058-2025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45754</v>
      </c>
      <c r="E183" s="1" t="n">
        <v>46235</v>
      </c>
      <c r="F183" t="inlineStr">
        <is>
          <t>VÄSTRA GÖTALANDS LÄN</t>
        </is>
      </c>
      <c r="G183" t="inlineStr">
        <is>
          <t>UDDEVALLA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46235</v>
      </c>
      <c r="F184" t="inlineStr">
        <is>
          <t>VÄSTRA GÖTALANDS LÄN</t>
        </is>
      </c>
      <c r="G184" t="inlineStr">
        <is>
          <t>UDDEVALLA</t>
        </is>
      </c>
      <c r="I184" t="n">
        <v>13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46235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45355</v>
      </c>
      <c r="E186" s="1" t="n">
        <v>46235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45551</v>
      </c>
      <c r="E187" s="1" t="n">
        <v>46235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46235</v>
      </c>
      <c r="F188" t="inlineStr">
        <is>
          <t>VÄSTRA GÖTALANDS LÄN</t>
        </is>
      </c>
      <c r="G188" t="inlineStr">
        <is>
          <t>UDDEVALLA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46235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46235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46235</v>
      </c>
      <c r="F191" t="inlineStr">
        <is>
          <t>VÄSTRA GÖTALANDS LÄN</t>
        </is>
      </c>
      <c r="G191" t="inlineStr">
        <is>
          <t>UDDEVALLA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46235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46235</v>
      </c>
      <c r="F193" t="inlineStr">
        <is>
          <t>VÄSTRA GÖTALANDS LÄN</t>
        </is>
      </c>
      <c r="G193" t="inlineStr">
        <is>
          <t>UDDEVALLA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46235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46235</v>
      </c>
      <c r="F195" t="inlineStr">
        <is>
          <t>VÄSTRA GÖTALANDS LÄN</t>
        </is>
      </c>
      <c r="G195" t="inlineStr">
        <is>
          <t>UDDEVALLA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46235</v>
      </c>
      <c r="F196" t="inlineStr">
        <is>
          <t>VÄSTRA GÖTALANDS LÄN</t>
        </is>
      </c>
      <c r="G196" t="inlineStr">
        <is>
          <t>UDDEVALLA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46235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46235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46235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46235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46235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Kyrkan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46235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46235</v>
      </c>
      <c r="F203" t="inlineStr">
        <is>
          <t>VÄSTRA GÖTALANDS LÄN</t>
        </is>
      </c>
      <c r="G203" t="inlineStr">
        <is>
          <t>UDDEVALLA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46235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63397-2021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44508</v>
      </c>
      <c r="E205" s="1" t="n">
        <v>46235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46235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46235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46235</v>
      </c>
      <c r="F208" t="inlineStr">
        <is>
          <t>VÄSTRA GÖTALANDS LÄN</t>
        </is>
      </c>
      <c r="G208" t="inlineStr">
        <is>
          <t>UDDEVALLA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46235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46235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46235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46235</v>
      </c>
      <c r="F212" t="inlineStr">
        <is>
          <t>VÄSTRA GÖTALANDS LÄN</t>
        </is>
      </c>
      <c r="G212" t="inlineStr">
        <is>
          <t>UDDEVALLA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45251</v>
      </c>
      <c r="E213" s="1" t="n">
        <v>46235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45205</v>
      </c>
      <c r="E214" s="1" t="n">
        <v>46235</v>
      </c>
      <c r="F214" t="inlineStr">
        <is>
          <t>VÄSTRA GÖTALANDS LÄN</t>
        </is>
      </c>
      <c r="G214" t="inlineStr">
        <is>
          <t>UDDEVALLA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46235</v>
      </c>
      <c r="F215" t="inlineStr">
        <is>
          <t>VÄSTRA GÖTALANDS LÄN</t>
        </is>
      </c>
      <c r="G215" t="inlineStr">
        <is>
          <t>UDDEVALLA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46235</v>
      </c>
      <c r="F216" t="inlineStr">
        <is>
          <t>VÄSTRA GÖTALANDS LÄN</t>
        </is>
      </c>
      <c r="G216" t="inlineStr">
        <is>
          <t>UDDEVALLA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46235</v>
      </c>
      <c r="F217" t="inlineStr">
        <is>
          <t>VÄSTRA GÖTALANDS LÄN</t>
        </is>
      </c>
      <c r="G217" t="inlineStr">
        <is>
          <t>UDDEVALLA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46235</v>
      </c>
      <c r="F218" t="inlineStr">
        <is>
          <t>VÄSTRA GÖTALANDS LÄN</t>
        </is>
      </c>
      <c r="G218" t="inlineStr">
        <is>
          <t>UDDEVALLA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46235</v>
      </c>
      <c r="F219" t="inlineStr">
        <is>
          <t>VÄSTRA GÖTALANDS LÄN</t>
        </is>
      </c>
      <c r="G219" t="inlineStr">
        <is>
          <t>UDDEVALLA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46235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45150</v>
      </c>
      <c r="E221" s="1" t="n">
        <v>46235</v>
      </c>
      <c r="F221" t="inlineStr">
        <is>
          <t>VÄSTRA GÖTALANDS LÄN</t>
        </is>
      </c>
      <c r="G221" t="inlineStr">
        <is>
          <t>UDDEVALLA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46235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46235</v>
      </c>
      <c r="F223" t="inlineStr">
        <is>
          <t>VÄSTRA GÖTALANDS LÄN</t>
        </is>
      </c>
      <c r="G223" t="inlineStr">
        <is>
          <t>UDDEVALLA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46235</v>
      </c>
      <c r="F224" t="inlineStr">
        <is>
          <t>VÄSTRA GÖTALANDS LÄN</t>
        </is>
      </c>
      <c r="G224" t="inlineStr">
        <is>
          <t>UDDEVALLA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46235</v>
      </c>
      <c r="F225" t="inlineStr">
        <is>
          <t>VÄSTRA GÖTALANDS LÄN</t>
        </is>
      </c>
      <c r="G225" t="inlineStr">
        <is>
          <t>UDDEVALLA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46235</v>
      </c>
      <c r="F226" t="inlineStr">
        <is>
          <t>VÄSTRA GÖTALANDS LÄN</t>
        </is>
      </c>
      <c r="G226" t="inlineStr">
        <is>
          <t>UDDEVALLA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45580</v>
      </c>
      <c r="E227" s="1" t="n">
        <v>46235</v>
      </c>
      <c r="F227" t="inlineStr">
        <is>
          <t>VÄSTRA GÖTALANDS LÄN</t>
        </is>
      </c>
      <c r="G227" t="inlineStr">
        <is>
          <t>UDDEVALLA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46235</v>
      </c>
      <c r="F228" t="inlineStr">
        <is>
          <t>VÄSTRA GÖTALANDS LÄN</t>
        </is>
      </c>
      <c r="G228" t="inlineStr">
        <is>
          <t>UDDEVALLA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46235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46235</v>
      </c>
      <c r="F230" t="inlineStr">
        <is>
          <t>VÄSTRA GÖTALANDS LÄN</t>
        </is>
      </c>
      <c r="G230" t="inlineStr">
        <is>
          <t>UDDEVALLA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46235</v>
      </c>
      <c r="F231" t="inlineStr">
        <is>
          <t>VÄSTRA GÖTALANDS LÄN</t>
        </is>
      </c>
      <c r="G231" t="inlineStr">
        <is>
          <t>UDDEVALLA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46235</v>
      </c>
      <c r="F232" t="inlineStr">
        <is>
          <t>VÄSTRA GÖTALANDS LÄN</t>
        </is>
      </c>
      <c r="G232" t="inlineStr">
        <is>
          <t>UDDEVALLA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46235</v>
      </c>
      <c r="F233" t="inlineStr">
        <is>
          <t>VÄSTRA GÖTALANDS LÄN</t>
        </is>
      </c>
      <c r="G233" t="inlineStr">
        <is>
          <t>UDDEVALLA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46235</v>
      </c>
      <c r="F234" t="inlineStr">
        <is>
          <t>VÄSTRA GÖTALANDS LÄN</t>
        </is>
      </c>
      <c r="G234" t="inlineStr">
        <is>
          <t>UDDEVALLA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46235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44572</v>
      </c>
      <c r="E236" s="1" t="n">
        <v>46235</v>
      </c>
      <c r="F236" t="inlineStr">
        <is>
          <t>VÄSTRA GÖTALANDS LÄN</t>
        </is>
      </c>
      <c r="G236" t="inlineStr">
        <is>
          <t>UDDEVALLA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46235</v>
      </c>
      <c r="F237" t="inlineStr">
        <is>
          <t>VÄSTRA GÖTALANDS LÄN</t>
        </is>
      </c>
      <c r="G237" t="inlineStr">
        <is>
          <t>UDDEVALLA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46222</v>
      </c>
      <c r="E238" s="1" t="n">
        <v>46235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46181</v>
      </c>
      <c r="E239" s="1" t="n">
        <v>46235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58958-2021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44489</v>
      </c>
      <c r="E240" s="1" t="n">
        <v>46235</v>
      </c>
      <c r="F240" t="inlineStr">
        <is>
          <t>VÄSTRA GÖTALANDS LÄN</t>
        </is>
      </c>
      <c r="G240" t="inlineStr">
        <is>
          <t>UDDEVALLA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46235</v>
      </c>
      <c r="F241" t="inlineStr">
        <is>
          <t>VÄSTRA GÖTALANDS LÄN</t>
        </is>
      </c>
      <c r="G241" t="inlineStr">
        <is>
          <t>UDDEVALLA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46235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46235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46235</v>
      </c>
      <c r="F244" t="inlineStr">
        <is>
          <t>VÄSTRA GÖTALANDS LÄN</t>
        </is>
      </c>
      <c r="G244" t="inlineStr">
        <is>
          <t>UDDEVALLA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46235</v>
      </c>
      <c r="F245" t="inlineStr">
        <is>
          <t>VÄSTRA GÖTALANDS LÄN</t>
        </is>
      </c>
      <c r="G245" t="inlineStr">
        <is>
          <t>UDDEVALLA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46235</v>
      </c>
      <c r="F246" t="inlineStr">
        <is>
          <t>VÄSTRA GÖTALANDS LÄN</t>
        </is>
      </c>
      <c r="G246" t="inlineStr">
        <is>
          <t>UDDEVALLA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46235</v>
      </c>
      <c r="F247" t="inlineStr">
        <is>
          <t>VÄSTRA GÖTALANDS LÄN</t>
        </is>
      </c>
      <c r="G247" t="inlineStr">
        <is>
          <t>UDDEVALLA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46235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45575</v>
      </c>
      <c r="E249" s="1" t="n">
        <v>46235</v>
      </c>
      <c r="F249" t="inlineStr">
        <is>
          <t>VÄSTRA GÖTALANDS LÄN</t>
        </is>
      </c>
      <c r="G249" t="inlineStr">
        <is>
          <t>UDDEVALLA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44578</v>
      </c>
      <c r="E250" s="1" t="n">
        <v>46235</v>
      </c>
      <c r="F250" t="inlineStr">
        <is>
          <t>VÄSTRA GÖTALANDS LÄN</t>
        </is>
      </c>
      <c r="G250" t="inlineStr">
        <is>
          <t>UDDEVALLA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46235</v>
      </c>
      <c r="F251" t="inlineStr">
        <is>
          <t>VÄSTRA GÖTALANDS LÄN</t>
        </is>
      </c>
      <c r="G251" t="inlineStr">
        <is>
          <t>UDDEVALLA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46235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46235</v>
      </c>
      <c r="F253" t="inlineStr">
        <is>
          <t>VÄSTRA GÖTALANDS LÄN</t>
        </is>
      </c>
      <c r="G253" t="inlineStr">
        <is>
          <t>UDDEVALLA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46235</v>
      </c>
      <c r="F254" t="inlineStr">
        <is>
          <t>VÄSTRA GÖTALANDS LÄN</t>
        </is>
      </c>
      <c r="G254" t="inlineStr">
        <is>
          <t>UDDEVALLA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46211</v>
      </c>
      <c r="E255" s="1" t="n">
        <v>46235</v>
      </c>
      <c r="F255" t="inlineStr">
        <is>
          <t>VÄSTRA GÖTALANDS LÄN</t>
        </is>
      </c>
      <c r="G255" t="inlineStr">
        <is>
          <t>UDDEVALLA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58625-2024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45635</v>
      </c>
      <c r="E256" s="1" t="n">
        <v>46235</v>
      </c>
      <c r="F256" t="inlineStr">
        <is>
          <t>VÄSTRA GÖTALANDS LÄN</t>
        </is>
      </c>
      <c r="G256" t="inlineStr">
        <is>
          <t>UDDEVALLA</t>
        </is>
      </c>
      <c r="I256" t="n">
        <v>14.9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44924</v>
      </c>
      <c r="E257" s="1" t="n">
        <v>46235</v>
      </c>
      <c r="F257" t="inlineStr">
        <is>
          <t>VÄSTRA GÖTALANDS LÄN</t>
        </is>
      </c>
      <c r="G257" t="inlineStr">
        <is>
          <t>UDDEVALLA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44602</v>
      </c>
      <c r="E258" s="1" t="n">
        <v>46235</v>
      </c>
      <c r="F258" t="inlineStr">
        <is>
          <t>VÄSTRA GÖTALANDS LÄN</t>
        </is>
      </c>
      <c r="G258" t="inlineStr">
        <is>
          <t>UDDEVALLA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10436-2026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46235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46235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46235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46235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46235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46235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46235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46235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46235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46235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46235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46235</v>
      </c>
      <c r="F270" t="inlineStr">
        <is>
          <t>VÄSTRA GÖTALANDS LÄN</t>
        </is>
      </c>
      <c r="G270" t="inlineStr">
        <is>
          <t>UDDEVALLA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46235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45456</v>
      </c>
      <c r="E272" s="1" t="n">
        <v>46235</v>
      </c>
      <c r="F272" t="inlineStr">
        <is>
          <t>VÄSTRA GÖTALANDS LÄN</t>
        </is>
      </c>
      <c r="G272" t="inlineStr">
        <is>
          <t>UDDEVALLA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46235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46235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46235</v>
      </c>
      <c r="F275" t="inlineStr">
        <is>
          <t>VÄSTRA GÖTALANDS LÄN</t>
        </is>
      </c>
      <c r="G275" t="inlineStr">
        <is>
          <t>UDDEVALLA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49718-2024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46235</v>
      </c>
      <c r="F276" t="inlineStr">
        <is>
          <t>VÄSTRA GÖTALANDS LÄN</t>
        </is>
      </c>
      <c r="G276" t="inlineStr">
        <is>
          <t>UDDEVALLA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45426</v>
      </c>
      <c r="E277" s="1" t="n">
        <v>46235</v>
      </c>
      <c r="F277" t="inlineStr">
        <is>
          <t>VÄSTRA GÖTALANDS LÄN</t>
        </is>
      </c>
      <c r="G277" t="inlineStr">
        <is>
          <t>UDDEVALLA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46235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46235</v>
      </c>
      <c r="F279" t="inlineStr">
        <is>
          <t>VÄSTRA GÖTALANDS LÄN</t>
        </is>
      </c>
      <c r="G279" t="inlineStr">
        <is>
          <t>UDDEVALLA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46235</v>
      </c>
      <c r="F280" t="inlineStr">
        <is>
          <t>VÄSTRA GÖTALANDS LÄN</t>
        </is>
      </c>
      <c r="G280" t="inlineStr">
        <is>
          <t>UDDEVALLA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45572</v>
      </c>
      <c r="E281" s="1" t="n">
        <v>46235</v>
      </c>
      <c r="F281" t="inlineStr">
        <is>
          <t>VÄSTRA GÖTALANDS LÄN</t>
        </is>
      </c>
      <c r="G281" t="inlineStr">
        <is>
          <t>UDDEVALLA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46235</v>
      </c>
      <c r="F282" t="inlineStr">
        <is>
          <t>VÄSTRA GÖTALANDS LÄN</t>
        </is>
      </c>
      <c r="G282" t="inlineStr">
        <is>
          <t>UDDEVALLA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46235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46235</v>
      </c>
      <c r="F284" t="inlineStr">
        <is>
          <t>VÄSTRA GÖTALANDS LÄN</t>
        </is>
      </c>
      <c r="G284" t="inlineStr">
        <is>
          <t>UDDEVALLA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46235</v>
      </c>
      <c r="F285" t="inlineStr">
        <is>
          <t>VÄSTRA GÖTALANDS LÄN</t>
        </is>
      </c>
      <c r="G285" t="inlineStr">
        <is>
          <t>UDDEVALLA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16819-2026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46113</v>
      </c>
      <c r="E286" s="1" t="n">
        <v>46235</v>
      </c>
      <c r="F286" t="inlineStr">
        <is>
          <t>VÄSTRA GÖTALANDS LÄN</t>
        </is>
      </c>
      <c r="G286" t="inlineStr">
        <is>
          <t>UDDEVALLA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46235</v>
      </c>
      <c r="F287" t="inlineStr">
        <is>
          <t>VÄSTRA GÖTALANDS LÄN</t>
        </is>
      </c>
      <c r="G287" t="inlineStr">
        <is>
          <t>UDDEVALLA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46235</v>
      </c>
      <c r="F288" t="inlineStr">
        <is>
          <t>VÄSTRA GÖTALANDS LÄN</t>
        </is>
      </c>
      <c r="G288" t="inlineStr">
        <is>
          <t>UDDEVALLA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46235</v>
      </c>
      <c r="F289" t="inlineStr">
        <is>
          <t>VÄSTRA GÖTALANDS LÄN</t>
        </is>
      </c>
      <c r="G289" t="inlineStr">
        <is>
          <t>UDDEVALLA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46235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44715</v>
      </c>
      <c r="E291" s="1" t="n">
        <v>46235</v>
      </c>
      <c r="F291" t="inlineStr">
        <is>
          <t>VÄSTRA GÖTALANDS LÄN</t>
        </is>
      </c>
      <c r="G291" t="inlineStr">
        <is>
          <t>UDDEVALLA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46235</v>
      </c>
      <c r="F292" t="inlineStr">
        <is>
          <t>VÄSTRA GÖTALANDS LÄN</t>
        </is>
      </c>
      <c r="G292" t="inlineStr">
        <is>
          <t>UDDEVALLA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44820</v>
      </c>
      <c r="E293" s="1" t="n">
        <v>46235</v>
      </c>
      <c r="F293" t="inlineStr">
        <is>
          <t>VÄSTRA GÖTALANDS LÄN</t>
        </is>
      </c>
      <c r="G293" t="inlineStr">
        <is>
          <t>UDDEVALLA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46235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45777</v>
      </c>
      <c r="E295" s="1" t="n">
        <v>46235</v>
      </c>
      <c r="F295" t="inlineStr">
        <is>
          <t>VÄSTRA GÖTALANDS LÄN</t>
        </is>
      </c>
      <c r="G295" t="inlineStr">
        <is>
          <t>UDDEVALLA</t>
        </is>
      </c>
      <c r="I295" t="n">
        <v>12.9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46235</v>
      </c>
      <c r="F296" t="inlineStr">
        <is>
          <t>VÄSTRA GÖTALANDS LÄN</t>
        </is>
      </c>
      <c r="G296" t="inlineStr">
        <is>
          <t>UDDEVALLA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46235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46235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46235</v>
      </c>
      <c r="F299" t="inlineStr">
        <is>
          <t>VÄSTRA GÖTALANDS LÄN</t>
        </is>
      </c>
      <c r="G299" t="inlineStr">
        <is>
          <t>UDDEVALLA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46235</v>
      </c>
      <c r="F300" t="inlineStr">
        <is>
          <t>VÄSTRA GÖTALANDS LÄN</t>
        </is>
      </c>
      <c r="G300" t="inlineStr">
        <is>
          <t>UDDEVALLA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46128</v>
      </c>
      <c r="E301" s="1" t="n">
        <v>46235</v>
      </c>
      <c r="F301" t="inlineStr">
        <is>
          <t>VÄSTRA GÖTALANDS LÄN</t>
        </is>
      </c>
      <c r="G301" t="inlineStr">
        <is>
          <t>UDDEVALLA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46235</v>
      </c>
      <c r="F302" t="inlineStr">
        <is>
          <t>VÄSTRA GÖTALANDS LÄN</t>
        </is>
      </c>
      <c r="G302" t="inlineStr">
        <is>
          <t>UDDEVALLA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46235</v>
      </c>
      <c r="F303" t="inlineStr">
        <is>
          <t>VÄSTRA GÖTALANDS LÄN</t>
        </is>
      </c>
      <c r="G303" t="inlineStr">
        <is>
          <t>UDDEVALLA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46235</v>
      </c>
      <c r="F304" t="inlineStr">
        <is>
          <t>VÄSTRA GÖTALANDS LÄN</t>
        </is>
      </c>
      <c r="G304" t="inlineStr">
        <is>
          <t>UDDEVALLA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46235</v>
      </c>
      <c r="F305" t="inlineStr">
        <is>
          <t>VÄSTRA GÖTALANDS LÄN</t>
        </is>
      </c>
      <c r="G305" t="inlineStr">
        <is>
          <t>UDDEVALLA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46235</v>
      </c>
      <c r="F306" t="inlineStr">
        <is>
          <t>VÄSTRA GÖTALANDS LÄN</t>
        </is>
      </c>
      <c r="G306" t="inlineStr">
        <is>
          <t>UDDEVALLA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46235</v>
      </c>
      <c r="F307" t="inlineStr">
        <is>
          <t>VÄSTRA GÖTALANDS LÄN</t>
        </is>
      </c>
      <c r="G307" t="inlineStr">
        <is>
          <t>UDDEVALLA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45302</v>
      </c>
      <c r="E308" s="1" t="n">
        <v>46235</v>
      </c>
      <c r="F308" t="inlineStr">
        <is>
          <t>VÄSTRA GÖTALANDS LÄN</t>
        </is>
      </c>
      <c r="G308" t="inlineStr">
        <is>
          <t>UDDEVALLA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46235</v>
      </c>
      <c r="F309" t="inlineStr">
        <is>
          <t>VÄSTRA GÖTALANDS LÄN</t>
        </is>
      </c>
      <c r="G309" t="inlineStr">
        <is>
          <t>UDDEVALLA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46235</v>
      </c>
      <c r="F310" t="inlineStr">
        <is>
          <t>VÄSTRA GÖTALANDS LÄN</t>
        </is>
      </c>
      <c r="G310" t="inlineStr">
        <is>
          <t>UDDEVALLA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45656</v>
      </c>
      <c r="E311" s="1" t="n">
        <v>46235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45907</v>
      </c>
      <c r="E312" s="1" t="n">
        <v>46235</v>
      </c>
      <c r="F312" t="inlineStr">
        <is>
          <t>VÄSTRA GÖTALANDS LÄN</t>
        </is>
      </c>
      <c r="G312" t="inlineStr">
        <is>
          <t>UDDEVALLA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46235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46235</v>
      </c>
      <c r="F314" t="inlineStr">
        <is>
          <t>VÄSTRA GÖTALANDS LÄN</t>
        </is>
      </c>
      <c r="G314" t="inlineStr">
        <is>
          <t>UDDEVALLA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46235</v>
      </c>
      <c r="F315" t="inlineStr">
        <is>
          <t>VÄSTRA GÖTALANDS LÄN</t>
        </is>
      </c>
      <c r="G315" t="inlineStr">
        <is>
          <t>UDDEVALLA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9797-2023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44984</v>
      </c>
      <c r="E316" s="1" t="n">
        <v>46235</v>
      </c>
      <c r="F316" t="inlineStr">
        <is>
          <t>VÄSTRA GÖTALANDS LÄN</t>
        </is>
      </c>
      <c r="G316" t="inlineStr">
        <is>
          <t>UDDEVALLA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46235</v>
      </c>
      <c r="F317" t="inlineStr">
        <is>
          <t>VÄSTRA GÖTALANDS LÄN</t>
        </is>
      </c>
      <c r="G317" t="inlineStr">
        <is>
          <t>UDDEVALLA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46235</v>
      </c>
      <c r="F318" t="inlineStr">
        <is>
          <t>VÄSTRA GÖTALANDS LÄN</t>
        </is>
      </c>
      <c r="G318" t="inlineStr">
        <is>
          <t>UDDEVALLA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46235</v>
      </c>
      <c r="F319" t="inlineStr">
        <is>
          <t>VÄSTRA GÖTALANDS LÄN</t>
        </is>
      </c>
      <c r="G319" t="inlineStr">
        <is>
          <t>UDDEVALLA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45455</v>
      </c>
      <c r="E320" s="1" t="n">
        <v>46235</v>
      </c>
      <c r="F320" t="inlineStr">
        <is>
          <t>VÄSTRA GÖTALANDS LÄN</t>
        </is>
      </c>
      <c r="G320" t="inlineStr">
        <is>
          <t>UDDEVALLA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46235</v>
      </c>
      <c r="F321" t="inlineStr">
        <is>
          <t>VÄSTRA GÖTALANDS LÄN</t>
        </is>
      </c>
      <c r="G321" t="inlineStr">
        <is>
          <t>UDDEVALLA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46235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46235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46235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46235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46235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46235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46235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46235</v>
      </c>
      <c r="F329" t="inlineStr">
        <is>
          <t>VÄSTRA GÖTALANDS LÄN</t>
        </is>
      </c>
      <c r="G329" t="inlineStr">
        <is>
          <t>UDDEVALLA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46235</v>
      </c>
      <c r="F330" t="inlineStr">
        <is>
          <t>VÄSTRA GÖTALANDS LÄN</t>
        </is>
      </c>
      <c r="G330" t="inlineStr">
        <is>
          <t>UDDEVALLA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46235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46235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46235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46235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46235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2026-08-01T01:47:38Z</dcterms:created>
  <dcterms:modified xmlns:dcterms="http://purl.org/dc/terms/" xmlns:xsi="http://www.w3.org/2001/XMLSchema-instance" xsi:type="dcterms:W3CDTF">2026-08-01T01:47:39Z</dcterms:modified>
</cp:coreProperties>
</file>