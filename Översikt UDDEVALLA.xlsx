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46274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46274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46274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46274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46274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46274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46274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46274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46274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46274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46274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46274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46274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46274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46274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46274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46274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46274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3432-2024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46274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Kyrkan</t>
        </is>
      </c>
      <c r="I20" t="n">
        <v>3.1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Klippfrullania
Västlig hakmossa</t>
        </is>
      </c>
      <c r="W20">
        <f>HYPERLINK("https://klasma.github.io/Logging_1485/artfynd/A 3432-2024 artfynd.xlsx", "A 3432-2024")</f>
        <v/>
      </c>
      <c r="X20">
        <f>HYPERLINK("https://klasma.github.io/Logging_1485/kartor/A 3432-2024 karta.png", "A 3432-2024")</f>
        <v/>
      </c>
      <c r="Y20">
        <f>HYPERLINK("https://klasma.github.io/Logging_1485/kartor_geotiff/A 3432-2024 georefererad karta.tif", "A 3432-2024")</f>
        <v/>
      </c>
      <c r="AA20">
        <f>HYPERLINK("https://klasma.github.io/Logging_1485/klagomål/A 3432-2024 FSC-klagomål.docx", "A 3432-2024")</f>
        <v/>
      </c>
      <c r="AB20">
        <f>HYPERLINK("https://klasma.github.io/Logging_1485/klagomålsmail/A 3432-2024 FSC-klagomål mail.docx", "A 3432-2024")</f>
        <v/>
      </c>
      <c r="AC20">
        <f>HYPERLINK("https://klasma.github.io/Logging_1485/tillsyn/A 3432-2024 tillsynsbegäran.docx", "A 3432-2024")</f>
        <v/>
      </c>
      <c r="AD20">
        <f>HYPERLINK("https://klasma.github.io/Logging_1485/tillsynsmail/A 3432-2024 tillsynsbegäran mail.docx", "A 3432-2024")</f>
        <v/>
      </c>
    </row>
    <row r="21" ht="15" customHeight="1">
      <c r="A21" t="inlineStr">
        <is>
          <t>A 65109-2023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45288</v>
      </c>
      <c r="E21" s="1" t="n">
        <v>46274</v>
      </c>
      <c r="F21" t="inlineStr">
        <is>
          <t>VÄSTRA GÖTALANDS LÄN</t>
        </is>
      </c>
      <c r="G21" t="inlineStr">
        <is>
          <t>UDDEVALLA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Lunglav
Åttafläckig praktbagge</t>
        </is>
      </c>
      <c r="W21">
        <f>HYPERLINK("https://klasma.github.io/Logging_1485/artfynd/A 65109-2023 artfynd.xlsx", "A 65109-2023")</f>
        <v/>
      </c>
      <c r="X21">
        <f>HYPERLINK("https://klasma.github.io/Logging_1485/kartor/A 65109-2023 karta.png", "A 65109-2023")</f>
        <v/>
      </c>
      <c r="Y21">
        <f>HYPERLINK("https://klasma.github.io/Logging_1485/kartor_geotiff/A 65109-2023 georefererad karta.tif", "A 65109-2023")</f>
        <v/>
      </c>
      <c r="AA21">
        <f>HYPERLINK("https://klasma.github.io/Logging_1485/klagomål/A 65109-2023 FSC-klagomål.docx", "A 65109-2023")</f>
        <v/>
      </c>
      <c r="AB21">
        <f>HYPERLINK("https://klasma.github.io/Logging_1485/klagomålsmail/A 65109-2023 FSC-klagomål mail.docx", "A 65109-2023")</f>
        <v/>
      </c>
      <c r="AC21">
        <f>HYPERLINK("https://klasma.github.io/Logging_1485/tillsyn/A 65109-2023 tillsynsbegäran.docx", "A 65109-2023")</f>
        <v/>
      </c>
      <c r="AD21">
        <f>HYPERLINK("https://klasma.github.io/Logging_1485/tillsynsmail/A 65109-2023 tillsynsbegäran mail.docx", "A 65109-2023")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46274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46274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46274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32808-2026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46241</v>
      </c>
      <c r="E25" s="1" t="n">
        <v>46274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5.9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Nordfladdermus
Revlummer</t>
        </is>
      </c>
      <c r="W25">
        <f>HYPERLINK("https://klasma.github.io/Logging_1485/artfynd/A 32808-2026 artfynd.xlsx", "A 32808-2026")</f>
        <v/>
      </c>
      <c r="X25">
        <f>HYPERLINK("https://klasma.github.io/Logging_1485/kartor/A 32808-2026 karta.png", "A 32808-2026")</f>
        <v/>
      </c>
      <c r="Y25">
        <f>HYPERLINK("https://klasma.github.io/Logging_1485/kartor_geotiff/A 32808-2026 georefererad karta.tif", "A 32808-2026")</f>
        <v/>
      </c>
      <c r="AA25">
        <f>HYPERLINK("https://klasma.github.io/Logging_1485/klagomål/A 32808-2026 FSC-klagomål.docx", "A 32808-2026")</f>
        <v/>
      </c>
      <c r="AB25">
        <f>HYPERLINK("https://klasma.github.io/Logging_1485/klagomålsmail/A 32808-2026 FSC-klagomål mail.docx", "A 32808-2026")</f>
        <v/>
      </c>
      <c r="AC25">
        <f>HYPERLINK("https://klasma.github.io/Logging_1485/tillsyn/A 32808-2026 tillsynsbegäran.docx", "A 32808-2026")</f>
        <v/>
      </c>
      <c r="AD25">
        <f>HYPERLINK("https://klasma.github.io/Logging_1485/tillsynsmail/A 32808-2026 tillsynsbegäran mail.docx", "A 32808-2026")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46274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46274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16882-2026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46113</v>
      </c>
      <c r="E28" s="1" t="n">
        <v>46274</v>
      </c>
      <c r="F28" t="inlineStr">
        <is>
          <t>VÄSTRA GÖTALANDS LÄN</t>
        </is>
      </c>
      <c r="G28" t="inlineStr">
        <is>
          <t>UDDEVALLA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Iller
Svinrot</t>
        </is>
      </c>
      <c r="W28">
        <f>HYPERLINK("https://klasma.github.io/Logging_1485/artfynd/A 16882-2026 artfynd.xlsx", "A 16882-2026")</f>
        <v/>
      </c>
      <c r="X28">
        <f>HYPERLINK("https://klasma.github.io/Logging_1485/kartor/A 16882-2026 karta.png", "A 16882-2026")</f>
        <v/>
      </c>
      <c r="Y28">
        <f>HYPERLINK("https://klasma.github.io/Logging_1485/kartor_geotiff/A 16882-2026 georefererad karta.tif", "A 16882-2026")</f>
        <v/>
      </c>
      <c r="AA28">
        <f>HYPERLINK("https://klasma.github.io/Logging_1485/klagomål/A 16882-2026 FSC-klagomål.docx", "A 16882-2026")</f>
        <v/>
      </c>
      <c r="AB28">
        <f>HYPERLINK("https://klasma.github.io/Logging_1485/klagomålsmail/A 16882-2026 FSC-klagomål mail.docx", "A 16882-2026")</f>
        <v/>
      </c>
      <c r="AC28">
        <f>HYPERLINK("https://klasma.github.io/Logging_1485/tillsyn/A 16882-2026 tillsynsbegäran.docx", "A 16882-2026")</f>
        <v/>
      </c>
      <c r="AD28">
        <f>HYPERLINK("https://klasma.github.io/Logging_1485/tillsynsmail/A 16882-2026 tillsynsbegäran mail.docx", "A 16882-2026")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46274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17995-2026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46124</v>
      </c>
      <c r="E30" s="1" t="n">
        <v>46274</v>
      </c>
      <c r="F30" t="inlineStr">
        <is>
          <t>VÄSTRA GÖTALANDS LÄN</t>
        </is>
      </c>
      <c r="G30" t="inlineStr">
        <is>
          <t>UDDEVALLA</t>
        </is>
      </c>
      <c r="I30" t="n">
        <v>3.8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Spillkråka
Revlummer</t>
        </is>
      </c>
      <c r="W30">
        <f>HYPERLINK("https://klasma.github.io/Logging_1485/artfynd/A 17995-2026 artfynd.xlsx", "A 17995-2026")</f>
        <v/>
      </c>
      <c r="X30">
        <f>HYPERLINK("https://klasma.github.io/Logging_1485/kartor/A 17995-2026 karta.png", "A 17995-2026")</f>
        <v/>
      </c>
      <c r="Y30">
        <f>HYPERLINK("https://klasma.github.io/Logging_1485/kartor_geotiff/A 17995-2026 georefererad karta.tif", "A 17995-2026")</f>
        <v/>
      </c>
      <c r="AA30">
        <f>HYPERLINK("https://klasma.github.io/Logging_1485/klagomål/A 17995-2026 FSC-klagomål.docx", "A 17995-2026")</f>
        <v/>
      </c>
      <c r="AB30">
        <f>HYPERLINK("https://klasma.github.io/Logging_1485/klagomålsmail/A 17995-2026 FSC-klagomål mail.docx", "A 17995-2026")</f>
        <v/>
      </c>
      <c r="AC30">
        <f>HYPERLINK("https://klasma.github.io/Logging_1485/tillsyn/A 17995-2026 tillsynsbegäran.docx", "A 17995-2026")</f>
        <v/>
      </c>
      <c r="AD30">
        <f>HYPERLINK("https://klasma.github.io/Logging_1485/tillsynsmail/A 17995-2026 tillsynsbegäran mail.docx", "A 17995-2026")</f>
        <v/>
      </c>
      <c r="AE30">
        <f>HYPERLINK("https://klasma.github.io/Logging_1485/fåglar/A 17995-2026 prioriterade fågelarter.docx", "A 17995-2026")</f>
        <v/>
      </c>
    </row>
    <row r="31" ht="15" customHeight="1">
      <c r="A31" t="inlineStr">
        <is>
          <t>A 41292-2022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44825</v>
      </c>
      <c r="E31" s="1" t="n">
        <v>46274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9.699999999999999</v>
      </c>
      <c r="J31" t="n">
        <v>1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Entita</t>
        </is>
      </c>
      <c r="W31">
        <f>HYPERLINK("https://klasma.github.io/Logging_1485/artfynd/A 41292-2022 artfynd.xlsx", "A 41292-2022")</f>
        <v/>
      </c>
      <c r="X31">
        <f>HYPERLINK("https://klasma.github.io/Logging_1485/kartor/A 41292-2022 karta.png", "A 41292-2022")</f>
        <v/>
      </c>
      <c r="Y31">
        <f>HYPERLINK("https://klasma.github.io/Logging_1485/kartor_geotiff/A 41292-2022 georefererad karta.tif", "A 41292-2022")</f>
        <v/>
      </c>
      <c r="AA31">
        <f>HYPERLINK("https://klasma.github.io/Logging_1485/klagomål/A 41292-2022 FSC-klagomål.docx", "A 41292-2022")</f>
        <v/>
      </c>
      <c r="AB31">
        <f>HYPERLINK("https://klasma.github.io/Logging_1485/klagomålsmail/A 41292-2022 FSC-klagomål mail.docx", "A 41292-2022")</f>
        <v/>
      </c>
      <c r="AC31">
        <f>HYPERLINK("https://klasma.github.io/Logging_1485/tillsyn/A 41292-2022 tillsynsbegäran.docx", "A 41292-2022")</f>
        <v/>
      </c>
      <c r="AD31">
        <f>HYPERLINK("https://klasma.github.io/Logging_1485/tillsynsmail/A 41292-2022 tillsynsbegäran mail.docx", "A 41292-2022")</f>
        <v/>
      </c>
      <c r="AE31">
        <f>HYPERLINK("https://klasma.github.io/Logging_1485/fåglar/A 41292-2022 prioriterade fågelarter.docx", "A 41292-2022")</f>
        <v/>
      </c>
    </row>
    <row r="32" ht="15" customHeight="1">
      <c r="A32" t="inlineStr">
        <is>
          <t>A 32523-2024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45513</v>
      </c>
      <c r="E32" s="1" t="n">
        <v>46274</v>
      </c>
      <c r="F32" t="inlineStr">
        <is>
          <t>VÄSTRA GÖTALANDS LÄN</t>
        </is>
      </c>
      <c r="G32" t="inlineStr">
        <is>
          <t>UDDEVALLA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Grönhjon
Granbarkgnagare</t>
        </is>
      </c>
      <c r="W32">
        <f>HYPERLINK("https://klasma.github.io/Logging_1485/artfynd/A 32523-2024 artfynd.xlsx", "A 32523-2024")</f>
        <v/>
      </c>
      <c r="X32">
        <f>HYPERLINK("https://klasma.github.io/Logging_1485/kartor/A 32523-2024 karta.png", "A 32523-2024")</f>
        <v/>
      </c>
      <c r="Y32">
        <f>HYPERLINK("https://klasma.github.io/Logging_1485/kartor_geotiff/A 32523-2024 georefererad karta.tif", "A 32523-2024")</f>
        <v/>
      </c>
      <c r="AA32">
        <f>HYPERLINK("https://klasma.github.io/Logging_1485/klagomål/A 32523-2024 FSC-klagomål.docx", "A 32523-2024")</f>
        <v/>
      </c>
      <c r="AB32">
        <f>HYPERLINK("https://klasma.github.io/Logging_1485/klagomålsmail/A 32523-2024 FSC-klagomål mail.docx", "A 32523-2024")</f>
        <v/>
      </c>
      <c r="AC32">
        <f>HYPERLINK("https://klasma.github.io/Logging_1485/tillsyn/A 32523-2024 tillsynsbegäran.docx", "A 32523-2024")</f>
        <v/>
      </c>
      <c r="AD32">
        <f>HYPERLINK("https://klasma.github.io/Logging_1485/tillsynsmail/A 32523-2024 tillsynsbegäran mail.docx", "A 32523-2024")</f>
        <v/>
      </c>
    </row>
    <row r="33" ht="15" customHeight="1">
      <c r="A33" t="inlineStr">
        <is>
          <t>A 8666-2024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46274</v>
      </c>
      <c r="F33" t="inlineStr">
        <is>
          <t>VÄSTRA GÖTALANDS LÄN</t>
        </is>
      </c>
      <c r="G33" t="inlineStr">
        <is>
          <t>UDDEVALLA</t>
        </is>
      </c>
      <c r="I33" t="n">
        <v>4.6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6</v>
      </c>
      <c r="V33" s="2" t="inlineStr">
        <is>
          <t>Västlig hakmossa
Spillkråka</t>
        </is>
      </c>
      <c r="W33">
        <f>HYPERLINK("https://klasma.github.io/Logging_1485/artfynd/A 8666-2024 artfynd.xlsx", "A 8666-2024")</f>
        <v/>
      </c>
      <c r="X33">
        <f>HYPERLINK("https://klasma.github.io/Logging_1485/kartor/A 8666-2024 karta.png", "A 8666-2024")</f>
        <v/>
      </c>
      <c r="Y33">
        <f>HYPERLINK("https://klasma.github.io/Logging_1485/kartor_geotiff/A 8666-2024 georefererad karta.tif", "A 8666-2024")</f>
        <v/>
      </c>
      <c r="AA33">
        <f>HYPERLINK("https://klasma.github.io/Logging_1485/klagomål/A 8666-2024 FSC-klagomål.docx", "A 8666-2024")</f>
        <v/>
      </c>
      <c r="AB33">
        <f>HYPERLINK("https://klasma.github.io/Logging_1485/klagomålsmail/A 8666-2024 FSC-klagomål mail.docx", "A 8666-2024")</f>
        <v/>
      </c>
      <c r="AC33">
        <f>HYPERLINK("https://klasma.github.io/Logging_1485/tillsyn/A 8666-2024 tillsynsbegäran.docx", "A 8666-2024")</f>
        <v/>
      </c>
      <c r="AD33">
        <f>HYPERLINK("https://klasma.github.io/Logging_1485/tillsynsmail/A 8666-2024 tillsynsbegäran mail.docx", "A 8666-2024")</f>
        <v/>
      </c>
      <c r="AE33">
        <f>HYPERLINK("https://klasma.github.io/Logging_1485/fåglar/A 8666-2024 prioriterade fågelarter.docx", "A 8666-2024")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46274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46274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46274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46274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46274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46274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46274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46274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46274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46274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46274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33812-2026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46274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2.8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HYPERLINK("https://klasma.github.io/Logging_1485/artfynd/A 33812-2026 artfynd.xlsx", "A 33812-2026")</f>
        <v/>
      </c>
      <c r="X45">
        <f>HYPERLINK("https://klasma.github.io/Logging_1485/kartor/A 33812-2026 karta.png", "A 33812-2026")</f>
        <v/>
      </c>
      <c r="Y45">
        <f>HYPERLINK("https://klasma.github.io/Logging_1485/kartor_geotiff/A 33812-2026 georefererad karta.tif", "A 33812-2026")</f>
        <v/>
      </c>
      <c r="AA45">
        <f>HYPERLINK("https://klasma.github.io/Logging_1485/klagomål/A 33812-2026 FSC-klagomål.docx", "A 33812-2026")</f>
        <v/>
      </c>
      <c r="AB45">
        <f>HYPERLINK("https://klasma.github.io/Logging_1485/klagomålsmail/A 33812-2026 FSC-klagomål mail.docx", "A 33812-2026")</f>
        <v/>
      </c>
      <c r="AC45">
        <f>HYPERLINK("https://klasma.github.io/Logging_1485/tillsyn/A 33812-2026 tillsynsbegäran.docx", "A 33812-2026")</f>
        <v/>
      </c>
      <c r="AD45">
        <f>HYPERLINK("https://klasma.github.io/Logging_1485/tillsynsmail/A 33812-2026 tillsynsbegäran mail.docx", "A 33812-2026")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46274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46274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7770-2024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46274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6.2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HYPERLINK("https://klasma.github.io/Logging_1485/artfynd/A 7770-2024 artfynd.xlsx", "A 7770-2024")</f>
        <v/>
      </c>
      <c r="X48">
        <f>HYPERLINK("https://klasma.github.io/Logging_1485/kartor/A 7770-2024 karta.png", "A 7770-2024")</f>
        <v/>
      </c>
      <c r="Y48">
        <f>HYPERLINK("https://klasma.github.io/Logging_1485/kartor_geotiff/A 7770-2024 georefererad karta.tif", "A 7770-2024")</f>
        <v/>
      </c>
      <c r="AA48">
        <f>HYPERLINK("https://klasma.github.io/Logging_1485/klagomål/A 7770-2024 FSC-klagomål.docx", "A 7770-2024")</f>
        <v/>
      </c>
      <c r="AB48">
        <f>HYPERLINK("https://klasma.github.io/Logging_1485/klagomålsmail/A 7770-2024 FSC-klagomål mail.docx", "A 7770-2024")</f>
        <v/>
      </c>
      <c r="AC48">
        <f>HYPERLINK("https://klasma.github.io/Logging_1485/tillsyn/A 7770-2024 tillsynsbegäran.docx", "A 7770-2024")</f>
        <v/>
      </c>
      <c r="AD48">
        <f>HYPERLINK("https://klasma.github.io/Logging_1485/tillsynsmail/A 7770-2024 tillsynsbegäran mail.docx", "A 7770-2024")</f>
        <v/>
      </c>
    </row>
    <row r="49" ht="15" customHeight="1">
      <c r="A49" t="inlineStr">
        <is>
          <t>A 34058-2023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45135</v>
      </c>
      <c r="E49" s="1" t="n">
        <v>46274</v>
      </c>
      <c r="F49" t="inlineStr">
        <is>
          <t>VÄSTRA GÖTALANDS LÄN</t>
        </is>
      </c>
      <c r="G49" t="inlineStr">
        <is>
          <t>UDDEVALLA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Lundvaxskivling</t>
        </is>
      </c>
      <c r="W49">
        <f>HYPERLINK("https://klasma.github.io/Logging_1485/artfynd/A 34058-2023 artfynd.xlsx", "A 34058-2023")</f>
        <v/>
      </c>
      <c r="X49">
        <f>HYPERLINK("https://klasma.github.io/Logging_1485/kartor/A 34058-2023 karta.png", "A 34058-2023")</f>
        <v/>
      </c>
      <c r="Y49">
        <f>HYPERLINK("https://klasma.github.io/Logging_1485/kartor_geotiff/A 34058-2023 georefererad karta.tif", "A 34058-2023")</f>
        <v/>
      </c>
      <c r="AA49">
        <f>HYPERLINK("https://klasma.github.io/Logging_1485/klagomål/A 34058-2023 FSC-klagomål.docx", "A 34058-2023")</f>
        <v/>
      </c>
      <c r="AB49">
        <f>HYPERLINK("https://klasma.github.io/Logging_1485/klagomålsmail/A 34058-2023 FSC-klagomål mail.docx", "A 34058-2023")</f>
        <v/>
      </c>
      <c r="AC49">
        <f>HYPERLINK("https://klasma.github.io/Logging_1485/tillsyn/A 34058-2023 tillsynsbegäran.docx", "A 34058-2023")</f>
        <v/>
      </c>
      <c r="AD49">
        <f>HYPERLINK("https://klasma.github.io/Logging_1485/tillsynsmail/A 34058-2023 tillsynsbegäran mail.docx", "A 34058-2023")</f>
        <v/>
      </c>
    </row>
    <row r="50" ht="15" customHeight="1">
      <c r="A50" t="inlineStr">
        <is>
          <t>A 29691-2023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46274</v>
      </c>
      <c r="F50" t="inlineStr">
        <is>
          <t>VÄSTRA GÖTALANDS LÄN</t>
        </is>
      </c>
      <c r="G50" t="inlineStr">
        <is>
          <t>UDDEVALLA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Kopparödla</t>
        </is>
      </c>
      <c r="W50">
        <f>HYPERLINK("https://klasma.github.io/Logging_1485/artfynd/A 29691-2023 artfynd.xlsx", "A 29691-2023")</f>
        <v/>
      </c>
      <c r="X50">
        <f>HYPERLINK("https://klasma.github.io/Logging_1485/kartor/A 29691-2023 karta.png", "A 29691-2023")</f>
        <v/>
      </c>
      <c r="Y50">
        <f>HYPERLINK("https://klasma.github.io/Logging_1485/kartor_geotiff/A 29691-2023 georefererad karta.tif", "A 29691-2023")</f>
        <v/>
      </c>
      <c r="AA50">
        <f>HYPERLINK("https://klasma.github.io/Logging_1485/klagomål/A 29691-2023 FSC-klagomål.docx", "A 29691-2023")</f>
        <v/>
      </c>
      <c r="AB50">
        <f>HYPERLINK("https://klasma.github.io/Logging_1485/klagomålsmail/A 29691-2023 FSC-klagomål mail.docx", "A 29691-2023")</f>
        <v/>
      </c>
      <c r="AC50">
        <f>HYPERLINK("https://klasma.github.io/Logging_1485/tillsyn/A 29691-2023 tillsynsbegäran.docx", "A 29691-2023")</f>
        <v/>
      </c>
      <c r="AD50">
        <f>HYPERLINK("https://klasma.github.io/Logging_1485/tillsynsmail/A 29691-2023 tillsynsbegäran mail.docx", "A 29691-2023")</f>
        <v/>
      </c>
    </row>
    <row r="51" ht="15" customHeight="1">
      <c r="A51" t="inlineStr">
        <is>
          <t>A 23322-2025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46274</v>
      </c>
      <c r="F51" t="inlineStr">
        <is>
          <t>VÄSTRA GÖTALANDS LÄN</t>
        </is>
      </c>
      <c r="G51" t="inlineStr">
        <is>
          <t>UDDEVALLA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Kungsörn</t>
        </is>
      </c>
      <c r="W51">
        <f>HYPERLINK("https://klasma.github.io/Logging_1485/artfynd/A 23322-2025 artfynd.xlsx", "A 23322-2025")</f>
        <v/>
      </c>
      <c r="X51">
        <f>HYPERLINK("https://klasma.github.io/Logging_1485/kartor/A 23322-2025 karta.png", "A 23322-2025")</f>
        <v/>
      </c>
      <c r="Y51">
        <f>HYPERLINK("https://klasma.github.io/Logging_1485/kartor_geotiff/A 23322-2025 georefererad karta.tif", "A 23322-2025")</f>
        <v/>
      </c>
      <c r="AA51">
        <f>HYPERLINK("https://klasma.github.io/Logging_1485/klagomål/A 23322-2025 FSC-klagomål.docx", "A 23322-2025")</f>
        <v/>
      </c>
      <c r="AB51">
        <f>HYPERLINK("https://klasma.github.io/Logging_1485/klagomålsmail/A 23322-2025 FSC-klagomål mail.docx", "A 23322-2025")</f>
        <v/>
      </c>
      <c r="AC51">
        <f>HYPERLINK("https://klasma.github.io/Logging_1485/tillsyn/A 23322-2025 tillsynsbegäran.docx", "A 23322-2025")</f>
        <v/>
      </c>
      <c r="AD51">
        <f>HYPERLINK("https://klasma.github.io/Logging_1485/tillsynsmail/A 23322-2025 tillsynsbegäran mail.docx", "A 23322-2025")</f>
        <v/>
      </c>
      <c r="AE51">
        <f>HYPERLINK("https://klasma.github.io/Logging_1485/fåglar/A 23322-2025 prioriterade fågelarter.docx", "A 23322-2025")</f>
        <v/>
      </c>
    </row>
    <row r="52" ht="15" customHeight="1">
      <c r="A52" t="inlineStr">
        <is>
          <t>A 30954-2025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46274</v>
      </c>
      <c r="F52" t="inlineStr">
        <is>
          <t>VÄSTRA GÖTALANDS LÄN</t>
        </is>
      </c>
      <c r="G52" t="inlineStr">
        <is>
          <t>UDDEVALLA</t>
        </is>
      </c>
      <c r="I52" t="n">
        <v>11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HYPERLINK("https://klasma.github.io/Logging_1485/artfynd/A 30954-2025 artfynd.xlsx", "A 30954-2025")</f>
        <v/>
      </c>
      <c r="X52">
        <f>HYPERLINK("https://klasma.github.io/Logging_1485/kartor/A 30954-2025 karta.png", "A 30954-2025")</f>
        <v/>
      </c>
      <c r="Y52">
        <f>HYPERLINK("https://klasma.github.io/Logging_1485/kartor_geotiff/A 30954-2025 georefererad karta.tif", "A 30954-2025")</f>
        <v/>
      </c>
      <c r="AA52">
        <f>HYPERLINK("https://klasma.github.io/Logging_1485/klagomål/A 30954-2025 FSC-klagomål.docx", "A 30954-2025")</f>
        <v/>
      </c>
      <c r="AB52">
        <f>HYPERLINK("https://klasma.github.io/Logging_1485/klagomålsmail/A 30954-2025 FSC-klagomål mail.docx", "A 30954-2025")</f>
        <v/>
      </c>
      <c r="AC52">
        <f>HYPERLINK("https://klasma.github.io/Logging_1485/tillsyn/A 30954-2025 tillsynsbegäran.docx", "A 30954-2025")</f>
        <v/>
      </c>
      <c r="AD52">
        <f>HYPERLINK("https://klasma.github.io/Logging_1485/tillsynsmail/A 30954-2025 tillsynsbegäran mail.docx", "A 30954-2025")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46274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46274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46274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44449</v>
      </c>
      <c r="E56" s="1" t="n">
        <v>46274</v>
      </c>
      <c r="F56" t="inlineStr">
        <is>
          <t>VÄSTRA GÖTALANDS LÄN</t>
        </is>
      </c>
      <c r="G56" t="inlineStr">
        <is>
          <t>UDDEVALLA</t>
        </is>
      </c>
      <c r="H56" t="inlineStr">
        <is>
          <t>Kyrkan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46274</v>
      </c>
      <c r="F57" t="inlineStr">
        <is>
          <t>VÄSTRA GÖTALANDS LÄN</t>
        </is>
      </c>
      <c r="G57" t="inlineStr">
        <is>
          <t>UDDEVALLA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46274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46274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46274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46274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46274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46274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46274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25807-2022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44733</v>
      </c>
      <c r="E65" s="1" t="n">
        <v>46274</v>
      </c>
      <c r="F65" t="inlineStr">
        <is>
          <t>VÄSTRA GÖTALANDS LÄN</t>
        </is>
      </c>
      <c r="G65" t="inlineStr">
        <is>
          <t>UDDEVALLA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46274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46274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46274</v>
      </c>
      <c r="F68" t="inlineStr">
        <is>
          <t>VÄSTRA GÖTALANDS LÄN</t>
        </is>
      </c>
      <c r="G68" t="inlineStr">
        <is>
          <t>UDDEVALLA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46274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46274</v>
      </c>
      <c r="F70" t="inlineStr">
        <is>
          <t>VÄSTRA GÖTALANDS LÄN</t>
        </is>
      </c>
      <c r="G70" t="inlineStr">
        <is>
          <t>UDDEVALLA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51868-2021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46274</v>
      </c>
      <c r="F71" t="inlineStr">
        <is>
          <t>VÄSTRA GÖTALANDS LÄN</t>
        </is>
      </c>
      <c r="G71" t="inlineStr">
        <is>
          <t>UDDEVALLA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46274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46274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46274</v>
      </c>
      <c r="F74" t="inlineStr">
        <is>
          <t>VÄSTRA GÖTALANDS LÄN</t>
        </is>
      </c>
      <c r="G74" t="inlineStr">
        <is>
          <t>UDDEVALLA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45633</v>
      </c>
      <c r="E75" s="1" t="n">
        <v>46274</v>
      </c>
      <c r="F75" t="inlineStr">
        <is>
          <t>VÄSTRA GÖTALANDS LÄN</t>
        </is>
      </c>
      <c r="G75" t="inlineStr">
        <is>
          <t>UDDEVALLA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46274</v>
      </c>
      <c r="F76" t="inlineStr">
        <is>
          <t>VÄSTRA GÖTALANDS LÄN</t>
        </is>
      </c>
      <c r="G76" t="inlineStr">
        <is>
          <t>UDDEVALLA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46274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46274</v>
      </c>
      <c r="F78" t="inlineStr">
        <is>
          <t>VÄSTRA GÖTALANDS LÄN</t>
        </is>
      </c>
      <c r="G78" t="inlineStr">
        <is>
          <t>UDDEVALLA</t>
        </is>
      </c>
      <c r="I78" t="n">
        <v>7.3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40297-2024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45554</v>
      </c>
      <c r="E79" s="1" t="n">
        <v>46274</v>
      </c>
      <c r="F79" t="inlineStr">
        <is>
          <t>VÄSTRA GÖTALANDS LÄN</t>
        </is>
      </c>
      <c r="G79" t="inlineStr">
        <is>
          <t>UDDEVALLA</t>
        </is>
      </c>
      <c r="I79" t="n">
        <v>6.7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46274</v>
      </c>
      <c r="F80" t="inlineStr">
        <is>
          <t>VÄSTRA GÖTALANDS LÄN</t>
        </is>
      </c>
      <c r="G80" t="inlineStr">
        <is>
          <t>UDDEVALLA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46274</v>
      </c>
      <c r="F81" t="inlineStr">
        <is>
          <t>VÄSTRA GÖTALANDS LÄN</t>
        </is>
      </c>
      <c r="G81" t="inlineStr">
        <is>
          <t>UDDEVALLA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46274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45684</v>
      </c>
      <c r="E83" s="1" t="n">
        <v>46274</v>
      </c>
      <c r="F83" t="inlineStr">
        <is>
          <t>VÄSTRA GÖTALANDS LÄN</t>
        </is>
      </c>
      <c r="G83" t="inlineStr">
        <is>
          <t>UDDEVALLA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46274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45365</v>
      </c>
      <c r="E85" s="1" t="n">
        <v>46274</v>
      </c>
      <c r="F85" t="inlineStr">
        <is>
          <t>VÄSTRA GÖTALANDS LÄN</t>
        </is>
      </c>
      <c r="G85" t="inlineStr">
        <is>
          <t>UDDEVALLA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46274</v>
      </c>
      <c r="F86" t="inlineStr">
        <is>
          <t>VÄSTRA GÖTALANDS LÄN</t>
        </is>
      </c>
      <c r="G86" t="inlineStr">
        <is>
          <t>UDDEVALLA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45548</v>
      </c>
      <c r="E87" s="1" t="n">
        <v>46274</v>
      </c>
      <c r="F87" t="inlineStr">
        <is>
          <t>VÄSTRA GÖTALANDS LÄN</t>
        </is>
      </c>
      <c r="G87" t="inlineStr">
        <is>
          <t>UDDEVALLA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45162</v>
      </c>
      <c r="E88" s="1" t="n">
        <v>46274</v>
      </c>
      <c r="F88" t="inlineStr">
        <is>
          <t>VÄSTRA GÖTALANDS LÄN</t>
        </is>
      </c>
      <c r="G88" t="inlineStr">
        <is>
          <t>UDDEVALLA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43426-2024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46274</v>
      </c>
      <c r="F89" t="inlineStr">
        <is>
          <t>VÄSTRA GÖTALANDS LÄN</t>
        </is>
      </c>
      <c r="G89" t="inlineStr">
        <is>
          <t>UDDEVALLA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44572</v>
      </c>
      <c r="E90" s="1" t="n">
        <v>46274</v>
      </c>
      <c r="F90" t="inlineStr">
        <is>
          <t>VÄSTRA GÖTALANDS LÄN</t>
        </is>
      </c>
      <c r="G90" t="inlineStr">
        <is>
          <t>UDDEVALLA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46274</v>
      </c>
      <c r="F91" t="inlineStr">
        <is>
          <t>VÄSTRA GÖTALANDS LÄN</t>
        </is>
      </c>
      <c r="G91" t="inlineStr">
        <is>
          <t>UDDEVALLA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49718-2024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46274</v>
      </c>
      <c r="F92" t="inlineStr">
        <is>
          <t>VÄSTRA GÖTALANDS LÄN</t>
        </is>
      </c>
      <c r="G92" t="inlineStr">
        <is>
          <t>UDDEVALLA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46274</v>
      </c>
      <c r="F93" t="inlineStr">
        <is>
          <t>VÄSTRA GÖTALANDS LÄN</t>
        </is>
      </c>
      <c r="G93" t="inlineStr">
        <is>
          <t>UDDEVALLA</t>
        </is>
      </c>
      <c r="I93" t="n">
        <v>12.2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46274</v>
      </c>
      <c r="F94" t="inlineStr">
        <is>
          <t>VÄSTRA GÖTALANDS LÄN</t>
        </is>
      </c>
      <c r="G94" t="inlineStr">
        <is>
          <t>UDDEVALLA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45551</v>
      </c>
      <c r="E95" s="1" t="n">
        <v>46274</v>
      </c>
      <c r="F95" t="inlineStr">
        <is>
          <t>VÄSTRA GÖTALANDS LÄN</t>
        </is>
      </c>
      <c r="G95" t="inlineStr">
        <is>
          <t>UDDEVALLA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52889-2023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45226</v>
      </c>
      <c r="E96" s="1" t="n">
        <v>46274</v>
      </c>
      <c r="F96" t="inlineStr">
        <is>
          <t>VÄSTRA GÖTALANDS LÄN</t>
        </is>
      </c>
      <c r="G96" t="inlineStr">
        <is>
          <t>UDDEVALLA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46274</v>
      </c>
      <c r="F97" t="inlineStr">
        <is>
          <t>VÄSTRA GÖTALANDS LÄN</t>
        </is>
      </c>
      <c r="G97" t="inlineStr">
        <is>
          <t>UDDEVALLA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4639-2022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44592</v>
      </c>
      <c r="E98" s="1" t="n">
        <v>46274</v>
      </c>
      <c r="F98" t="inlineStr">
        <is>
          <t>VÄSTRA GÖTALANDS LÄN</t>
        </is>
      </c>
      <c r="G98" t="inlineStr">
        <is>
          <t>UDDEVALLA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44981</v>
      </c>
      <c r="E99" s="1" t="n">
        <v>46274</v>
      </c>
      <c r="F99" t="inlineStr">
        <is>
          <t>VÄSTRA GÖTALANDS LÄN</t>
        </is>
      </c>
      <c r="G99" t="inlineStr">
        <is>
          <t>UDDEVALLA</t>
        </is>
      </c>
      <c r="H99" t="inlineStr">
        <is>
          <t>Kyrkan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46274</v>
      </c>
      <c r="F100" t="inlineStr">
        <is>
          <t>VÄSTRA GÖTALANDS LÄN</t>
        </is>
      </c>
      <c r="G100" t="inlineStr">
        <is>
          <t>UDDEVALLA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45426</v>
      </c>
      <c r="E101" s="1" t="n">
        <v>46274</v>
      </c>
      <c r="F101" t="inlineStr">
        <is>
          <t>VÄSTRA GÖTALANDS LÄN</t>
        </is>
      </c>
      <c r="G101" t="inlineStr">
        <is>
          <t>UDDEVALLA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46274</v>
      </c>
      <c r="F102" t="inlineStr">
        <is>
          <t>VÄSTRA GÖTALANDS LÄN</t>
        </is>
      </c>
      <c r="G102" t="inlineStr">
        <is>
          <t>UDDEVALLA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57824-2024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45631</v>
      </c>
      <c r="E103" s="1" t="n">
        <v>46274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44133-2024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45572</v>
      </c>
      <c r="E104" s="1" t="n">
        <v>46274</v>
      </c>
      <c r="F104" t="inlineStr">
        <is>
          <t>VÄSTRA GÖTALANDS LÄN</t>
        </is>
      </c>
      <c r="G104" t="inlineStr">
        <is>
          <t>UDDEVALLA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44991</v>
      </c>
      <c r="E105" s="1" t="n">
        <v>46274</v>
      </c>
      <c r="F105" t="inlineStr">
        <is>
          <t>VÄSTRA GÖTALANDS LÄN</t>
        </is>
      </c>
      <c r="G105" t="inlineStr">
        <is>
          <t>UDDEVALLA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46274</v>
      </c>
      <c r="F106" t="inlineStr">
        <is>
          <t>VÄSTRA GÖTALANDS LÄN</t>
        </is>
      </c>
      <c r="G106" t="inlineStr">
        <is>
          <t>UDDEVALLA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58958-2021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44489</v>
      </c>
      <c r="E107" s="1" t="n">
        <v>46274</v>
      </c>
      <c r="F107" t="inlineStr">
        <is>
          <t>VÄSTRA GÖTALANDS LÄN</t>
        </is>
      </c>
      <c r="G107" t="inlineStr">
        <is>
          <t>UDDEVALLA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46274</v>
      </c>
      <c r="F108" t="inlineStr">
        <is>
          <t>VÄSTRA GÖTALANDS LÄN</t>
        </is>
      </c>
      <c r="G108" t="inlineStr">
        <is>
          <t>UDDEVALLA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46274</v>
      </c>
      <c r="F109" t="inlineStr">
        <is>
          <t>VÄSTRA GÖTALANDS LÄN</t>
        </is>
      </c>
      <c r="G109" t="inlineStr">
        <is>
          <t>UDDEVALLA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45150</v>
      </c>
      <c r="E110" s="1" t="n">
        <v>46274</v>
      </c>
      <c r="F110" t="inlineStr">
        <is>
          <t>VÄSTRA GÖTALANDS LÄN</t>
        </is>
      </c>
      <c r="G110" t="inlineStr">
        <is>
          <t>UDDEVALLA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46274</v>
      </c>
      <c r="F111" t="inlineStr">
        <is>
          <t>VÄSTRA GÖTALANDS LÄN</t>
        </is>
      </c>
      <c r="G111" t="inlineStr">
        <is>
          <t>UDDEVALLA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45907</v>
      </c>
      <c r="E112" s="1" t="n">
        <v>46274</v>
      </c>
      <c r="F112" t="inlineStr">
        <is>
          <t>VÄSTRA GÖTALANDS LÄN</t>
        </is>
      </c>
      <c r="G112" t="inlineStr">
        <is>
          <t>UDDEVALLA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73437-2021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44551</v>
      </c>
      <c r="E113" s="1" t="n">
        <v>46274</v>
      </c>
      <c r="F113" t="inlineStr">
        <is>
          <t>VÄSTRA GÖTALANDS LÄN</t>
        </is>
      </c>
      <c r="G113" t="inlineStr">
        <is>
          <t>UDDEVALLA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46274</v>
      </c>
      <c r="F114" t="inlineStr">
        <is>
          <t>VÄSTRA GÖTALANDS LÄN</t>
        </is>
      </c>
      <c r="G114" t="inlineStr">
        <is>
          <t>UDDEVALLA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64083-2023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46274</v>
      </c>
      <c r="F115" t="inlineStr">
        <is>
          <t>VÄSTRA GÖTALANDS LÄN</t>
        </is>
      </c>
      <c r="G115" t="inlineStr">
        <is>
          <t>UDDEVALLA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17378-2026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46274</v>
      </c>
      <c r="F116" t="inlineStr">
        <is>
          <t>VÄSTRA GÖTALANDS LÄN</t>
        </is>
      </c>
      <c r="G116" t="inlineStr">
        <is>
          <t>UDDEVALLA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62041-2024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45656</v>
      </c>
      <c r="E117" s="1" t="n">
        <v>46274</v>
      </c>
      <c r="F117" t="inlineStr">
        <is>
          <t>VÄSTRA GÖTALANDS LÄN</t>
        </is>
      </c>
      <c r="G117" t="inlineStr">
        <is>
          <t>UDDEVALLA</t>
        </is>
      </c>
      <c r="H117" t="inlineStr">
        <is>
          <t>Kommuner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45882</v>
      </c>
      <c r="E118" s="1" t="n">
        <v>46274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2115-2025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45672</v>
      </c>
      <c r="E119" s="1" t="n">
        <v>46274</v>
      </c>
      <c r="F119" t="inlineStr">
        <is>
          <t>VÄSTRA GÖTALANDS LÄN</t>
        </is>
      </c>
      <c r="G119" t="inlineStr">
        <is>
          <t>UDDEVALLA</t>
        </is>
      </c>
      <c r="I119" t="n">
        <v>14.1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19849-2025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46274</v>
      </c>
      <c r="F120" t="inlineStr">
        <is>
          <t>VÄSTRA GÖTALANDS LÄN</t>
        </is>
      </c>
      <c r="G120" t="inlineStr">
        <is>
          <t>UDDEVALLA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46274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45901</v>
      </c>
      <c r="E122" s="1" t="n">
        <v>46274</v>
      </c>
      <c r="F122" t="inlineStr">
        <is>
          <t>VÄSTRA GÖTALANDS LÄN</t>
        </is>
      </c>
      <c r="G122" t="inlineStr">
        <is>
          <t>UDDEVALLA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44834</v>
      </c>
      <c r="E123" s="1" t="n">
        <v>46274</v>
      </c>
      <c r="F123" t="inlineStr">
        <is>
          <t>VÄSTRA GÖTALANDS LÄN</t>
        </is>
      </c>
      <c r="G123" t="inlineStr">
        <is>
          <t>UDDEVALLA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45882</v>
      </c>
      <c r="E124" s="1" t="n">
        <v>46274</v>
      </c>
      <c r="F124" t="inlineStr">
        <is>
          <t>VÄSTRA GÖTALANDS LÄN</t>
        </is>
      </c>
      <c r="G124" t="inlineStr">
        <is>
          <t>UDDEVALLA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46274</v>
      </c>
      <c r="F125" t="inlineStr">
        <is>
          <t>VÄSTRA GÖTALANDS LÄN</t>
        </is>
      </c>
      <c r="G125" t="inlineStr">
        <is>
          <t>UDDEVALLA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41576-2025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45901</v>
      </c>
      <c r="E126" s="1" t="n">
        <v>46274</v>
      </c>
      <c r="F126" t="inlineStr">
        <is>
          <t>VÄSTRA GÖTALANDS LÄN</t>
        </is>
      </c>
      <c r="G126" t="inlineStr">
        <is>
          <t>UDDEVALLA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46274</v>
      </c>
      <c r="F127" t="inlineStr">
        <is>
          <t>VÄSTRA GÖTALANDS LÄN</t>
        </is>
      </c>
      <c r="G127" t="inlineStr">
        <is>
          <t>UDDEVALLA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45302</v>
      </c>
      <c r="E128" s="1" t="n">
        <v>46274</v>
      </c>
      <c r="F128" t="inlineStr">
        <is>
          <t>VÄSTRA GÖTALANDS LÄN</t>
        </is>
      </c>
      <c r="G128" t="inlineStr">
        <is>
          <t>UDDEVALLA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46274</v>
      </c>
      <c r="F129" t="inlineStr">
        <is>
          <t>VÄSTRA GÖTALANDS LÄN</t>
        </is>
      </c>
      <c r="G129" t="inlineStr">
        <is>
          <t>UDDEVALLA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46274</v>
      </c>
      <c r="F130" t="inlineStr">
        <is>
          <t>VÄSTRA GÖTALANDS LÄN</t>
        </is>
      </c>
      <c r="G130" t="inlineStr">
        <is>
          <t>UDDEVALLA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46274</v>
      </c>
      <c r="F131" t="inlineStr">
        <is>
          <t>VÄSTRA GÖTALANDS LÄN</t>
        </is>
      </c>
      <c r="G131" t="inlineStr">
        <is>
          <t>UDDEVALLA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46274</v>
      </c>
      <c r="F132" t="inlineStr">
        <is>
          <t>VÄSTRA GÖTALANDS LÄN</t>
        </is>
      </c>
      <c r="G132" t="inlineStr">
        <is>
          <t>UDDEVALLA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44137-2025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45914</v>
      </c>
      <c r="E133" s="1" t="n">
        <v>46274</v>
      </c>
      <c r="F133" t="inlineStr">
        <is>
          <t>VÄSTRA GÖTALANDS LÄN</t>
        </is>
      </c>
      <c r="G133" t="inlineStr">
        <is>
          <t>UDDEVALLA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44086-2025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45914</v>
      </c>
      <c r="E134" s="1" t="n">
        <v>46274</v>
      </c>
      <c r="F134" t="inlineStr">
        <is>
          <t>VÄSTRA GÖTALANDS LÄN</t>
        </is>
      </c>
      <c r="G134" t="inlineStr">
        <is>
          <t>UDDEVALLA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22923-2022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44715</v>
      </c>
      <c r="E135" s="1" t="n">
        <v>46274</v>
      </c>
      <c r="F135" t="inlineStr">
        <is>
          <t>VÄSTRA GÖTALANDS LÄN</t>
        </is>
      </c>
      <c r="G135" t="inlineStr">
        <is>
          <t>UDDEVALLA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46274</v>
      </c>
      <c r="F136" t="inlineStr">
        <is>
          <t>VÄSTRA GÖTALANDS LÄN</t>
        </is>
      </c>
      <c r="G136" t="inlineStr">
        <is>
          <t>UDDEVALLA</t>
        </is>
      </c>
      <c r="I136" t="n">
        <v>19.4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20401-2026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46139</v>
      </c>
      <c r="E137" s="1" t="n">
        <v>46274</v>
      </c>
      <c r="F137" t="inlineStr">
        <is>
          <t>VÄSTRA GÖTALANDS LÄN</t>
        </is>
      </c>
      <c r="G137" t="inlineStr">
        <is>
          <t>UDDEVALLA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46274</v>
      </c>
      <c r="F138" t="inlineStr">
        <is>
          <t>VÄSTRA GÖTALANDS LÄN</t>
        </is>
      </c>
      <c r="G138" t="inlineStr">
        <is>
          <t>UDDEVALLA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46274</v>
      </c>
      <c r="F139" t="inlineStr">
        <is>
          <t>VÄSTRA GÖTALANDS LÄN</t>
        </is>
      </c>
      <c r="G139" t="inlineStr">
        <is>
          <t>UDDEVALLA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46274</v>
      </c>
      <c r="F140" t="inlineStr">
        <is>
          <t>VÄSTRA GÖTALANDS LÄN</t>
        </is>
      </c>
      <c r="G140" t="inlineStr">
        <is>
          <t>UDDEVALLA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46274</v>
      </c>
      <c r="F141" t="inlineStr">
        <is>
          <t>VÄSTRA GÖTALANDS LÄN</t>
        </is>
      </c>
      <c r="G141" t="inlineStr">
        <is>
          <t>UDDEVALLA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46274</v>
      </c>
      <c r="F142" t="inlineStr">
        <is>
          <t>VÄSTRA GÖTALANDS LÄN</t>
        </is>
      </c>
      <c r="G142" t="inlineStr">
        <is>
          <t>UDDEVALLA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12169-2023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44998</v>
      </c>
      <c r="E143" s="1" t="n">
        <v>46274</v>
      </c>
      <c r="F143" t="inlineStr">
        <is>
          <t>VÄSTRA GÖTALANDS LÄN</t>
        </is>
      </c>
      <c r="G143" t="inlineStr">
        <is>
          <t>UDDEVALLA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47103-2025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46274</v>
      </c>
      <c r="F144" t="inlineStr">
        <is>
          <t>VÄSTRA GÖTALANDS LÄN</t>
        </is>
      </c>
      <c r="G144" t="inlineStr">
        <is>
          <t>UDDEVALLA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73007-2021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46274</v>
      </c>
      <c r="F145" t="inlineStr">
        <is>
          <t>VÄSTRA GÖTALANDS LÄN</t>
        </is>
      </c>
      <c r="G145" t="inlineStr">
        <is>
          <t>UDDEVALLA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46274</v>
      </c>
      <c r="F146" t="inlineStr">
        <is>
          <t>VÄSTRA GÖTALANDS LÄN</t>
        </is>
      </c>
      <c r="G146" t="inlineStr">
        <is>
          <t>UDDEVALLA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45656</v>
      </c>
      <c r="E147" s="1" t="n">
        <v>46274</v>
      </c>
      <c r="F147" t="inlineStr">
        <is>
          <t>VÄSTRA GÖTALANDS LÄN</t>
        </is>
      </c>
      <c r="G147" t="inlineStr">
        <is>
          <t>UDDEVALLA</t>
        </is>
      </c>
      <c r="H147" t="inlineStr">
        <is>
          <t>Kommuner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62055-2024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46274</v>
      </c>
      <c r="F148" t="inlineStr">
        <is>
          <t>VÄSTRA GÖTALANDS LÄN</t>
        </is>
      </c>
      <c r="G148" t="inlineStr">
        <is>
          <t>UDDEVALLA</t>
        </is>
      </c>
      <c r="H148" t="inlineStr">
        <is>
          <t>Kommuner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45440</v>
      </c>
      <c r="E149" s="1" t="n">
        <v>46274</v>
      </c>
      <c r="F149" t="inlineStr">
        <is>
          <t>VÄSTRA GÖTALANDS LÄN</t>
        </is>
      </c>
      <c r="G149" t="inlineStr">
        <is>
          <t>UDDEVALLA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46274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45656</v>
      </c>
      <c r="E151" s="1" t="n">
        <v>46274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46274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46274</v>
      </c>
      <c r="F153" t="inlineStr">
        <is>
          <t>VÄSTRA GÖTALANDS LÄN</t>
        </is>
      </c>
      <c r="G153" t="inlineStr">
        <is>
          <t>UDDEVALLA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46274</v>
      </c>
      <c r="F154" t="inlineStr">
        <is>
          <t>VÄSTRA GÖTALANDS LÄN</t>
        </is>
      </c>
      <c r="G154" t="inlineStr">
        <is>
          <t>UDDEVALLA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60241-2024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45642</v>
      </c>
      <c r="E155" s="1" t="n">
        <v>46274</v>
      </c>
      <c r="F155" t="inlineStr">
        <is>
          <t>VÄSTRA GÖTALANDS LÄN</t>
        </is>
      </c>
      <c r="G155" t="inlineStr">
        <is>
          <t>UDDEVALLA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46274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46274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46274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46274</v>
      </c>
      <c r="F159" t="inlineStr">
        <is>
          <t>VÄSTRA GÖTALANDS LÄN</t>
        </is>
      </c>
      <c r="G159" t="inlineStr">
        <is>
          <t>UDDEVALLA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46274</v>
      </c>
      <c r="F160" t="inlineStr">
        <is>
          <t>VÄSTRA GÖTALANDS LÄN</t>
        </is>
      </c>
      <c r="G160" t="inlineStr">
        <is>
          <t>UDDEVALLA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46274</v>
      </c>
      <c r="F161" t="inlineStr">
        <is>
          <t>VÄSTRA GÖTALANDS LÄN</t>
        </is>
      </c>
      <c r="G161" t="inlineStr">
        <is>
          <t>UDDEVALLA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46274</v>
      </c>
      <c r="F162" t="inlineStr">
        <is>
          <t>VÄSTRA GÖTALANDS LÄN</t>
        </is>
      </c>
      <c r="G162" t="inlineStr">
        <is>
          <t>UDDEVALLA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50609-2025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46274</v>
      </c>
      <c r="F163" t="inlineStr">
        <is>
          <t>VÄSTRA GÖTALANDS LÄN</t>
        </is>
      </c>
      <c r="G163" t="inlineStr">
        <is>
          <t>UDDEVALLA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50617-2025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46274</v>
      </c>
      <c r="F164" t="inlineStr">
        <is>
          <t>VÄSTRA GÖTALANDS LÄN</t>
        </is>
      </c>
      <c r="G164" t="inlineStr">
        <is>
          <t>UDDEVALLA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46274</v>
      </c>
      <c r="F165" t="inlineStr">
        <is>
          <t>VÄSTRA GÖTALANDS LÄN</t>
        </is>
      </c>
      <c r="G165" t="inlineStr">
        <is>
          <t>UDDEVALLA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46274</v>
      </c>
      <c r="F166" t="inlineStr">
        <is>
          <t>VÄSTRA GÖTALANDS LÄN</t>
        </is>
      </c>
      <c r="G166" t="inlineStr">
        <is>
          <t>UDDEVALLA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46274</v>
      </c>
      <c r="F167" t="inlineStr">
        <is>
          <t>VÄSTRA GÖTALANDS LÄN</t>
        </is>
      </c>
      <c r="G167" t="inlineStr">
        <is>
          <t>UDDEVALLA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51747-2025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45950</v>
      </c>
      <c r="E168" s="1" t="n">
        <v>46274</v>
      </c>
      <c r="F168" t="inlineStr">
        <is>
          <t>VÄSTRA GÖTALANDS LÄN</t>
        </is>
      </c>
      <c r="G168" t="inlineStr">
        <is>
          <t>UDDEVALLA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46274</v>
      </c>
      <c r="F169" t="inlineStr">
        <is>
          <t>VÄSTRA GÖTALANDS LÄN</t>
        </is>
      </c>
      <c r="G169" t="inlineStr">
        <is>
          <t>UDDEVALLA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45149-2024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46274</v>
      </c>
      <c r="F170" t="inlineStr">
        <is>
          <t>VÄSTRA GÖTALANDS LÄN</t>
        </is>
      </c>
      <c r="G170" t="inlineStr">
        <is>
          <t>UDDEVALLA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46274</v>
      </c>
      <c r="F171" t="inlineStr">
        <is>
          <t>VÄSTRA GÖTALANDS LÄN</t>
        </is>
      </c>
      <c r="G171" t="inlineStr">
        <is>
          <t>UDDEVALLA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46274</v>
      </c>
      <c r="F172" t="inlineStr">
        <is>
          <t>VÄSTRA GÖTALANDS LÄN</t>
        </is>
      </c>
      <c r="G172" t="inlineStr">
        <is>
          <t>UDDEVALLA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45257</v>
      </c>
      <c r="E173" s="1" t="n">
        <v>46274</v>
      </c>
      <c r="F173" t="inlineStr">
        <is>
          <t>VÄSTRA GÖTALANDS LÄN</t>
        </is>
      </c>
      <c r="G173" t="inlineStr">
        <is>
          <t>UDDEVALLA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46274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46274</v>
      </c>
      <c r="F175" t="inlineStr">
        <is>
          <t>VÄSTRA GÖTALANDS LÄN</t>
        </is>
      </c>
      <c r="G175" t="inlineStr">
        <is>
          <t>UDDEVALLA</t>
        </is>
      </c>
      <c r="H175" t="inlineStr">
        <is>
          <t>Övriga statliga verk och myndigheter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46274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46274</v>
      </c>
      <c r="F177" t="inlineStr">
        <is>
          <t>VÄSTRA GÖTALANDS LÄN</t>
        </is>
      </c>
      <c r="G177" t="inlineStr">
        <is>
          <t>UDDEVALLA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17964-2022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44683</v>
      </c>
      <c r="E178" s="1" t="n">
        <v>46274</v>
      </c>
      <c r="F178" t="inlineStr">
        <is>
          <t>VÄSTRA GÖTALANDS LÄN</t>
        </is>
      </c>
      <c r="G178" t="inlineStr">
        <is>
          <t>UDDEVALLA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46274</v>
      </c>
      <c r="F179" t="inlineStr">
        <is>
          <t>VÄSTRA GÖTALANDS LÄN</t>
        </is>
      </c>
      <c r="G179" t="inlineStr">
        <is>
          <t>UDDEVALLA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55254-2023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46274</v>
      </c>
      <c r="F180" t="inlineStr">
        <is>
          <t>VÄSTRA GÖTALANDS LÄN</t>
        </is>
      </c>
      <c r="G180" t="inlineStr">
        <is>
          <t>UDDEVALLA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46274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45495</v>
      </c>
      <c r="E182" s="1" t="n">
        <v>46274</v>
      </c>
      <c r="F182" t="inlineStr">
        <is>
          <t>VÄSTRA GÖTALANDS LÄN</t>
        </is>
      </c>
      <c r="G182" t="inlineStr">
        <is>
          <t>UDDEVALLA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46274</v>
      </c>
      <c r="F183" t="inlineStr">
        <is>
          <t>VÄSTRA GÖTALANDS LÄN</t>
        </is>
      </c>
      <c r="G183" t="inlineStr">
        <is>
          <t>UDDEVALLA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25060-2026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46274</v>
      </c>
      <c r="F184" t="inlineStr">
        <is>
          <t>VÄSTRA GÖTALANDS LÄN</t>
        </is>
      </c>
      <c r="G184" t="inlineStr">
        <is>
          <t>UDDEVALLA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46274</v>
      </c>
      <c r="F185" t="inlineStr">
        <is>
          <t>VÄSTRA GÖTALANDS LÄN</t>
        </is>
      </c>
      <c r="G185" t="inlineStr">
        <is>
          <t>UDDEVALLA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46274</v>
      </c>
      <c r="F186" t="inlineStr">
        <is>
          <t>VÄSTRA GÖTALANDS LÄN</t>
        </is>
      </c>
      <c r="G186" t="inlineStr">
        <is>
          <t>UDDEVALLA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46274</v>
      </c>
      <c r="F187" t="inlineStr">
        <is>
          <t>VÄSTRA GÖTALANDS LÄN</t>
        </is>
      </c>
      <c r="G187" t="inlineStr">
        <is>
          <t>UDDEVALLA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58563-2025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46274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46274</v>
      </c>
      <c r="F189" t="inlineStr">
        <is>
          <t>VÄSTRA GÖTALANDS LÄN</t>
        </is>
      </c>
      <c r="G189" t="inlineStr">
        <is>
          <t>UDDEVALLA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46274</v>
      </c>
      <c r="F190" t="inlineStr">
        <is>
          <t>VÄSTRA GÖTALANDS LÄN</t>
        </is>
      </c>
      <c r="G190" t="inlineStr">
        <is>
          <t>UDDEVALLA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25613-2026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46274</v>
      </c>
      <c r="F191" t="inlineStr">
        <is>
          <t>VÄSTRA GÖTALANDS LÄN</t>
        </is>
      </c>
      <c r="G191" t="inlineStr">
        <is>
          <t>UDDEVALLA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46274</v>
      </c>
      <c r="F192" t="inlineStr">
        <is>
          <t>VÄSTRA GÖTALANDS LÄN</t>
        </is>
      </c>
      <c r="G192" t="inlineStr">
        <is>
          <t>UDDEVALLA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46274</v>
      </c>
      <c r="F193" t="inlineStr">
        <is>
          <t>VÄSTRA GÖTALANDS LÄN</t>
        </is>
      </c>
      <c r="G193" t="inlineStr">
        <is>
          <t>UDDEVALLA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46274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46274</v>
      </c>
      <c r="F195" t="inlineStr">
        <is>
          <t>VÄSTRA GÖTALANDS LÄN</t>
        </is>
      </c>
      <c r="G195" t="inlineStr">
        <is>
          <t>UDDEVALLA</t>
        </is>
      </c>
      <c r="H195" t="inlineStr">
        <is>
          <t>Kommuner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46274</v>
      </c>
      <c r="F196" t="inlineStr">
        <is>
          <t>VÄSTRA GÖTALANDS LÄN</t>
        </is>
      </c>
      <c r="G196" t="inlineStr">
        <is>
          <t>UDDEVALLA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45994</v>
      </c>
      <c r="E197" s="1" t="n">
        <v>46274</v>
      </c>
      <c r="F197" t="inlineStr">
        <is>
          <t>VÄSTRA GÖTALANDS LÄN</t>
        </is>
      </c>
      <c r="G197" t="inlineStr">
        <is>
          <t>UDDEVALLA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46274</v>
      </c>
      <c r="F198" t="inlineStr">
        <is>
          <t>VÄSTRA GÖTALANDS LÄN</t>
        </is>
      </c>
      <c r="G198" t="inlineStr">
        <is>
          <t>UDDEVALLA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45672</v>
      </c>
      <c r="E199" s="1" t="n">
        <v>46274</v>
      </c>
      <c r="F199" t="inlineStr">
        <is>
          <t>VÄSTRA GÖTALANDS LÄN</t>
        </is>
      </c>
      <c r="G199" t="inlineStr">
        <is>
          <t>UDDEVALLA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45664</v>
      </c>
      <c r="E200" s="1" t="n">
        <v>46274</v>
      </c>
      <c r="F200" t="inlineStr">
        <is>
          <t>VÄSTRA GÖTALANDS LÄN</t>
        </is>
      </c>
      <c r="G200" t="inlineStr">
        <is>
          <t>UDDEVALLA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46026</v>
      </c>
      <c r="E201" s="1" t="n">
        <v>46274</v>
      </c>
      <c r="F201" t="inlineStr">
        <is>
          <t>VÄSTRA GÖTALANDS LÄN</t>
        </is>
      </c>
      <c r="G201" t="inlineStr">
        <is>
          <t>UDDEVALLA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46274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46274</v>
      </c>
      <c r="F203" t="inlineStr">
        <is>
          <t>VÄSTRA GÖTALANDS LÄN</t>
        </is>
      </c>
      <c r="G203" t="inlineStr">
        <is>
          <t>UDDEVALLA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46274</v>
      </c>
      <c r="F204" t="inlineStr">
        <is>
          <t>VÄSTRA GÖTALANDS LÄN</t>
        </is>
      </c>
      <c r="G204" t="inlineStr">
        <is>
          <t>UDDEVALLA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46274</v>
      </c>
      <c r="F205" t="inlineStr">
        <is>
          <t>VÄSTRA GÖTALANDS LÄN</t>
        </is>
      </c>
      <c r="G205" t="inlineStr">
        <is>
          <t>UDDEVALLA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46274</v>
      </c>
      <c r="F206" t="inlineStr">
        <is>
          <t>VÄSTRA GÖTALANDS LÄN</t>
        </is>
      </c>
      <c r="G206" t="inlineStr">
        <is>
          <t>UDDEVALLA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46274</v>
      </c>
      <c r="F207" t="inlineStr">
        <is>
          <t>VÄSTRA GÖTALANDS LÄN</t>
        </is>
      </c>
      <c r="G207" t="inlineStr">
        <is>
          <t>UDDEVALLA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46274</v>
      </c>
      <c r="F208" t="inlineStr">
        <is>
          <t>VÄSTRA GÖTALANDS LÄN</t>
        </is>
      </c>
      <c r="G208" t="inlineStr">
        <is>
          <t>UDDEVALLA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46274</v>
      </c>
      <c r="F209" t="inlineStr">
        <is>
          <t>VÄSTRA GÖTALANDS LÄN</t>
        </is>
      </c>
      <c r="G209" t="inlineStr">
        <is>
          <t>UDDEVALLA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46274</v>
      </c>
      <c r="F210" t="inlineStr">
        <is>
          <t>VÄSTRA GÖTALANDS LÄN</t>
        </is>
      </c>
      <c r="G210" t="inlineStr">
        <is>
          <t>UDDEVALLA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46274</v>
      </c>
      <c r="F211" t="inlineStr">
        <is>
          <t>VÄSTRA GÖTALANDS LÄN</t>
        </is>
      </c>
      <c r="G211" t="inlineStr">
        <is>
          <t>UDDEVALLA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46274</v>
      </c>
      <c r="F212" t="inlineStr">
        <is>
          <t>VÄSTRA GÖTALANDS LÄN</t>
        </is>
      </c>
      <c r="G212" t="inlineStr">
        <is>
          <t>UDDEVALLA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46274</v>
      </c>
      <c r="F213" t="inlineStr">
        <is>
          <t>VÄSTRA GÖTALANDS LÄN</t>
        </is>
      </c>
      <c r="G213" t="inlineStr">
        <is>
          <t>UDDEVALLA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45374</v>
      </c>
      <c r="E214" s="1" t="n">
        <v>46274</v>
      </c>
      <c r="F214" t="inlineStr">
        <is>
          <t>VÄSTRA GÖTALANDS LÄN</t>
        </is>
      </c>
      <c r="G214" t="inlineStr">
        <is>
          <t>UDDEVALLA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46274</v>
      </c>
      <c r="F215" t="inlineStr">
        <is>
          <t>VÄSTRA GÖTALANDS LÄN</t>
        </is>
      </c>
      <c r="G215" t="inlineStr">
        <is>
          <t>UDDEVALLA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24081-2024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45456</v>
      </c>
      <c r="E216" s="1" t="n">
        <v>46274</v>
      </c>
      <c r="F216" t="inlineStr">
        <is>
          <t>VÄSTRA GÖTALANDS LÄN</t>
        </is>
      </c>
      <c r="G216" t="inlineStr">
        <is>
          <t>UDDEVALLA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44813</v>
      </c>
      <c r="E217" s="1" t="n">
        <v>46274</v>
      </c>
      <c r="F217" t="inlineStr">
        <is>
          <t>VÄSTRA GÖTALANDS LÄN</t>
        </is>
      </c>
      <c r="G217" t="inlineStr">
        <is>
          <t>UDDEVALLA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46274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46206</v>
      </c>
      <c r="E219" s="1" t="n">
        <v>46274</v>
      </c>
      <c r="F219" t="inlineStr">
        <is>
          <t>VÄSTRA GÖTALANDS LÄN</t>
        </is>
      </c>
      <c r="G219" t="inlineStr">
        <is>
          <t>UDDEVALLA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46251</v>
      </c>
      <c r="E220" s="1" t="n">
        <v>46274</v>
      </c>
      <c r="F220" t="inlineStr">
        <is>
          <t>VÄSTRA GÖTALANDS LÄN</t>
        </is>
      </c>
      <c r="G220" t="inlineStr">
        <is>
          <t>UDDEVALLA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46062</v>
      </c>
      <c r="E221" s="1" t="n">
        <v>46274</v>
      </c>
      <c r="F221" t="inlineStr">
        <is>
          <t>VÄSTRA GÖTALANDS LÄN</t>
        </is>
      </c>
      <c r="G221" t="inlineStr">
        <is>
          <t>UDDEVALLA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46274</v>
      </c>
      <c r="F222" t="inlineStr">
        <is>
          <t>VÄSTRA GÖTALANDS LÄN</t>
        </is>
      </c>
      <c r="G222" t="inlineStr">
        <is>
          <t>UDDEVALLA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45239</v>
      </c>
      <c r="E223" s="1" t="n">
        <v>46274</v>
      </c>
      <c r="F223" t="inlineStr">
        <is>
          <t>VÄSTRA GÖTALANDS LÄN</t>
        </is>
      </c>
      <c r="G223" t="inlineStr">
        <is>
          <t>UDDEVALLA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46210</v>
      </c>
      <c r="E224" s="1" t="n">
        <v>46274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Kommuner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46274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Kommuner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44935</v>
      </c>
      <c r="E226" s="1" t="n">
        <v>46274</v>
      </c>
      <c r="F226" t="inlineStr">
        <is>
          <t>VÄSTRA GÖTALANDS LÄN</t>
        </is>
      </c>
      <c r="G226" t="inlineStr">
        <is>
          <t>UDDEVALLA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46274</v>
      </c>
      <c r="F227" t="inlineStr">
        <is>
          <t>VÄSTRA GÖTALANDS LÄN</t>
        </is>
      </c>
      <c r="G227" t="inlineStr">
        <is>
          <t>UDDEVALLA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46211</v>
      </c>
      <c r="E228" s="1" t="n">
        <v>46274</v>
      </c>
      <c r="F228" t="inlineStr">
        <is>
          <t>VÄSTRA GÖTALANDS LÄN</t>
        </is>
      </c>
      <c r="G228" t="inlineStr">
        <is>
          <t>UDDEVALLA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30815-2026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46274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Kyrkan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73437-2021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46274</v>
      </c>
      <c r="F230" t="inlineStr">
        <is>
          <t>VÄSTRA GÖTALANDS LÄN</t>
        </is>
      </c>
      <c r="G230" t="inlineStr">
        <is>
          <t>UDDEVALLA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44924</v>
      </c>
      <c r="E231" s="1" t="n">
        <v>46274</v>
      </c>
      <c r="F231" t="inlineStr">
        <is>
          <t>VÄSTRA GÖTALANDS LÄN</t>
        </is>
      </c>
      <c r="G231" t="inlineStr">
        <is>
          <t>UDDEVALLA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10436-2026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46076</v>
      </c>
      <c r="E232" s="1" t="n">
        <v>46274</v>
      </c>
      <c r="F232" t="inlineStr">
        <is>
          <t>VÄSTRA GÖTALANDS LÄN</t>
        </is>
      </c>
      <c r="G232" t="inlineStr">
        <is>
          <t>UDDEVALLA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46274</v>
      </c>
      <c r="F233" t="inlineStr">
        <is>
          <t>VÄSTRA GÖTALANDS LÄN</t>
        </is>
      </c>
      <c r="G233" t="inlineStr">
        <is>
          <t>UDDEVALLA</t>
        </is>
      </c>
      <c r="H233" t="inlineStr">
        <is>
          <t>Kyrkan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34671-2026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46258</v>
      </c>
      <c r="E234" s="1" t="n">
        <v>46274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45953</v>
      </c>
      <c r="E235" s="1" t="n">
        <v>46274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46274</v>
      </c>
      <c r="F236" t="inlineStr">
        <is>
          <t>VÄSTRA GÖTALANDS LÄN</t>
        </is>
      </c>
      <c r="G236" t="inlineStr">
        <is>
          <t>UDDEVALLA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46274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46274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Kyrkan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45400</v>
      </c>
      <c r="E239" s="1" t="n">
        <v>46274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46274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Kyrkan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45981</v>
      </c>
      <c r="E241" s="1" t="n">
        <v>46274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46274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46090</v>
      </c>
      <c r="E243" s="1" t="n">
        <v>46274</v>
      </c>
      <c r="F243" t="inlineStr">
        <is>
          <t>VÄSTRA GÖTALANDS LÄN</t>
        </is>
      </c>
      <c r="G243" t="inlineStr">
        <is>
          <t>UDDEVALLA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46274</v>
      </c>
      <c r="F244" t="inlineStr">
        <is>
          <t>VÄSTRA GÖTALANDS LÄN</t>
        </is>
      </c>
      <c r="G244" t="inlineStr">
        <is>
          <t>UDDEVALLA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46222</v>
      </c>
      <c r="E245" s="1" t="n">
        <v>46274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46267</v>
      </c>
      <c r="E246" s="1" t="n">
        <v>46274</v>
      </c>
      <c r="F246" t="inlineStr">
        <is>
          <t>VÄSTRA GÖTALANDS LÄN</t>
        </is>
      </c>
      <c r="G246" t="inlineStr">
        <is>
          <t>UDDEVALLA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46267</v>
      </c>
      <c r="E247" s="1" t="n">
        <v>46274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45133</v>
      </c>
      <c r="E248" s="1" t="n">
        <v>46274</v>
      </c>
      <c r="F248" t="inlineStr">
        <is>
          <t>VÄSTRA GÖTALANDS LÄN</t>
        </is>
      </c>
      <c r="G248" t="inlineStr">
        <is>
          <t>UDDEVALLA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46267</v>
      </c>
      <c r="E249" s="1" t="n">
        <v>46274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Kyrkan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46266</v>
      </c>
      <c r="E250" s="1" t="n">
        <v>46274</v>
      </c>
      <c r="F250" t="inlineStr">
        <is>
          <t>VÄSTRA GÖTALANDS LÄN</t>
        </is>
      </c>
      <c r="G250" t="inlineStr">
        <is>
          <t>UDDEVALLA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46267</v>
      </c>
      <c r="E251" s="1" t="n">
        <v>46274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8893-2024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45355</v>
      </c>
      <c r="E252" s="1" t="n">
        <v>46274</v>
      </c>
      <c r="F252" t="inlineStr">
        <is>
          <t>VÄSTRA GÖTALANDS LÄN</t>
        </is>
      </c>
      <c r="G252" t="inlineStr">
        <is>
          <t>UDDEVALLA</t>
        </is>
      </c>
      <c r="H252" t="inlineStr">
        <is>
          <t>Kyrkan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46274</v>
      </c>
      <c r="F253" t="inlineStr">
        <is>
          <t>VÄSTRA GÖTALANDS LÄN</t>
        </is>
      </c>
      <c r="G253" t="inlineStr">
        <is>
          <t>UDDEVALLA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16819-2026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46113</v>
      </c>
      <c r="E254" s="1" t="n">
        <v>46274</v>
      </c>
      <c r="F254" t="inlineStr">
        <is>
          <t>VÄSTRA GÖTALANDS LÄN</t>
        </is>
      </c>
      <c r="G254" t="inlineStr">
        <is>
          <t>UDDEVALLA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16929-2026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46274</v>
      </c>
      <c r="F255" t="inlineStr">
        <is>
          <t>VÄSTRA GÖTALANDS LÄN</t>
        </is>
      </c>
      <c r="G255" t="inlineStr">
        <is>
          <t>UDDEVALLA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46274</v>
      </c>
      <c r="F256" t="inlineStr">
        <is>
          <t>VÄSTRA GÖTALANDS LÄN</t>
        </is>
      </c>
      <c r="G256" t="inlineStr">
        <is>
          <t>UDDEVALLA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46119</v>
      </c>
      <c r="E257" s="1" t="n">
        <v>46274</v>
      </c>
      <c r="F257" t="inlineStr">
        <is>
          <t>VÄSTRA GÖTALANDS LÄN</t>
        </is>
      </c>
      <c r="G257" t="inlineStr">
        <is>
          <t>UDDEVALLA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46120</v>
      </c>
      <c r="E258" s="1" t="n">
        <v>46274</v>
      </c>
      <c r="F258" t="inlineStr">
        <is>
          <t>VÄSTRA GÖTALANDS LÄN</t>
        </is>
      </c>
      <c r="G258" t="inlineStr">
        <is>
          <t>UDDEVALLA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2306-2022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44578</v>
      </c>
      <c r="E259" s="1" t="n">
        <v>46274</v>
      </c>
      <c r="F259" t="inlineStr">
        <is>
          <t>VÄSTRA GÖTALANDS LÄN</t>
        </is>
      </c>
      <c r="G259" t="inlineStr">
        <is>
          <t>UDDEVALLA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46274</v>
      </c>
      <c r="F260" t="inlineStr">
        <is>
          <t>VÄSTRA GÖTALANDS LÄN</t>
        </is>
      </c>
      <c r="G260" t="inlineStr">
        <is>
          <t>UDDEVALLA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46274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Kommuner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46125</v>
      </c>
      <c r="E262" s="1" t="n">
        <v>46274</v>
      </c>
      <c r="F262" t="inlineStr">
        <is>
          <t>VÄSTRA GÖTALANDS LÄN</t>
        </is>
      </c>
      <c r="G262" t="inlineStr">
        <is>
          <t>UDDEVALLA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46274</v>
      </c>
      <c r="F263" t="inlineStr">
        <is>
          <t>VÄSTRA GÖTALANDS LÄN</t>
        </is>
      </c>
      <c r="G263" t="inlineStr">
        <is>
          <t>UDDEVALLA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18821-2026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46274</v>
      </c>
      <c r="F264" t="inlineStr">
        <is>
          <t>VÄSTRA GÖTALANDS LÄN</t>
        </is>
      </c>
      <c r="G264" t="inlineStr">
        <is>
          <t>UDDEVALLA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45463</v>
      </c>
      <c r="E265" s="1" t="n">
        <v>46274</v>
      </c>
      <c r="F265" t="inlineStr">
        <is>
          <t>VÄSTRA GÖTALANDS LÄN</t>
        </is>
      </c>
      <c r="G265" t="inlineStr">
        <is>
          <t>UDDEVALLA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45063</v>
      </c>
      <c r="E266" s="1" t="n">
        <v>46274</v>
      </c>
      <c r="F266" t="inlineStr">
        <is>
          <t>VÄSTRA GÖTALANDS LÄN</t>
        </is>
      </c>
      <c r="G266" t="inlineStr">
        <is>
          <t>UDDEVALLA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46274</v>
      </c>
      <c r="F267" t="inlineStr">
        <is>
          <t>VÄSTRA GÖTALANDS LÄN</t>
        </is>
      </c>
      <c r="G267" t="inlineStr">
        <is>
          <t>UDDEVALLA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46274</v>
      </c>
      <c r="F268" t="inlineStr">
        <is>
          <t>VÄSTRA GÖTALANDS LÄN</t>
        </is>
      </c>
      <c r="G268" t="inlineStr">
        <is>
          <t>UDDEVALLA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45127</v>
      </c>
      <c r="E269" s="1" t="n">
        <v>46274</v>
      </c>
      <c r="F269" t="inlineStr">
        <is>
          <t>VÄSTRA GÖTALANDS LÄN</t>
        </is>
      </c>
      <c r="G269" t="inlineStr">
        <is>
          <t>UDDEVALLA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39867-2023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46274</v>
      </c>
      <c r="F270" t="inlineStr">
        <is>
          <t>VÄSTRA GÖTALANDS LÄN</t>
        </is>
      </c>
      <c r="G270" t="inlineStr">
        <is>
          <t>UDDEVALLA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46274</v>
      </c>
      <c r="F271" t="inlineStr">
        <is>
          <t>VÄSTRA GÖTALANDS LÄN</t>
        </is>
      </c>
      <c r="G271" t="inlineStr">
        <is>
          <t>UDDEVALLA</t>
        </is>
      </c>
      <c r="I271" t="n">
        <v>9.699999999999999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44956</v>
      </c>
      <c r="E272" s="1" t="n">
        <v>46274</v>
      </c>
      <c r="F272" t="inlineStr">
        <is>
          <t>VÄSTRA GÖTALANDS LÄN</t>
        </is>
      </c>
      <c r="G272" t="inlineStr">
        <is>
          <t>UDDEVALLA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23210-2023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45071</v>
      </c>
      <c r="E273" s="1" t="n">
        <v>46274</v>
      </c>
      <c r="F273" t="inlineStr">
        <is>
          <t>VÄSTRA GÖTALANDS LÄN</t>
        </is>
      </c>
      <c r="G273" t="inlineStr">
        <is>
          <t>UDDEVALLA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45517</v>
      </c>
      <c r="E274" s="1" t="n">
        <v>46274</v>
      </c>
      <c r="F274" t="inlineStr">
        <is>
          <t>VÄSTRA GÖTALANDS LÄN</t>
        </is>
      </c>
      <c r="G274" t="inlineStr">
        <is>
          <t>UDDEVALLA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25813-2022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44733</v>
      </c>
      <c r="E275" s="1" t="n">
        <v>46274</v>
      </c>
      <c r="F275" t="inlineStr">
        <is>
          <t>VÄSTRA GÖTALANDS LÄN</t>
        </is>
      </c>
      <c r="G275" t="inlineStr">
        <is>
          <t>UDDEVALLA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63878-2021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44509</v>
      </c>
      <c r="E276" s="1" t="n">
        <v>46274</v>
      </c>
      <c r="F276" t="inlineStr">
        <is>
          <t>VÄSTRA GÖTALANDS LÄN</t>
        </is>
      </c>
      <c r="G276" t="inlineStr">
        <is>
          <t>UDDEVALLA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44602</v>
      </c>
      <c r="E277" s="1" t="n">
        <v>46274</v>
      </c>
      <c r="F277" t="inlineStr">
        <is>
          <t>VÄSTRA GÖTALANDS LÄN</t>
        </is>
      </c>
      <c r="G277" t="inlineStr">
        <is>
          <t>UDDEVALLA</t>
        </is>
      </c>
      <c r="I277" t="n">
        <v>9.6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46274</v>
      </c>
      <c r="F278" t="inlineStr">
        <is>
          <t>VÄSTRA GÖTALANDS LÄN</t>
        </is>
      </c>
      <c r="G278" t="inlineStr">
        <is>
          <t>UDDEVALLA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45035</v>
      </c>
      <c r="E279" s="1" t="n">
        <v>46274</v>
      </c>
      <c r="F279" t="inlineStr">
        <is>
          <t>VÄSTRA GÖTALANDS LÄN</t>
        </is>
      </c>
      <c r="G279" t="inlineStr">
        <is>
          <t>UDDEVALLA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46274</v>
      </c>
      <c r="F280" t="inlineStr">
        <is>
          <t>VÄSTRA GÖTALANDS LÄN</t>
        </is>
      </c>
      <c r="G280" t="inlineStr">
        <is>
          <t>UDDEVALLA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45251</v>
      </c>
      <c r="E281" s="1" t="n">
        <v>46274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46274</v>
      </c>
      <c r="F282" t="inlineStr">
        <is>
          <t>VÄSTRA GÖTALANDS LÄN</t>
        </is>
      </c>
      <c r="G282" t="inlineStr">
        <is>
          <t>UDDEVALLA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17058-2025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45754</v>
      </c>
      <c r="E283" s="1" t="n">
        <v>46274</v>
      </c>
      <c r="F283" t="inlineStr">
        <is>
          <t>VÄSTRA GÖTALANDS LÄN</t>
        </is>
      </c>
      <c r="G283" t="inlineStr">
        <is>
          <t>UDDEVALLA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58625-2024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45635</v>
      </c>
      <c r="E284" s="1" t="n">
        <v>46274</v>
      </c>
      <c r="F284" t="inlineStr">
        <is>
          <t>VÄSTRA GÖTALANDS LÄN</t>
        </is>
      </c>
      <c r="G284" t="inlineStr">
        <is>
          <t>UDDEVALLA</t>
        </is>
      </c>
      <c r="I284" t="n">
        <v>14.9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46274</v>
      </c>
      <c r="F285" t="inlineStr">
        <is>
          <t>VÄSTRA GÖTALANDS LÄN</t>
        </is>
      </c>
      <c r="G285" t="inlineStr">
        <is>
          <t>UDDEVALLA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44817</v>
      </c>
      <c r="E286" s="1" t="n">
        <v>46274</v>
      </c>
      <c r="F286" t="inlineStr">
        <is>
          <t>VÄSTRA GÖTALANDS LÄN</t>
        </is>
      </c>
      <c r="G286" t="inlineStr">
        <is>
          <t>UDDEVALLA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46274</v>
      </c>
      <c r="F287" t="inlineStr">
        <is>
          <t>VÄSTRA GÖTALANDS LÄN</t>
        </is>
      </c>
      <c r="G287" t="inlineStr">
        <is>
          <t>UDDEVALLA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46274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44655</v>
      </c>
      <c r="E289" s="1" t="n">
        <v>46274</v>
      </c>
      <c r="F289" t="inlineStr">
        <is>
          <t>VÄSTRA GÖTALANDS LÄN</t>
        </is>
      </c>
      <c r="G289" t="inlineStr">
        <is>
          <t>UDDEVALLA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45238</v>
      </c>
      <c r="E290" s="1" t="n">
        <v>46274</v>
      </c>
      <c r="F290" t="inlineStr">
        <is>
          <t>VÄSTRA GÖTALANDS LÄN</t>
        </is>
      </c>
      <c r="G290" t="inlineStr">
        <is>
          <t>UDDEVALLA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45771</v>
      </c>
      <c r="E291" s="1" t="n">
        <v>46274</v>
      </c>
      <c r="F291" t="inlineStr">
        <is>
          <t>VÄSTRA GÖTALANDS LÄN</t>
        </is>
      </c>
      <c r="G291" t="inlineStr">
        <is>
          <t>UDDEVALLA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46274</v>
      </c>
      <c r="F292" t="inlineStr">
        <is>
          <t>VÄSTRA GÖTALANDS LÄN</t>
        </is>
      </c>
      <c r="G292" t="inlineStr">
        <is>
          <t>UDDEVALLA</t>
        </is>
      </c>
      <c r="I292" t="n">
        <v>12.2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9797-2023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44984</v>
      </c>
      <c r="E293" s="1" t="n">
        <v>46274</v>
      </c>
      <c r="F293" t="inlineStr">
        <is>
          <t>VÄSTRA GÖTALANDS LÄN</t>
        </is>
      </c>
      <c r="G293" t="inlineStr">
        <is>
          <t>UDDEVALLA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46274</v>
      </c>
      <c r="F294" t="inlineStr">
        <is>
          <t>VÄSTRA GÖTALANDS LÄN</t>
        </is>
      </c>
      <c r="G294" t="inlineStr">
        <is>
          <t>UDDEVALLA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45093</v>
      </c>
      <c r="E295" s="1" t="n">
        <v>46274</v>
      </c>
      <c r="F295" t="inlineStr">
        <is>
          <t>VÄSTRA GÖTALANDS LÄN</t>
        </is>
      </c>
      <c r="G295" t="inlineStr">
        <is>
          <t>UDDEVALLA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27869-2024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45475</v>
      </c>
      <c r="E296" s="1" t="n">
        <v>46274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69198-2021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46274</v>
      </c>
      <c r="F297" t="inlineStr">
        <is>
          <t>VÄSTRA GÖTALANDS LÄN</t>
        </is>
      </c>
      <c r="G297" t="inlineStr">
        <is>
          <t>UDDEVALLA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40121-2024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46274</v>
      </c>
      <c r="F298" t="inlineStr">
        <is>
          <t>VÄSTRA GÖTALANDS LÄN</t>
        </is>
      </c>
      <c r="G298" t="inlineStr">
        <is>
          <t>UDDEVALLA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46274</v>
      </c>
      <c r="F299" t="inlineStr">
        <is>
          <t>VÄSTRA GÖTALANDS LÄN</t>
        </is>
      </c>
      <c r="G299" t="inlineStr">
        <is>
          <t>UDDEVALLA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59674-2023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45255</v>
      </c>
      <c r="E300" s="1" t="n">
        <v>46274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46274</v>
      </c>
      <c r="F301" t="inlineStr">
        <is>
          <t>VÄSTRA GÖTALANDS LÄN</t>
        </is>
      </c>
      <c r="G301" t="inlineStr">
        <is>
          <t>UDDEVALLA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45366</v>
      </c>
      <c r="E302" s="1" t="n">
        <v>46274</v>
      </c>
      <c r="F302" t="inlineStr">
        <is>
          <t>VÄSTRA GÖTALANDS LÄN</t>
        </is>
      </c>
      <c r="G302" t="inlineStr">
        <is>
          <t>UDDEVALLA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48132-2023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45205</v>
      </c>
      <c r="E303" s="1" t="n">
        <v>46274</v>
      </c>
      <c r="F303" t="inlineStr">
        <is>
          <t>VÄSTRA GÖTALANDS LÄN</t>
        </is>
      </c>
      <c r="G303" t="inlineStr">
        <is>
          <t>UDDEVALLA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45426</v>
      </c>
      <c r="E304" s="1" t="n">
        <v>46274</v>
      </c>
      <c r="F304" t="inlineStr">
        <is>
          <t>VÄSTRA GÖTALANDS LÄN</t>
        </is>
      </c>
      <c r="G304" t="inlineStr">
        <is>
          <t>UDDEVALLA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29526-2024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45484</v>
      </c>
      <c r="E305" s="1" t="n">
        <v>46274</v>
      </c>
      <c r="F305" t="inlineStr">
        <is>
          <t>VÄSTRA GÖTALANDS LÄN</t>
        </is>
      </c>
      <c r="G305" t="inlineStr">
        <is>
          <t>UDDEVALLA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46274</v>
      </c>
      <c r="F306" t="inlineStr">
        <is>
          <t>VÄSTRA GÖTALANDS LÄN</t>
        </is>
      </c>
      <c r="G306" t="inlineStr">
        <is>
          <t>UDDEVALLA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46274</v>
      </c>
      <c r="F307" t="inlineStr">
        <is>
          <t>VÄSTRA GÖTALANDS LÄN</t>
        </is>
      </c>
      <c r="G307" t="inlineStr">
        <is>
          <t>UDDEVALLA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34555-2022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44794</v>
      </c>
      <c r="E308" s="1" t="n">
        <v>46274</v>
      </c>
      <c r="F308" t="inlineStr">
        <is>
          <t>VÄSTRA GÖTALANDS LÄN</t>
        </is>
      </c>
      <c r="G308" t="inlineStr">
        <is>
          <t>UDDEVALLA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46274</v>
      </c>
      <c r="F309" t="inlineStr">
        <is>
          <t>VÄSTRA GÖTALANDS LÄN</t>
        </is>
      </c>
      <c r="G309" t="inlineStr">
        <is>
          <t>UDDEVALLA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46480-2023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45197</v>
      </c>
      <c r="E310" s="1" t="n">
        <v>46274</v>
      </c>
      <c r="F310" t="inlineStr">
        <is>
          <t>VÄSTRA GÖTALANDS LÄN</t>
        </is>
      </c>
      <c r="G310" t="inlineStr">
        <is>
          <t>UDDEVALLA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3077-2022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44582</v>
      </c>
      <c r="E311" s="1" t="n">
        <v>46274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Kyrkan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29642-2024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45484</v>
      </c>
      <c r="E312" s="1" t="n">
        <v>46274</v>
      </c>
      <c r="F312" t="inlineStr">
        <is>
          <t>VÄSTRA GÖTALANDS LÄN</t>
        </is>
      </c>
      <c r="G312" t="inlineStr">
        <is>
          <t>UDDEVALLA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45387</v>
      </c>
      <c r="E313" s="1" t="n">
        <v>46274</v>
      </c>
      <c r="F313" t="inlineStr">
        <is>
          <t>VÄSTRA GÖTALANDS LÄN</t>
        </is>
      </c>
      <c r="G313" t="inlineStr">
        <is>
          <t>UDDEVALLA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46274</v>
      </c>
      <c r="F314" t="inlineStr">
        <is>
          <t>VÄSTRA GÖTALANDS LÄN</t>
        </is>
      </c>
      <c r="G314" t="inlineStr">
        <is>
          <t>UDDEVALLA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45771</v>
      </c>
      <c r="E315" s="1" t="n">
        <v>46274</v>
      </c>
      <c r="F315" t="inlineStr">
        <is>
          <t>VÄSTRA GÖTALANDS LÄN</t>
        </is>
      </c>
      <c r="G315" t="inlineStr">
        <is>
          <t>UDDEVALLA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45553</v>
      </c>
      <c r="E316" s="1" t="n">
        <v>46274</v>
      </c>
      <c r="F316" t="inlineStr">
        <is>
          <t>VÄSTRA GÖTALANDS LÄN</t>
        </is>
      </c>
      <c r="G316" t="inlineStr">
        <is>
          <t>UDDEVALLA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44959</v>
      </c>
      <c r="E317" s="1" t="n">
        <v>46274</v>
      </c>
      <c r="F317" t="inlineStr">
        <is>
          <t>VÄSTRA GÖTALANDS LÄN</t>
        </is>
      </c>
      <c r="G317" t="inlineStr">
        <is>
          <t>UDDEVALLA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40571-2022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44823</v>
      </c>
      <c r="E318" s="1" t="n">
        <v>46274</v>
      </c>
      <c r="F318" t="inlineStr">
        <is>
          <t>VÄSTRA GÖTALANDS LÄN</t>
        </is>
      </c>
      <c r="G318" t="inlineStr">
        <is>
          <t>UDDEVALLA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45644</v>
      </c>
      <c r="E319" s="1" t="n">
        <v>46274</v>
      </c>
      <c r="F319" t="inlineStr">
        <is>
          <t>VÄSTRA GÖTALANDS LÄN</t>
        </is>
      </c>
      <c r="G319" t="inlineStr">
        <is>
          <t>UDDEVALLA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45777</v>
      </c>
      <c r="E320" s="1" t="n">
        <v>46274</v>
      </c>
      <c r="F320" t="inlineStr">
        <is>
          <t>VÄSTRA GÖTALANDS LÄN</t>
        </is>
      </c>
      <c r="G320" t="inlineStr">
        <is>
          <t>UDDEVALLA</t>
        </is>
      </c>
      <c r="I320" t="n">
        <v>12.9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46274</v>
      </c>
      <c r="F321" t="inlineStr">
        <is>
          <t>VÄSTRA GÖTALANDS LÄN</t>
        </is>
      </c>
      <c r="G321" t="inlineStr">
        <is>
          <t>UDDEVALLA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45740</v>
      </c>
      <c r="E322" s="1" t="n">
        <v>46274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14066-2025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46274</v>
      </c>
      <c r="F323" t="inlineStr">
        <is>
          <t>VÄSTRA GÖTALANDS LÄN</t>
        </is>
      </c>
      <c r="G323" t="inlineStr">
        <is>
          <t>UDDEVALLA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36562-2024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45537</v>
      </c>
      <c r="E324" s="1" t="n">
        <v>46274</v>
      </c>
      <c r="F324" t="inlineStr">
        <is>
          <t>VÄSTRA GÖTALANDS LÄN</t>
        </is>
      </c>
      <c r="G324" t="inlineStr">
        <is>
          <t>UDDEVALLA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10684-2022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46274</v>
      </c>
      <c r="F325" t="inlineStr">
        <is>
          <t>VÄSTRA GÖTALANDS LÄN</t>
        </is>
      </c>
      <c r="G325" t="inlineStr">
        <is>
          <t>UDDEVALLA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10900-2025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46274</v>
      </c>
      <c r="F326" t="inlineStr">
        <is>
          <t>VÄSTRA GÖTALANDS LÄN</t>
        </is>
      </c>
      <c r="G326" t="inlineStr">
        <is>
          <t>UDDEVALLA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39355-2024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45551</v>
      </c>
      <c r="E327" s="1" t="n">
        <v>46274</v>
      </c>
      <c r="F327" t="inlineStr">
        <is>
          <t>VÄSTRA GÖTALANDS LÄN</t>
        </is>
      </c>
      <c r="G327" t="inlineStr">
        <is>
          <t>UDDEVALLA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45455</v>
      </c>
      <c r="E328" s="1" t="n">
        <v>46274</v>
      </c>
      <c r="F328" t="inlineStr">
        <is>
          <t>VÄSTRA GÖTALANDS LÄN</t>
        </is>
      </c>
      <c r="G328" t="inlineStr">
        <is>
          <t>UDDEVALLA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45723</v>
      </c>
      <c r="E329" s="1" t="n">
        <v>46274</v>
      </c>
      <c r="F329" t="inlineStr">
        <is>
          <t>VÄSTRA GÖTALANDS LÄN</t>
        </is>
      </c>
      <c r="G329" t="inlineStr">
        <is>
          <t>UDDEVALLA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46274</v>
      </c>
      <c r="F330" t="inlineStr">
        <is>
          <t>VÄSTRA GÖTALANDS LÄN</t>
        </is>
      </c>
      <c r="G330" t="inlineStr">
        <is>
          <t>UDDEVALLA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45826</v>
      </c>
      <c r="E331" s="1" t="n">
        <v>46274</v>
      </c>
      <c r="F331" t="inlineStr">
        <is>
          <t>VÄSTRA GÖTALANDS LÄN</t>
        </is>
      </c>
      <c r="G331" t="inlineStr">
        <is>
          <t>UDDEVALLA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46274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46274</v>
      </c>
      <c r="F333" t="inlineStr">
        <is>
          <t>VÄSTRA GÖTALANDS LÄN</t>
        </is>
      </c>
      <c r="G333" t="inlineStr">
        <is>
          <t>UDDEVALLA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45843</v>
      </c>
      <c r="E334" s="1" t="n">
        <v>46274</v>
      </c>
      <c r="F334" t="inlineStr">
        <is>
          <t>VÄSTRA GÖTALANDS LÄN</t>
        </is>
      </c>
      <c r="G334" t="inlineStr">
        <is>
          <t>UDDEVALLA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47896-2024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45588</v>
      </c>
      <c r="E335" s="1" t="n">
        <v>46274</v>
      </c>
      <c r="F335" t="inlineStr">
        <is>
          <t>VÄSTRA GÖTALANDS LÄN</t>
        </is>
      </c>
      <c r="G335" t="inlineStr">
        <is>
          <t>UDDEVALLA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46274</v>
      </c>
      <c r="F336" t="inlineStr">
        <is>
          <t>VÄSTRA GÖTALANDS LÄN</t>
        </is>
      </c>
      <c r="G336" t="inlineStr">
        <is>
          <t>UDDEVALLA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46274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46274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46274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46274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2026-09-09T02:12:46Z</dcterms:created>
  <dcterms:modified xmlns:dcterms="http://purl.org/dc/terms/" xmlns:xsi="http://www.w3.org/2001/XMLSchema-instance" xsi:type="dcterms:W3CDTF">2026-09-09T02:12:47Z</dcterms:modified>
</cp:coreProperties>
</file>