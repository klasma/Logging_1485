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46296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46296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46296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46296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46296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Klippfrullania
Stor revmossa
Västlig hakmossa
Lopplummer (aggregat)
Revlummer</t>
        </is>
      </c>
      <c r="W11">
        <f>HYPERLINK("https://klasma.github.io/Logging_1485/artfynd/A 62048-2024 artfynd.xlsx", "A 62048-2024")</f>
        <v/>
      </c>
      <c r="X11">
        <f>HYPERLINK("https://klasma.github.io/Logging_1485/kartor/A 62048-2024 karta.png", "A 62048-2024")</f>
        <v/>
      </c>
      <c r="Y11">
        <f>HYPERLINK("https://klasma.github.io/Logging_1485/kartor_geotiff/A 62048-2024 georefererad karta.tif", "A 62048-2024")</f>
        <v/>
      </c>
      <c r="AA11">
        <f>HYPERLINK("https://klasma.github.io/Logging_1485/klagomål/A 62048-2024 FSC-klagomål.docx", "A 62048-2024")</f>
        <v/>
      </c>
      <c r="AB11">
        <f>HYPERLINK("https://klasma.github.io/Logging_1485/klagomålsmail/A 62048-2024 FSC-klagomål mail.docx", "A 62048-2024")</f>
        <v/>
      </c>
      <c r="AC11">
        <f>HYPERLINK("https://klasma.github.io/Logging_1485/tillsyn/A 62048-2024 tillsynsbegäran.docx", "A 62048-2024")</f>
        <v/>
      </c>
      <c r="AD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46296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3435-2024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45317</v>
      </c>
      <c r="E13" s="1" t="n">
        <v>46296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Kyrkan</t>
        </is>
      </c>
      <c r="I13" t="n">
        <v>1.9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Västlig hakmossa
Spillkråka</t>
        </is>
      </c>
      <c r="W13">
        <f>HYPERLINK("https://klasma.github.io/Logging_1485/artfynd/A 3435-2024 artfynd.xlsx", "A 3435-2024")</f>
        <v/>
      </c>
      <c r="X13">
        <f>HYPERLINK("https://klasma.github.io/Logging_1485/kartor/A 3435-2024 karta.png", "A 3435-2024")</f>
        <v/>
      </c>
      <c r="Y13">
        <f>HYPERLINK("https://klasma.github.io/Logging_1485/kartor_geotiff/A 3435-2024 georefererad karta.tif", "A 3435-2024")</f>
        <v/>
      </c>
      <c r="AA13">
        <f>HYPERLINK("https://klasma.github.io/Logging_1485/klagomål/A 3435-2024 FSC-klagomål.docx", "A 3435-2024")</f>
        <v/>
      </c>
      <c r="AB13">
        <f>HYPERLINK("https://klasma.github.io/Logging_1485/klagomålsmail/A 3435-2024 FSC-klagomål mail.docx", "A 3435-2024")</f>
        <v/>
      </c>
      <c r="AC13">
        <f>HYPERLINK("https://klasma.github.io/Logging_1485/tillsyn/A 3435-2024 tillsynsbegäran.docx", "A 3435-2024")</f>
        <v/>
      </c>
      <c r="AD13">
        <f>HYPERLINK("https://klasma.github.io/Logging_1485/tillsynsmail/A 3435-2024 tillsynsbegäran mail.docx", "A 3435-2024")</f>
        <v/>
      </c>
      <c r="AE13">
        <f>HYPERLINK("https://klasma.github.io/Logging_1485/fåglar/A 3435-2024 prioriterade fågelarter.docx", "A 3435-2024")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46296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46296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46296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25010-2025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25010-2025 artfynd.xlsx", "A 25010-2025")</f>
        <v/>
      </c>
      <c r="X17">
        <f>HYPERLINK("https://klasma.github.io/Logging_1485/kartor/A 25010-2025 karta.png", "A 25010-2025")</f>
        <v/>
      </c>
      <c r="Y17">
        <f>HYPERLINK("https://klasma.github.io/Logging_1485/kartor_geotiff/A 25010-2025 georefererad karta.tif", "A 25010-2025")</f>
        <v/>
      </c>
      <c r="AA17">
        <f>HYPERLINK("https://klasma.github.io/Logging_1485/klagomål/A 25010-2025 FSC-klagomål.docx", "A 25010-2025")</f>
        <v/>
      </c>
      <c r="AB17">
        <f>HYPERLINK("https://klasma.github.io/Logging_1485/klagomålsmail/A 25010-2025 FSC-klagomål mail.docx", "A 25010-2025")</f>
        <v/>
      </c>
      <c r="AC17">
        <f>HYPERLINK("https://klasma.github.io/Logging_1485/tillsyn/A 25010-2025 tillsynsbegäran.docx", "A 25010-2025")</f>
        <v/>
      </c>
      <c r="AD17">
        <f>HYPERLINK("https://klasma.github.io/Logging_1485/tillsynsmail/A 25010-2025 tillsynsbegäran mail.docx", "A 25010-2025")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46296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46296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41292-2022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44825</v>
      </c>
      <c r="E20" s="1" t="n">
        <v>46296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9.699999999999999</v>
      </c>
      <c r="J20" t="n">
        <v>1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Entita</t>
        </is>
      </c>
      <c r="W20">
        <f>HYPERLINK("https://klasma.github.io/Logging_1485/artfynd/A 41292-2022 artfynd.xlsx", "A 41292-2022")</f>
        <v/>
      </c>
      <c r="X20">
        <f>HYPERLINK("https://klasma.github.io/Logging_1485/kartor/A 41292-2022 karta.png", "A 41292-2022")</f>
        <v/>
      </c>
      <c r="Y20">
        <f>HYPERLINK("https://klasma.github.io/Logging_1485/kartor_geotiff/A 41292-2022 georefererad karta.tif", "A 41292-2022")</f>
        <v/>
      </c>
      <c r="AA20">
        <f>HYPERLINK("https://klasma.github.io/Logging_1485/klagomål/A 41292-2022 FSC-klagomål.docx", "A 41292-2022")</f>
        <v/>
      </c>
      <c r="AB20">
        <f>HYPERLINK("https://klasma.github.io/Logging_1485/klagomålsmail/A 41292-2022 FSC-klagomål mail.docx", "A 41292-2022")</f>
        <v/>
      </c>
      <c r="AC20">
        <f>HYPERLINK("https://klasma.github.io/Logging_1485/tillsyn/A 41292-2022 tillsynsbegäran.docx", "A 41292-2022")</f>
        <v/>
      </c>
      <c r="AD20">
        <f>HYPERLINK("https://klasma.github.io/Logging_1485/tillsynsmail/A 41292-2022 tillsynsbegäran mail.docx", "A 41292-2022")</f>
        <v/>
      </c>
      <c r="AE20">
        <f>HYPERLINK("https://klasma.github.io/Logging_1485/fåglar/A 41292-2022 prioriterade fågelarter.docx", "A 41292-2022")</f>
        <v/>
      </c>
    </row>
    <row r="21" ht="15" customHeight="1">
      <c r="A21" t="inlineStr">
        <is>
          <t>A 8666-2024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46296</v>
      </c>
      <c r="F21" t="inlineStr">
        <is>
          <t>VÄSTRA GÖTALANDS LÄN</t>
        </is>
      </c>
      <c r="G21" t="inlineStr">
        <is>
          <t>UDDEVALLA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Västlig hakmossa
Spillkråka</t>
        </is>
      </c>
      <c r="W21">
        <f>HYPERLINK("https://klasma.github.io/Logging_1485/artfynd/A 8666-2024 artfynd.xlsx", "A 8666-2024")</f>
        <v/>
      </c>
      <c r="X21">
        <f>HYPERLINK("https://klasma.github.io/Logging_1485/kartor/A 8666-2024 karta.png", "A 8666-2024")</f>
        <v/>
      </c>
      <c r="Y21">
        <f>HYPERLINK("https://klasma.github.io/Logging_1485/kartor_geotiff/A 8666-2024 georefererad karta.tif", "A 8666-2024")</f>
        <v/>
      </c>
      <c r="AA21">
        <f>HYPERLINK("https://klasma.github.io/Logging_1485/klagomål/A 8666-2024 FSC-klagomål.docx", "A 8666-2024")</f>
        <v/>
      </c>
      <c r="AB21">
        <f>HYPERLINK("https://klasma.github.io/Logging_1485/klagomålsmail/A 8666-2024 FSC-klagomål mail.docx", "A 8666-2024")</f>
        <v/>
      </c>
      <c r="AC21">
        <f>HYPERLINK("https://klasma.github.io/Logging_1485/tillsyn/A 8666-2024 tillsynsbegäran.docx", "A 8666-2024")</f>
        <v/>
      </c>
      <c r="AD21">
        <f>HYPERLINK("https://klasma.github.io/Logging_1485/tillsynsmail/A 8666-2024 tillsynsbegäran mail.docx", "A 8666-2024")</f>
        <v/>
      </c>
      <c r="AE21">
        <f>HYPERLINK("https://klasma.github.io/Logging_1485/fåglar/A 8666-2024 prioriterade fågelarter.docx", "A 8666-2024")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46296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46296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46296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46296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46296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46296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46296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46296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46296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46296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46296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46296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46296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46296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Rödgul trumpetsvamp</t>
        </is>
      </c>
      <c r="W35">
        <f>HYPERLINK("https://klasma.github.io/Logging_1485/artfynd/A 236-2023 artfynd.xlsx", "A 236-2023")</f>
        <v/>
      </c>
      <c r="X35">
        <f>HYPERLINK("https://klasma.github.io/Logging_1485/kartor/A 236-2023 karta.png", "A 236-2023")</f>
        <v/>
      </c>
      <c r="Y35">
        <f>HYPERLINK("https://klasma.github.io/Logging_1485/kartor_geotiff/A 236-2023 georefererad karta.tif", "A 236-2023")</f>
        <v/>
      </c>
      <c r="AA35">
        <f>HYPERLINK("https://klasma.github.io/Logging_1485/klagomål/A 236-2023 FSC-klagomål.docx", "A 236-2023")</f>
        <v/>
      </c>
      <c r="AB35">
        <f>HYPERLINK("https://klasma.github.io/Logging_1485/klagomålsmail/A 236-2023 FSC-klagomål mail.docx", "A 236-2023")</f>
        <v/>
      </c>
      <c r="AC35">
        <f>HYPERLINK("https://klasma.github.io/Logging_1485/tillsyn/A 236-2023 tillsynsbegäran.docx", "A 236-2023")</f>
        <v/>
      </c>
      <c r="AD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46296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10865-2022 artfynd.xlsx", "A 10865-2022")</f>
        <v/>
      </c>
      <c r="X36">
        <f>HYPERLINK("https://klasma.github.io/Logging_1485/kartor/A 10865-2022 karta.png", "A 10865-2022")</f>
        <v/>
      </c>
      <c r="Y36">
        <f>HYPERLINK("https://klasma.github.io/Logging_1485/kartor_geotiff/A 10865-2022 georefererad karta.tif", "A 10865-2022")</f>
        <v/>
      </c>
      <c r="AA36">
        <f>HYPERLINK("https://klasma.github.io/Logging_1485/klagomål/A 10865-2022 FSC-klagomål.docx", "A 10865-2022")</f>
        <v/>
      </c>
      <c r="AB36">
        <f>HYPERLINK("https://klasma.github.io/Logging_1485/klagomålsmail/A 10865-2022 FSC-klagomål mail.docx", "A 10865-2022")</f>
        <v/>
      </c>
      <c r="AC36">
        <f>HYPERLINK("https://klasma.github.io/Logging_1485/tillsyn/A 10865-2022 tillsynsbegäran.docx", "A 10865-2022")</f>
        <v/>
      </c>
      <c r="AD36">
        <f>HYPERLINK("https://klasma.github.io/Logging_1485/tillsynsmail/A 10865-2022 tillsynsbegäran mail.docx", "A 10865-2022")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46296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46296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Kopparödla</t>
        </is>
      </c>
      <c r="W38">
        <f>HYPERLINK("https://klasma.github.io/Logging_1485/artfynd/A 29691-2023 artfynd.xlsx", "A 29691-2023")</f>
        <v/>
      </c>
      <c r="X38">
        <f>HYPERLINK("https://klasma.github.io/Logging_1485/kartor/A 29691-2023 karta.png", "A 29691-2023")</f>
        <v/>
      </c>
      <c r="Y38">
        <f>HYPERLINK("https://klasma.github.io/Logging_1485/kartor_geotiff/A 29691-2023 georefererad karta.tif", "A 29691-2023")</f>
        <v/>
      </c>
      <c r="AA38">
        <f>HYPERLINK("https://klasma.github.io/Logging_1485/klagomål/A 29691-2023 FSC-klagomål.docx", "A 29691-2023")</f>
        <v/>
      </c>
      <c r="AB38">
        <f>HYPERLINK("https://klasma.github.io/Logging_1485/klagomålsmail/A 29691-2023 FSC-klagomål mail.docx", "A 29691-2023")</f>
        <v/>
      </c>
      <c r="AC38">
        <f>HYPERLINK("https://klasma.github.io/Logging_1485/tillsyn/A 29691-2023 tillsynsbegäran.docx", "A 29691-2023")</f>
        <v/>
      </c>
      <c r="AD38">
        <f>HYPERLINK("https://klasma.github.io/Logging_1485/tillsynsmail/A 29691-2023 tillsynsbegäran mail.docx", "A 29691-2023")</f>
        <v/>
      </c>
    </row>
    <row r="39" ht="15" customHeight="1">
      <c r="A39" t="inlineStr">
        <is>
          <t>A 55288-2023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45237</v>
      </c>
      <c r="E39" s="1" t="n">
        <v>46296</v>
      </c>
      <c r="F39" t="inlineStr">
        <is>
          <t>VÄSTRA GÖTALANDS LÄN</t>
        </is>
      </c>
      <c r="G39" t="inlineStr">
        <is>
          <t>UDDEVALLA</t>
        </is>
      </c>
      <c r="I39" t="n">
        <v>5.2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55288-2023 artfynd.xlsx", "A 55288-2023")</f>
        <v/>
      </c>
      <c r="X39">
        <f>HYPERLINK("https://klasma.github.io/Logging_1485/kartor/A 55288-2023 karta.png", "A 55288-2023")</f>
        <v/>
      </c>
      <c r="Y39">
        <f>HYPERLINK("https://klasma.github.io/Logging_1485/kartor_geotiff/A 55288-2023 georefererad karta.tif", "A 55288-2023")</f>
        <v/>
      </c>
      <c r="AA39">
        <f>HYPERLINK("https://klasma.github.io/Logging_1485/klagomål/A 55288-2023 FSC-klagomål.docx", "A 55288-2023")</f>
        <v/>
      </c>
      <c r="AB39">
        <f>HYPERLINK("https://klasma.github.io/Logging_1485/klagomålsmail/A 55288-2023 FSC-klagomål mail.docx", "A 55288-2023")</f>
        <v/>
      </c>
      <c r="AC39">
        <f>HYPERLINK("https://klasma.github.io/Logging_1485/tillsyn/A 55288-2023 tillsynsbegäran.docx", "A 55288-2023")</f>
        <v/>
      </c>
      <c r="AD39">
        <f>HYPERLINK("https://klasma.github.io/Logging_1485/tillsynsmail/A 55288-2023 tillsynsbegäran mail.docx", "A 55288-2023")</f>
        <v/>
      </c>
    </row>
    <row r="40" ht="15" customHeight="1">
      <c r="A40" t="inlineStr">
        <is>
          <t>A 23401-2023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46296</v>
      </c>
      <c r="F40" t="inlineStr">
        <is>
          <t>VÄSTRA GÖTALANDS LÄN</t>
        </is>
      </c>
      <c r="G40" t="inlineStr">
        <is>
          <t>UDDEVALLA</t>
        </is>
      </c>
      <c r="I40" t="n">
        <v>3.3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HYPERLINK("https://klasma.github.io/Logging_1485/artfynd/A 23401-2023 artfynd.xlsx", "A 23401-2023")</f>
        <v/>
      </c>
      <c r="X40">
        <f>HYPERLINK("https://klasma.github.io/Logging_1485/kartor/A 23401-2023 karta.png", "A 23401-2023")</f>
        <v/>
      </c>
      <c r="Y40">
        <f>HYPERLINK("https://klasma.github.io/Logging_1485/kartor_geotiff/A 23401-2023 georefererad karta.tif", "A 23401-2023")</f>
        <v/>
      </c>
      <c r="AA40">
        <f>HYPERLINK("https://klasma.github.io/Logging_1485/klagomål/A 23401-2023 FSC-klagomål.docx", "A 23401-2023")</f>
        <v/>
      </c>
      <c r="AB40">
        <f>HYPERLINK("https://klasma.github.io/Logging_1485/klagomålsmail/A 23401-2023 FSC-klagomål mail.docx", "A 23401-2023")</f>
        <v/>
      </c>
      <c r="AC40">
        <f>HYPERLINK("https://klasma.github.io/Logging_1485/tillsyn/A 23401-2023 tillsynsbegäran.docx", "A 23401-2023")</f>
        <v/>
      </c>
      <c r="AD40">
        <f>HYPERLINK("https://klasma.github.io/Logging_1485/tillsynsmail/A 23401-2023 tillsynsbegäran mail.docx", "A 23401-2023")</f>
        <v/>
      </c>
    </row>
    <row r="41" ht="15" customHeight="1">
      <c r="A41" t="inlineStr">
        <is>
          <t>A 23322-2025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46296</v>
      </c>
      <c r="F41" t="inlineStr">
        <is>
          <t>VÄSTRA GÖTALANDS LÄN</t>
        </is>
      </c>
      <c r="G41" t="inlineStr">
        <is>
          <t>UDDEVALLA</t>
        </is>
      </c>
      <c r="I41" t="n">
        <v>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HYPERLINK("https://klasma.github.io/Logging_1485/artfynd/A 23322-2025 artfynd.xlsx", "A 23322-2025")</f>
        <v/>
      </c>
      <c r="X41">
        <f>HYPERLINK("https://klasma.github.io/Logging_1485/kartor/A 23322-2025 karta.png", "A 23322-2025")</f>
        <v/>
      </c>
      <c r="Y41">
        <f>HYPERLINK("https://klasma.github.io/Logging_1485/kartor_geotiff/A 23322-2025 georefererad karta.tif", "A 23322-2025")</f>
        <v/>
      </c>
      <c r="AA41">
        <f>HYPERLINK("https://klasma.github.io/Logging_1485/klagomål/A 23322-2025 FSC-klagomål.docx", "A 23322-2025")</f>
        <v/>
      </c>
      <c r="AB41">
        <f>HYPERLINK("https://klasma.github.io/Logging_1485/klagomålsmail/A 23322-2025 FSC-klagomål mail.docx", "A 23322-2025")</f>
        <v/>
      </c>
      <c r="AC41">
        <f>HYPERLINK("https://klasma.github.io/Logging_1485/tillsyn/A 23322-2025 tillsynsbegäran.docx", "A 23322-2025")</f>
        <v/>
      </c>
      <c r="AD41">
        <f>HYPERLINK("https://klasma.github.io/Logging_1485/tillsynsmail/A 23322-2025 tillsynsbegäran mail.docx", "A 23322-2025")</f>
        <v/>
      </c>
      <c r="AE41">
        <f>HYPERLINK("https://klasma.github.io/Logging_1485/fåglar/A 23322-2025 prioriterade fågelarter.docx", "A 23322-2025")</f>
        <v/>
      </c>
    </row>
    <row r="42" ht="15" customHeight="1">
      <c r="A42" t="inlineStr">
        <is>
          <t>A 495-2023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44930</v>
      </c>
      <c r="E42" s="1" t="n">
        <v>46296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Kommuner</t>
        </is>
      </c>
      <c r="I42" t="n">
        <v>3.7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Grönsångare</t>
        </is>
      </c>
      <c r="W42">
        <f>HYPERLINK("https://klasma.github.io/Logging_1485/artfynd/A 495-2023 artfynd.xlsx", "A 495-2023")</f>
        <v/>
      </c>
      <c r="X42">
        <f>HYPERLINK("https://klasma.github.io/Logging_1485/kartor/A 495-2023 karta.png", "A 495-2023")</f>
        <v/>
      </c>
      <c r="Y42">
        <f>HYPERLINK("https://klasma.github.io/Logging_1485/kartor_geotiff/A 495-2023 georefererad karta.tif", "A 495-2023")</f>
        <v/>
      </c>
      <c r="AA42">
        <f>HYPERLINK("https://klasma.github.io/Logging_1485/klagomål/A 495-2023 FSC-klagomål.docx", "A 495-2023")</f>
        <v/>
      </c>
      <c r="AB42">
        <f>HYPERLINK("https://klasma.github.io/Logging_1485/klagomålsmail/A 495-2023 FSC-klagomål mail.docx", "A 495-2023")</f>
        <v/>
      </c>
      <c r="AC42">
        <f>HYPERLINK("https://klasma.github.io/Logging_1485/tillsyn/A 495-2023 tillsynsbegäran.docx", "A 495-2023")</f>
        <v/>
      </c>
      <c r="AD42">
        <f>HYPERLINK("https://klasma.github.io/Logging_1485/tillsynsmail/A 495-2023 tillsynsbegäran mail.docx", "A 495-2023")</f>
        <v/>
      </c>
      <c r="AE42">
        <f>HYPERLINK("https://klasma.github.io/Logging_1485/fåglar/A 495-2023 prioriterade fågelarter.docx", "A 495-2023")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46296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46296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22603-2023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46296</v>
      </c>
      <c r="F45" t="inlineStr">
        <is>
          <t>VÄSTRA GÖTALANDS LÄN</t>
        </is>
      </c>
      <c r="G45" t="inlineStr">
        <is>
          <t>UDDEVALLA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HYPERLINK("https://klasma.github.io/Logging_1485/artfynd/A 22603-2023 artfynd.xlsx", "A 22603-2023")</f>
        <v/>
      </c>
      <c r="X45">
        <f>HYPERLINK("https://klasma.github.io/Logging_1485/kartor/A 22603-2023 karta.png", "A 22603-2023")</f>
        <v/>
      </c>
      <c r="Y45">
        <f>HYPERLINK("https://klasma.github.io/Logging_1485/kartor_geotiff/A 22603-2023 georefererad karta.tif", "A 22603-2023")</f>
        <v/>
      </c>
      <c r="AA45">
        <f>HYPERLINK("https://klasma.github.io/Logging_1485/klagomål/A 22603-2023 FSC-klagomål.docx", "A 22603-2023")</f>
        <v/>
      </c>
      <c r="AB45">
        <f>HYPERLINK("https://klasma.github.io/Logging_1485/klagomålsmail/A 22603-2023 FSC-klagomål mail.docx", "A 22603-2023")</f>
        <v/>
      </c>
      <c r="AC45">
        <f>HYPERLINK("https://klasma.github.io/Logging_1485/tillsyn/A 22603-2023 tillsynsbegäran.docx", "A 22603-2023")</f>
        <v/>
      </c>
      <c r="AD45">
        <f>HYPERLINK("https://klasma.github.io/Logging_1485/tillsynsmail/A 22603-2023 tillsynsbegäran mail.docx", "A 22603-2023")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46296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50274-2024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46296</v>
      </c>
      <c r="F47" t="inlineStr">
        <is>
          <t>VÄSTRA GÖTALANDS LÄN</t>
        </is>
      </c>
      <c r="G47" t="inlineStr">
        <is>
          <t>UDDEVALLA</t>
        </is>
      </c>
      <c r="I47" t="n">
        <v>20.1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Grönsångare</t>
        </is>
      </c>
      <c r="W47">
        <f>HYPERLINK("https://klasma.github.io/Logging_1485/artfynd/A 50274-2024 artfynd.xlsx", "A 50274-2024")</f>
        <v/>
      </c>
      <c r="X47">
        <f>HYPERLINK("https://klasma.github.io/Logging_1485/kartor/A 50274-2024 karta.png", "A 50274-2024")</f>
        <v/>
      </c>
      <c r="Y47">
        <f>HYPERLINK("https://klasma.github.io/Logging_1485/kartor_geotiff/A 50274-2024 georefererad karta.tif", "A 50274-2024")</f>
        <v/>
      </c>
      <c r="AA47">
        <f>HYPERLINK("https://klasma.github.io/Logging_1485/klagomål/A 50274-2024 FSC-klagomål.docx", "A 50274-2024")</f>
        <v/>
      </c>
      <c r="AB47">
        <f>HYPERLINK("https://klasma.github.io/Logging_1485/klagomålsmail/A 50274-2024 FSC-klagomål mail.docx", "A 50274-2024")</f>
        <v/>
      </c>
      <c r="AC47">
        <f>HYPERLINK("https://klasma.github.io/Logging_1485/tillsyn/A 50274-2024 tillsynsbegäran.docx", "A 50274-2024")</f>
        <v/>
      </c>
      <c r="AD47">
        <f>HYPERLINK("https://klasma.github.io/Logging_1485/tillsynsmail/A 50274-2024 tillsynsbegäran mail.docx", "A 50274-2024")</f>
        <v/>
      </c>
      <c r="AE47">
        <f>HYPERLINK("https://klasma.github.io/Logging_1485/fåglar/A 50274-2024 prioriterade fågelarter.docx", "A 50274-2024")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46296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46296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46296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46296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46296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46296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46296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46296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46296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46296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46296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46296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46296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46296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46296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46296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46296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46296</v>
      </c>
      <c r="F65" t="inlineStr">
        <is>
          <t>VÄSTRA GÖTALANDS LÄN</t>
        </is>
      </c>
      <c r="G65" t="inlineStr">
        <is>
          <t>UDDEVALLA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46296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46296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45633</v>
      </c>
      <c r="E68" s="1" t="n">
        <v>46296</v>
      </c>
      <c r="F68" t="inlineStr">
        <is>
          <t>VÄSTRA GÖTALANDS LÄN</t>
        </is>
      </c>
      <c r="G68" t="inlineStr">
        <is>
          <t>UDDEVALLA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46296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46296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45772</v>
      </c>
      <c r="E71" s="1" t="n">
        <v>46296</v>
      </c>
      <c r="F71" t="inlineStr">
        <is>
          <t>VÄSTRA GÖTALANDS LÄN</t>
        </is>
      </c>
      <c r="G71" t="inlineStr">
        <is>
          <t>UDDEVALLA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46296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46296</v>
      </c>
      <c r="F73" t="inlineStr">
        <is>
          <t>VÄSTRA GÖTALANDS LÄN</t>
        </is>
      </c>
      <c r="G73" t="inlineStr">
        <is>
          <t>UDDEVALLA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45034</v>
      </c>
      <c r="E74" s="1" t="n">
        <v>46296</v>
      </c>
      <c r="F74" t="inlineStr">
        <is>
          <t>VÄSTRA GÖTALANDS LÄN</t>
        </is>
      </c>
      <c r="G74" t="inlineStr">
        <is>
          <t>UDDEVALLA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46296</v>
      </c>
      <c r="F75" t="inlineStr">
        <is>
          <t>VÄSTRA GÖTALANDS LÄN</t>
        </is>
      </c>
      <c r="G75" t="inlineStr">
        <is>
          <t>UDDEVALLA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45141</v>
      </c>
      <c r="E76" s="1" t="n">
        <v>46296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46296</v>
      </c>
      <c r="F77" t="inlineStr">
        <is>
          <t>VÄSTRA GÖTALANDS LÄN</t>
        </is>
      </c>
      <c r="G77" t="inlineStr">
        <is>
          <t>UDDEVALLA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45475</v>
      </c>
      <c r="E78" s="1" t="n">
        <v>46296</v>
      </c>
      <c r="F78" t="inlineStr">
        <is>
          <t>VÄSTRA GÖTALANDS LÄN</t>
        </is>
      </c>
      <c r="G78" t="inlineStr">
        <is>
          <t>UDDEVALLA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46296</v>
      </c>
      <c r="F79" t="inlineStr">
        <is>
          <t>VÄSTRA GÖTALANDS LÄN</t>
        </is>
      </c>
      <c r="G79" t="inlineStr">
        <is>
          <t>UDDEVALLA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69198-2021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44531</v>
      </c>
      <c r="E80" s="1" t="n">
        <v>46296</v>
      </c>
      <c r="F80" t="inlineStr">
        <is>
          <t>VÄSTRA GÖTALANDS LÄN</t>
        </is>
      </c>
      <c r="G80" t="inlineStr">
        <is>
          <t>UDDEVALLA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40121-2024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45554</v>
      </c>
      <c r="E81" s="1" t="n">
        <v>46296</v>
      </c>
      <c r="F81" t="inlineStr">
        <is>
          <t>VÄSTRA GÖTALANDS LÄN</t>
        </is>
      </c>
      <c r="G81" t="inlineStr">
        <is>
          <t>UDDEVALLA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46296</v>
      </c>
      <c r="F82" t="inlineStr">
        <is>
          <t>VÄSTRA GÖTALANDS LÄN</t>
        </is>
      </c>
      <c r="G82" t="inlineStr">
        <is>
          <t>UDDEVALLA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45150</v>
      </c>
      <c r="E83" s="1" t="n">
        <v>46296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45554</v>
      </c>
      <c r="E84" s="1" t="n">
        <v>46296</v>
      </c>
      <c r="F84" t="inlineStr">
        <is>
          <t>VÄSTRA GÖTALANDS LÄN</t>
        </is>
      </c>
      <c r="G84" t="inlineStr">
        <is>
          <t>UDDEVALLA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59674-2023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45255</v>
      </c>
      <c r="E85" s="1" t="n">
        <v>46296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45133</v>
      </c>
      <c r="E86" s="1" t="n">
        <v>46296</v>
      </c>
      <c r="F86" t="inlineStr">
        <is>
          <t>VÄSTRA GÖTALANDS LÄN</t>
        </is>
      </c>
      <c r="G86" t="inlineStr">
        <is>
          <t>UDDEVALLA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32531-2023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45121</v>
      </c>
      <c r="E87" s="1" t="n">
        <v>46296</v>
      </c>
      <c r="F87" t="inlineStr">
        <is>
          <t>VÄSTRA GÖTALANDS LÄN</t>
        </is>
      </c>
      <c r="G87" t="inlineStr">
        <is>
          <t>UDDEVALLA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46296</v>
      </c>
      <c r="F88" t="inlineStr">
        <is>
          <t>VÄSTRA GÖTALANDS LÄN</t>
        </is>
      </c>
      <c r="G88" t="inlineStr">
        <is>
          <t>UDDEVALLA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8893-2024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45355</v>
      </c>
      <c r="E89" s="1" t="n">
        <v>46296</v>
      </c>
      <c r="F89" t="inlineStr">
        <is>
          <t>VÄSTRA GÖTALANDS LÄN</t>
        </is>
      </c>
      <c r="G89" t="inlineStr">
        <is>
          <t>UDDEVALLA</t>
        </is>
      </c>
      <c r="H89" t="inlineStr">
        <is>
          <t>Kyrkan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46296</v>
      </c>
      <c r="F90" t="inlineStr">
        <is>
          <t>VÄSTRA GÖTALANDS LÄN</t>
        </is>
      </c>
      <c r="G90" t="inlineStr">
        <is>
          <t>UDDEVALLA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46296</v>
      </c>
      <c r="F91" t="inlineStr">
        <is>
          <t>VÄSTRA GÖTALANDS LÄN</t>
        </is>
      </c>
      <c r="G91" t="inlineStr">
        <is>
          <t>UDDEVALLA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2306-2022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44578</v>
      </c>
      <c r="E92" s="1" t="n">
        <v>46296</v>
      </c>
      <c r="F92" t="inlineStr">
        <is>
          <t>VÄSTRA GÖTALANDS LÄN</t>
        </is>
      </c>
      <c r="G92" t="inlineStr">
        <is>
          <t>UDDEVALLA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46296</v>
      </c>
      <c r="F93" t="inlineStr">
        <is>
          <t>VÄSTRA GÖTALANDS LÄN</t>
        </is>
      </c>
      <c r="G93" t="inlineStr">
        <is>
          <t>UDDEVALLA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45484</v>
      </c>
      <c r="E94" s="1" t="n">
        <v>46296</v>
      </c>
      <c r="F94" t="inlineStr">
        <is>
          <t>VÄSTRA GÖTALANDS LÄN</t>
        </is>
      </c>
      <c r="G94" t="inlineStr">
        <is>
          <t>UDDEVALLA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46296</v>
      </c>
      <c r="F95" t="inlineStr">
        <is>
          <t>VÄSTRA GÖTALANDS LÄN</t>
        </is>
      </c>
      <c r="G95" t="inlineStr">
        <is>
          <t>UDDEVALLA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46296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46296</v>
      </c>
      <c r="F97" t="inlineStr">
        <is>
          <t>VÄSTRA GÖTALANDS LÄN</t>
        </is>
      </c>
      <c r="G97" t="inlineStr">
        <is>
          <t>UDDEVALLA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46296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44967</v>
      </c>
      <c r="E99" s="1" t="n">
        <v>46296</v>
      </c>
      <c r="F99" t="inlineStr">
        <is>
          <t>VÄSTRA GÖTALANDS LÄN</t>
        </is>
      </c>
      <c r="G99" t="inlineStr">
        <is>
          <t>UDDEVALLA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45183</v>
      </c>
      <c r="E100" s="1" t="n">
        <v>46296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46296</v>
      </c>
      <c r="F101" t="inlineStr">
        <is>
          <t>VÄSTRA GÖTALANDS LÄN</t>
        </is>
      </c>
      <c r="G101" t="inlineStr">
        <is>
          <t>UDDEVALLA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46296</v>
      </c>
      <c r="F102" t="inlineStr">
        <is>
          <t>VÄSTRA GÖTALANDS LÄN</t>
        </is>
      </c>
      <c r="G102" t="inlineStr">
        <is>
          <t>UDDEVALLA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46296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41511-2024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46296</v>
      </c>
      <c r="F104" t="inlineStr">
        <is>
          <t>VÄSTRA GÖTALANDS LÄN</t>
        </is>
      </c>
      <c r="G104" t="inlineStr">
        <is>
          <t>UDDEVALLA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46296</v>
      </c>
      <c r="F105" t="inlineStr">
        <is>
          <t>VÄSTRA GÖTALANDS LÄN</t>
        </is>
      </c>
      <c r="G105" t="inlineStr">
        <is>
          <t>UDDEVALLA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34555-2022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44794</v>
      </c>
      <c r="E106" s="1" t="n">
        <v>46296</v>
      </c>
      <c r="F106" t="inlineStr">
        <is>
          <t>VÄSTRA GÖTALANDS LÄN</t>
        </is>
      </c>
      <c r="G106" t="inlineStr">
        <is>
          <t>UDDEVALLA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46296</v>
      </c>
      <c r="F107" t="inlineStr">
        <is>
          <t>VÄSTRA GÖTALANDS LÄN</t>
        </is>
      </c>
      <c r="G107" t="inlineStr">
        <is>
          <t>UDDEVALLA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46296</v>
      </c>
      <c r="F108" t="inlineStr">
        <is>
          <t>VÄSTRA GÖTALANDS LÄN</t>
        </is>
      </c>
      <c r="G108" t="inlineStr">
        <is>
          <t>UDDEVALLA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46296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46296</v>
      </c>
      <c r="F110" t="inlineStr">
        <is>
          <t>VÄSTRA GÖTALANDS LÄN</t>
        </is>
      </c>
      <c r="G110" t="inlineStr">
        <is>
          <t>UDDEVALLA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46296</v>
      </c>
      <c r="F111" t="inlineStr">
        <is>
          <t>VÄSTRA GÖTALANDS LÄN</t>
        </is>
      </c>
      <c r="G111" t="inlineStr">
        <is>
          <t>UDDEVALLA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46296</v>
      </c>
      <c r="F112" t="inlineStr">
        <is>
          <t>VÄSTRA GÖTALANDS LÄN</t>
        </is>
      </c>
      <c r="G112" t="inlineStr">
        <is>
          <t>UDDEVALLA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46296</v>
      </c>
      <c r="F113" t="inlineStr">
        <is>
          <t>VÄSTRA GÖTALANDS LÄN</t>
        </is>
      </c>
      <c r="G113" t="inlineStr">
        <is>
          <t>UDDEVALLA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46296</v>
      </c>
      <c r="F114" t="inlineStr">
        <is>
          <t>VÄSTRA GÖTALANDS LÄN</t>
        </is>
      </c>
      <c r="G114" t="inlineStr">
        <is>
          <t>UDDEVALLA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45197</v>
      </c>
      <c r="E115" s="1" t="n">
        <v>46296</v>
      </c>
      <c r="F115" t="inlineStr">
        <is>
          <t>VÄSTRA GÖTALANDS LÄN</t>
        </is>
      </c>
      <c r="G115" t="inlineStr">
        <is>
          <t>UDDEVALLA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46296</v>
      </c>
      <c r="F116" t="inlineStr">
        <is>
          <t>VÄSTRA GÖTALANDS LÄN</t>
        </is>
      </c>
      <c r="G116" t="inlineStr">
        <is>
          <t>UDDEVALLA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45097</v>
      </c>
      <c r="E117" s="1" t="n">
        <v>46296</v>
      </c>
      <c r="F117" t="inlineStr">
        <is>
          <t>VÄSTRA GÖTALANDS LÄN</t>
        </is>
      </c>
      <c r="G117" t="inlineStr">
        <is>
          <t>UDDEVALLA</t>
        </is>
      </c>
      <c r="I117" t="n">
        <v>9.699999999999999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44715</v>
      </c>
      <c r="E118" s="1" t="n">
        <v>46296</v>
      </c>
      <c r="F118" t="inlineStr">
        <is>
          <t>VÄSTRA GÖTALANDS LÄN</t>
        </is>
      </c>
      <c r="G118" t="inlineStr">
        <is>
          <t>UDDEVALLA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45484</v>
      </c>
      <c r="E119" s="1" t="n">
        <v>46296</v>
      </c>
      <c r="F119" t="inlineStr">
        <is>
          <t>VÄSTRA GÖTALANDS LÄN</t>
        </is>
      </c>
      <c r="G119" t="inlineStr">
        <is>
          <t>UDDEVALLA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46296</v>
      </c>
      <c r="F120" t="inlineStr">
        <is>
          <t>VÄSTRA GÖTALANDS LÄN</t>
        </is>
      </c>
      <c r="G120" t="inlineStr">
        <is>
          <t>UDDEVALLA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46296</v>
      </c>
      <c r="F121" t="inlineStr">
        <is>
          <t>VÄSTRA GÖTALANDS LÄN</t>
        </is>
      </c>
      <c r="G121" t="inlineStr">
        <is>
          <t>UDDEVALLA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46296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46296</v>
      </c>
      <c r="F123" t="inlineStr">
        <is>
          <t>VÄSTRA GÖTALANDS LÄN</t>
        </is>
      </c>
      <c r="G123" t="inlineStr">
        <is>
          <t>UDDEVALLA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46296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46296</v>
      </c>
      <c r="F125" t="inlineStr">
        <is>
          <t>VÄSTRA GÖTALANDS LÄN</t>
        </is>
      </c>
      <c r="G125" t="inlineStr">
        <is>
          <t>UDDEVALLA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46296</v>
      </c>
      <c r="F126" t="inlineStr">
        <is>
          <t>VÄSTRA GÖTALANDS LÄN</t>
        </is>
      </c>
      <c r="G126" t="inlineStr">
        <is>
          <t>UDDEVALLA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46296</v>
      </c>
      <c r="F127" t="inlineStr">
        <is>
          <t>VÄSTRA GÖTALANDS LÄN</t>
        </is>
      </c>
      <c r="G127" t="inlineStr">
        <is>
          <t>UDDEVALLA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46296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46296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46296</v>
      </c>
      <c r="F130" t="inlineStr">
        <is>
          <t>VÄSTRA GÖTALANDS LÄN</t>
        </is>
      </c>
      <c r="G130" t="inlineStr">
        <is>
          <t>UDDEVALLA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45580</v>
      </c>
      <c r="E131" s="1" t="n">
        <v>46296</v>
      </c>
      <c r="F131" t="inlineStr">
        <is>
          <t>VÄSTRA GÖTALANDS LÄN</t>
        </is>
      </c>
      <c r="G131" t="inlineStr">
        <is>
          <t>UDDEVALLA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46296</v>
      </c>
      <c r="F132" t="inlineStr">
        <is>
          <t>VÄSTRA GÖTALANDS LÄN</t>
        </is>
      </c>
      <c r="G132" t="inlineStr">
        <is>
          <t>UDDEVALLA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46296</v>
      </c>
      <c r="F133" t="inlineStr">
        <is>
          <t>VÄSTRA GÖTALANDS LÄN</t>
        </is>
      </c>
      <c r="G133" t="inlineStr">
        <is>
          <t>UDDEVALLA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46296</v>
      </c>
      <c r="F134" t="inlineStr">
        <is>
          <t>VÄSTRA GÖTALANDS LÄN</t>
        </is>
      </c>
      <c r="G134" t="inlineStr">
        <is>
          <t>UDDEVALLA</t>
        </is>
      </c>
      <c r="I134" t="n">
        <v>12.9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46296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45517</v>
      </c>
      <c r="E136" s="1" t="n">
        <v>46296</v>
      </c>
      <c r="F136" t="inlineStr">
        <is>
          <t>VÄSTRA GÖTALANDS LÄN</t>
        </is>
      </c>
      <c r="G136" t="inlineStr">
        <is>
          <t>UDDEVALLA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44733</v>
      </c>
      <c r="E137" s="1" t="n">
        <v>46296</v>
      </c>
      <c r="F137" t="inlineStr">
        <is>
          <t>VÄSTRA GÖTALANDS LÄN</t>
        </is>
      </c>
      <c r="G137" t="inlineStr">
        <is>
          <t>UDDEVALLA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19980-2025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46296</v>
      </c>
      <c r="F138" t="inlineStr">
        <is>
          <t>VÄSTRA GÖTALANDS LÄN</t>
        </is>
      </c>
      <c r="G138" t="inlineStr">
        <is>
          <t>UDDEVALLA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46296</v>
      </c>
      <c r="F139" t="inlineStr">
        <is>
          <t>VÄSTRA GÖTALANDS LÄN</t>
        </is>
      </c>
      <c r="G139" t="inlineStr">
        <is>
          <t>UDDEVALLA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46296</v>
      </c>
      <c r="F140" t="inlineStr">
        <is>
          <t>VÄSTRA GÖTALANDS LÄN</t>
        </is>
      </c>
      <c r="G140" t="inlineStr">
        <is>
          <t>UDDEVALLA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46296</v>
      </c>
      <c r="F141" t="inlineStr">
        <is>
          <t>VÄSTRA GÖTALANDS LÄN</t>
        </is>
      </c>
      <c r="G141" t="inlineStr">
        <is>
          <t>UDDEVALLA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46296</v>
      </c>
      <c r="F142" t="inlineStr">
        <is>
          <t>VÄSTRA GÖTALANDS LÄN</t>
        </is>
      </c>
      <c r="G142" t="inlineStr">
        <is>
          <t>UDDEVALLA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46296</v>
      </c>
      <c r="F143" t="inlineStr">
        <is>
          <t>VÄSTRA GÖTALANDS LÄN</t>
        </is>
      </c>
      <c r="G143" t="inlineStr">
        <is>
          <t>UDDEVALLA</t>
        </is>
      </c>
      <c r="I143" t="n">
        <v>12.2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46296</v>
      </c>
      <c r="F144" t="inlineStr">
        <is>
          <t>VÄSTRA GÖTALANDS LÄN</t>
        </is>
      </c>
      <c r="G144" t="inlineStr">
        <is>
          <t>UDDEVALLA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46296</v>
      </c>
      <c r="F145" t="inlineStr">
        <is>
          <t>VÄSTRA GÖTALANDS LÄN</t>
        </is>
      </c>
      <c r="G145" t="inlineStr">
        <is>
          <t>UDDEVALLA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46296</v>
      </c>
      <c r="F146" t="inlineStr">
        <is>
          <t>VÄSTRA GÖTALANDS LÄN</t>
        </is>
      </c>
      <c r="G146" t="inlineStr">
        <is>
          <t>UDDEVALLA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63878-2021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44509</v>
      </c>
      <c r="E147" s="1" t="n">
        <v>46296</v>
      </c>
      <c r="F147" t="inlineStr">
        <is>
          <t>VÄSTRA GÖTALANDS LÄN</t>
        </is>
      </c>
      <c r="G147" t="inlineStr">
        <is>
          <t>UDDEVALLA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44634</v>
      </c>
      <c r="E148" s="1" t="n">
        <v>46296</v>
      </c>
      <c r="F148" t="inlineStr">
        <is>
          <t>VÄSTRA GÖTALANDS LÄN</t>
        </is>
      </c>
      <c r="G148" t="inlineStr">
        <is>
          <t>UDDEVALLA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44683</v>
      </c>
      <c r="E149" s="1" t="n">
        <v>46296</v>
      </c>
      <c r="F149" t="inlineStr">
        <is>
          <t>VÄSTRA GÖTALANDS LÄN</t>
        </is>
      </c>
      <c r="G149" t="inlineStr">
        <is>
          <t>UDDEVALLA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46296</v>
      </c>
      <c r="F150" t="inlineStr">
        <is>
          <t>VÄSTRA GÖTALANDS LÄN</t>
        </is>
      </c>
      <c r="G150" t="inlineStr">
        <is>
          <t>UDDEVALLA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46296</v>
      </c>
      <c r="F151" t="inlineStr">
        <is>
          <t>VÄSTRA GÖTALANDS LÄN</t>
        </is>
      </c>
      <c r="G151" t="inlineStr">
        <is>
          <t>UDDEVALLA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46296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46296</v>
      </c>
      <c r="F153" t="inlineStr">
        <is>
          <t>VÄSTRA GÖTALANDS LÄN</t>
        </is>
      </c>
      <c r="G153" t="inlineStr">
        <is>
          <t>UDDEVALLA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46296</v>
      </c>
      <c r="F154" t="inlineStr">
        <is>
          <t>VÄSTRA GÖTALANDS LÄN</t>
        </is>
      </c>
      <c r="G154" t="inlineStr">
        <is>
          <t>UDDEVALLA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46296</v>
      </c>
      <c r="F155" t="inlineStr">
        <is>
          <t>VÄSTRA GÖTALANDS LÄN</t>
        </is>
      </c>
      <c r="G155" t="inlineStr">
        <is>
          <t>UDDEVALLA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45455</v>
      </c>
      <c r="E156" s="1" t="n">
        <v>46296</v>
      </c>
      <c r="F156" t="inlineStr">
        <is>
          <t>VÄSTRA GÖTALANDS LÄN</t>
        </is>
      </c>
      <c r="G156" t="inlineStr">
        <is>
          <t>UDDEVALLA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45667</v>
      </c>
      <c r="E157" s="1" t="n">
        <v>46296</v>
      </c>
      <c r="F157" t="inlineStr">
        <is>
          <t>VÄSTRA GÖTALANDS LÄN</t>
        </is>
      </c>
      <c r="G157" t="inlineStr">
        <is>
          <t>UDDEVALLA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4639-2022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44592</v>
      </c>
      <c r="E158" s="1" t="n">
        <v>46296</v>
      </c>
      <c r="F158" t="inlineStr">
        <is>
          <t>VÄSTRA GÖTALANDS LÄN</t>
        </is>
      </c>
      <c r="G158" t="inlineStr">
        <is>
          <t>UDDEVALLA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46296</v>
      </c>
      <c r="F159" t="inlineStr">
        <is>
          <t>VÄSTRA GÖTALANDS LÄN</t>
        </is>
      </c>
      <c r="G159" t="inlineStr">
        <is>
          <t>UDDEVALLA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46296</v>
      </c>
      <c r="F160" t="inlineStr">
        <is>
          <t>VÄSTRA GÖTALANDS LÄN</t>
        </is>
      </c>
      <c r="G160" t="inlineStr">
        <is>
          <t>UDDEVALLA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46296</v>
      </c>
      <c r="F161" t="inlineStr">
        <is>
          <t>VÄSTRA GÖTALANDS LÄN</t>
        </is>
      </c>
      <c r="G161" t="inlineStr">
        <is>
          <t>UDDEVALLA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46296</v>
      </c>
      <c r="F162" t="inlineStr">
        <is>
          <t>VÄSTRA GÖTALANDS LÄN</t>
        </is>
      </c>
      <c r="G162" t="inlineStr">
        <is>
          <t>UDDEVALLA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45035</v>
      </c>
      <c r="E163" s="1" t="n">
        <v>46296</v>
      </c>
      <c r="F163" t="inlineStr">
        <is>
          <t>VÄSTRA GÖTALANDS LÄN</t>
        </is>
      </c>
      <c r="G163" t="inlineStr">
        <is>
          <t>UDDEVALLA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44624</v>
      </c>
      <c r="E164" s="1" t="n">
        <v>46296</v>
      </c>
      <c r="F164" t="inlineStr">
        <is>
          <t>VÄSTRA GÖTALANDS LÄN</t>
        </is>
      </c>
      <c r="G164" t="inlineStr">
        <is>
          <t>UDDEVALLA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45722</v>
      </c>
      <c r="E165" s="1" t="n">
        <v>46296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46296</v>
      </c>
      <c r="F166" t="inlineStr">
        <is>
          <t>VÄSTRA GÖTALANDS LÄN</t>
        </is>
      </c>
      <c r="G166" t="inlineStr">
        <is>
          <t>UDDEVALLA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46296</v>
      </c>
      <c r="F167" t="inlineStr">
        <is>
          <t>VÄSTRA GÖTALANDS LÄN</t>
        </is>
      </c>
      <c r="G167" t="inlineStr">
        <is>
          <t>UDDEVALLA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46296</v>
      </c>
      <c r="F168" t="inlineStr">
        <is>
          <t>VÄSTRA GÖTALANDS LÄN</t>
        </is>
      </c>
      <c r="G168" t="inlineStr">
        <is>
          <t>UDDEVALLA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46296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46296</v>
      </c>
      <c r="F170" t="inlineStr">
        <is>
          <t>VÄSTRA GÖTALANDS LÄN</t>
        </is>
      </c>
      <c r="G170" t="inlineStr">
        <is>
          <t>UDDEVALLA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46296</v>
      </c>
      <c r="F171" t="inlineStr">
        <is>
          <t>VÄSTRA GÖTALANDS LÄN</t>
        </is>
      </c>
      <c r="G171" t="inlineStr">
        <is>
          <t>UDDEVALLA</t>
        </is>
      </c>
      <c r="H171" t="inlineStr">
        <is>
          <t>Kyrkan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46296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Kyrkan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11076-2025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46296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44820</v>
      </c>
      <c r="E174" s="1" t="n">
        <v>46296</v>
      </c>
      <c r="F174" t="inlineStr">
        <is>
          <t>VÄSTRA GÖTALANDS LÄN</t>
        </is>
      </c>
      <c r="G174" t="inlineStr">
        <is>
          <t>UDDEVALLA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46296</v>
      </c>
      <c r="F175" t="inlineStr">
        <is>
          <t>VÄSTRA GÖTALANDS LÄN</t>
        </is>
      </c>
      <c r="G175" t="inlineStr">
        <is>
          <t>UDDEVALLA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46296</v>
      </c>
      <c r="F176" t="inlineStr">
        <is>
          <t>VÄSTRA GÖTALANDS LÄN</t>
        </is>
      </c>
      <c r="G176" t="inlineStr">
        <is>
          <t>UDDEVALLA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46296</v>
      </c>
      <c r="F177" t="inlineStr">
        <is>
          <t>VÄSTRA GÖTALANDS LÄN</t>
        </is>
      </c>
      <c r="G177" t="inlineStr">
        <is>
          <t>UDDEVALLA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17058-2025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45754</v>
      </c>
      <c r="E178" s="1" t="n">
        <v>46296</v>
      </c>
      <c r="F178" t="inlineStr">
        <is>
          <t>VÄSTRA GÖTALANDS LÄN</t>
        </is>
      </c>
      <c r="G178" t="inlineStr">
        <is>
          <t>UDDEVALLA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58625-2024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45635</v>
      </c>
      <c r="E179" s="1" t="n">
        <v>46296</v>
      </c>
      <c r="F179" t="inlineStr">
        <is>
          <t>VÄSTRA GÖTALANDS LÄN</t>
        </is>
      </c>
      <c r="G179" t="inlineStr">
        <is>
          <t>UDDEVALLA</t>
        </is>
      </c>
      <c r="I179" t="n">
        <v>14.9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46296</v>
      </c>
      <c r="F180" t="inlineStr">
        <is>
          <t>VÄSTRA GÖTALANDS LÄN</t>
        </is>
      </c>
      <c r="G180" t="inlineStr">
        <is>
          <t>UDDEVALLA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46296</v>
      </c>
      <c r="F181" t="inlineStr">
        <is>
          <t>VÄSTRA GÖTALANDS LÄN</t>
        </is>
      </c>
      <c r="G181" t="inlineStr">
        <is>
          <t>UDDEVALLA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46296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46296</v>
      </c>
      <c r="F183" t="inlineStr">
        <is>
          <t>VÄSTRA GÖTALANDS LÄN</t>
        </is>
      </c>
      <c r="G183" t="inlineStr">
        <is>
          <t>UDDEVALLA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46296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46296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46296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46296</v>
      </c>
      <c r="F187" t="inlineStr">
        <is>
          <t>VÄSTRA GÖTALANDS LÄN</t>
        </is>
      </c>
      <c r="G187" t="inlineStr">
        <is>
          <t>UDDEVALLA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46296</v>
      </c>
      <c r="F188" t="inlineStr">
        <is>
          <t>VÄSTRA GÖTALANDS LÄN</t>
        </is>
      </c>
      <c r="G188" t="inlineStr">
        <is>
          <t>UDDEVALLA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46296</v>
      </c>
      <c r="F189" t="inlineStr">
        <is>
          <t>VÄSTRA GÖTALANDS LÄN</t>
        </is>
      </c>
      <c r="G189" t="inlineStr">
        <is>
          <t>UDDEVALLA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46296</v>
      </c>
      <c r="F190" t="inlineStr">
        <is>
          <t>VÄSTRA GÖTALANDS LÄN</t>
        </is>
      </c>
      <c r="G190" t="inlineStr">
        <is>
          <t>UDDEVALLA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46296</v>
      </c>
      <c r="F191" t="inlineStr">
        <is>
          <t>VÄSTRA GÖTALANDS LÄN</t>
        </is>
      </c>
      <c r="G191" t="inlineStr">
        <is>
          <t>UDDEVALLA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45314</v>
      </c>
      <c r="E192" s="1" t="n">
        <v>46296</v>
      </c>
      <c r="F192" t="inlineStr">
        <is>
          <t>VÄSTRA GÖTALANDS LÄN</t>
        </is>
      </c>
      <c r="G192" t="inlineStr">
        <is>
          <t>UDDEVALLA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46296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46296</v>
      </c>
      <c r="F194" t="inlineStr">
        <is>
          <t>VÄSTRA GÖTALANDS LÄN</t>
        </is>
      </c>
      <c r="G194" t="inlineStr">
        <is>
          <t>UDDEVALLA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46296</v>
      </c>
      <c r="F195" t="inlineStr">
        <is>
          <t>VÄSTRA GÖTALANDS LÄN</t>
        </is>
      </c>
      <c r="G195" t="inlineStr">
        <is>
          <t>UDDEVALLA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44655</v>
      </c>
      <c r="E196" s="1" t="n">
        <v>46296</v>
      </c>
      <c r="F196" t="inlineStr">
        <is>
          <t>VÄSTRA GÖTALANDS LÄN</t>
        </is>
      </c>
      <c r="G196" t="inlineStr">
        <is>
          <t>UDDEVALLA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46296</v>
      </c>
      <c r="F197" t="inlineStr">
        <is>
          <t>VÄSTRA GÖTALANDS LÄN</t>
        </is>
      </c>
      <c r="G197" t="inlineStr">
        <is>
          <t>UDDEVALLA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45843</v>
      </c>
      <c r="E198" s="1" t="n">
        <v>46296</v>
      </c>
      <c r="F198" t="inlineStr">
        <is>
          <t>VÄSTRA GÖTALANDS LÄN</t>
        </is>
      </c>
      <c r="G198" t="inlineStr">
        <is>
          <t>UDDEVALLA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46296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46296</v>
      </c>
      <c r="F200" t="inlineStr">
        <is>
          <t>VÄSTRA GÖTALANDS LÄN</t>
        </is>
      </c>
      <c r="G200" t="inlineStr">
        <is>
          <t>UDDEVALLA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46296</v>
      </c>
      <c r="F201" t="inlineStr">
        <is>
          <t>VÄSTRA GÖTALANDS LÄN</t>
        </is>
      </c>
      <c r="G201" t="inlineStr">
        <is>
          <t>UDDEVALLA</t>
        </is>
      </c>
      <c r="I201" t="n">
        <v>12.2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44984</v>
      </c>
      <c r="E202" s="1" t="n">
        <v>46296</v>
      </c>
      <c r="F202" t="inlineStr">
        <is>
          <t>VÄSTRA GÖTALANDS LÄN</t>
        </is>
      </c>
      <c r="G202" t="inlineStr">
        <is>
          <t>UDDEVALLA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44813</v>
      </c>
      <c r="E203" s="1" t="n">
        <v>46296</v>
      </c>
      <c r="F203" t="inlineStr">
        <is>
          <t>VÄSTRA GÖTALANDS LÄN</t>
        </is>
      </c>
      <c r="G203" t="inlineStr">
        <is>
          <t>UDDEVALLA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46296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46296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45239</v>
      </c>
      <c r="E206" s="1" t="n">
        <v>46296</v>
      </c>
      <c r="F206" t="inlineStr">
        <is>
          <t>VÄSTRA GÖTALANDS LÄN</t>
        </is>
      </c>
      <c r="G206" t="inlineStr">
        <is>
          <t>UDDEVALLA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58958-2021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44489</v>
      </c>
      <c r="E207" s="1" t="n">
        <v>46296</v>
      </c>
      <c r="F207" t="inlineStr">
        <is>
          <t>VÄSTRA GÖTALANDS LÄN</t>
        </is>
      </c>
      <c r="G207" t="inlineStr">
        <is>
          <t>UDDEVALLA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46296</v>
      </c>
      <c r="F208" t="inlineStr">
        <is>
          <t>VÄSTRA GÖTALANDS LÄN</t>
        </is>
      </c>
      <c r="G208" t="inlineStr">
        <is>
          <t>UDDEVALLA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45455</v>
      </c>
      <c r="E209" s="1" t="n">
        <v>46296</v>
      </c>
      <c r="F209" t="inlineStr">
        <is>
          <t>VÄSTRA GÖTALANDS LÄN</t>
        </is>
      </c>
      <c r="G209" t="inlineStr">
        <is>
          <t>UDDEVALLA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73437-2021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46296</v>
      </c>
      <c r="F210" t="inlineStr">
        <is>
          <t>VÄSTRA GÖTALANDS LÄN</t>
        </is>
      </c>
      <c r="G210" t="inlineStr">
        <is>
          <t>UDDEVALLA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46296</v>
      </c>
      <c r="F211" t="inlineStr">
        <is>
          <t>VÄSTRA GÖTALANDS LÄN</t>
        </is>
      </c>
      <c r="G211" t="inlineStr">
        <is>
          <t>UDDEVALLA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46296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Kommuner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45656</v>
      </c>
      <c r="E213" s="1" t="n">
        <v>46296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73437-2021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46296</v>
      </c>
      <c r="F214" t="inlineStr">
        <is>
          <t>VÄSTRA GÖTALANDS LÄN</t>
        </is>
      </c>
      <c r="G214" t="inlineStr">
        <is>
          <t>UDDEVALLA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46296</v>
      </c>
      <c r="F215" t="inlineStr">
        <is>
          <t>VÄSTRA GÖTALANDS LÄN</t>
        </is>
      </c>
      <c r="G215" t="inlineStr">
        <is>
          <t>UDDEVALLA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46296</v>
      </c>
      <c r="F216" t="inlineStr">
        <is>
          <t>VÄSTRA GÖTALANDS LÄN</t>
        </is>
      </c>
      <c r="G216" t="inlineStr">
        <is>
          <t>UDDEVALLA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46296</v>
      </c>
      <c r="F217" t="inlineStr">
        <is>
          <t>VÄSTRA GÖTALANDS LÄN</t>
        </is>
      </c>
      <c r="G217" t="inlineStr">
        <is>
          <t>UDDEVALLA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46296</v>
      </c>
      <c r="F218" t="inlineStr">
        <is>
          <t>VÄSTRA GÖTALANDS LÄN</t>
        </is>
      </c>
      <c r="G218" t="inlineStr">
        <is>
          <t>UDDEVALLA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46296</v>
      </c>
      <c r="F219" t="inlineStr">
        <is>
          <t>VÄSTRA GÖTALANDS LÄN</t>
        </is>
      </c>
      <c r="G219" t="inlineStr">
        <is>
          <t>UDDEVALLA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46296</v>
      </c>
      <c r="F220" t="inlineStr">
        <is>
          <t>VÄSTRA GÖTALANDS LÄN</t>
        </is>
      </c>
      <c r="G220" t="inlineStr">
        <is>
          <t>UDDEVALLA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46296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45672</v>
      </c>
      <c r="E222" s="1" t="n">
        <v>46296</v>
      </c>
      <c r="F222" t="inlineStr">
        <is>
          <t>VÄSTRA GÖTALANDS LÄN</t>
        </is>
      </c>
      <c r="G222" t="inlineStr">
        <is>
          <t>UDDEVALLA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46296</v>
      </c>
      <c r="F223" t="inlineStr">
        <is>
          <t>VÄSTRA GÖTALANDS LÄN</t>
        </is>
      </c>
      <c r="G223" t="inlineStr">
        <is>
          <t>UDDEVALLA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46296</v>
      </c>
      <c r="F224" t="inlineStr">
        <is>
          <t>VÄSTRA GÖTALANDS LÄN</t>
        </is>
      </c>
      <c r="G224" t="inlineStr">
        <is>
          <t>UDDEVALLA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46296</v>
      </c>
      <c r="F225" t="inlineStr">
        <is>
          <t>VÄSTRA GÖTALANDS LÄN</t>
        </is>
      </c>
      <c r="G225" t="inlineStr">
        <is>
          <t>UDDEVALLA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46296</v>
      </c>
      <c r="F226" t="inlineStr">
        <is>
          <t>VÄSTRA GÖTALANDS LÄN</t>
        </is>
      </c>
      <c r="G226" t="inlineStr">
        <is>
          <t>UDDEVALLA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51747-2025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46296</v>
      </c>
      <c r="F227" t="inlineStr">
        <is>
          <t>VÄSTRA GÖTALANDS LÄN</t>
        </is>
      </c>
      <c r="G227" t="inlineStr">
        <is>
          <t>UDDEVALLA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46296</v>
      </c>
      <c r="F228" t="inlineStr">
        <is>
          <t>VÄSTRA GÖTALANDS LÄN</t>
        </is>
      </c>
      <c r="G228" t="inlineStr">
        <is>
          <t>UDDEVALLA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46296</v>
      </c>
      <c r="F229" t="inlineStr">
        <is>
          <t>VÄSTRA GÖTALANDS LÄN</t>
        </is>
      </c>
      <c r="G229" t="inlineStr">
        <is>
          <t>UDDEVALLA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46296</v>
      </c>
      <c r="F230" t="inlineStr">
        <is>
          <t>VÄSTRA GÖTALANDS LÄN</t>
        </is>
      </c>
      <c r="G230" t="inlineStr">
        <is>
          <t>UDDEVALLA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44137-2025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45914</v>
      </c>
      <c r="E231" s="1" t="n">
        <v>46296</v>
      </c>
      <c r="F231" t="inlineStr">
        <is>
          <t>VÄSTRA GÖTALANDS LÄN</t>
        </is>
      </c>
      <c r="G231" t="inlineStr">
        <is>
          <t>UDDEVALLA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45914</v>
      </c>
      <c r="E232" s="1" t="n">
        <v>46296</v>
      </c>
      <c r="F232" t="inlineStr">
        <is>
          <t>VÄSTRA GÖTALANDS LÄN</t>
        </is>
      </c>
      <c r="G232" t="inlineStr">
        <is>
          <t>UDDEVALLA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46296</v>
      </c>
      <c r="F233" t="inlineStr">
        <is>
          <t>VÄSTRA GÖTALANDS LÄN</t>
        </is>
      </c>
      <c r="G233" t="inlineStr">
        <is>
          <t>UDDEVALLA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46296</v>
      </c>
      <c r="F234" t="inlineStr">
        <is>
          <t>VÄSTRA GÖTALANDS LÄN</t>
        </is>
      </c>
      <c r="G234" t="inlineStr">
        <is>
          <t>UDDEVALLA</t>
        </is>
      </c>
      <c r="I234" t="n">
        <v>19.4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46296</v>
      </c>
      <c r="F235" t="inlineStr">
        <is>
          <t>VÄSTRA GÖTALANDS LÄN</t>
        </is>
      </c>
      <c r="G235" t="inlineStr">
        <is>
          <t>UDDEVALLA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46296</v>
      </c>
      <c r="F236" t="inlineStr">
        <is>
          <t>VÄSTRA GÖTALANDS LÄN</t>
        </is>
      </c>
      <c r="G236" t="inlineStr">
        <is>
          <t>UDDEVALLA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46296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46296</v>
      </c>
      <c r="F238" t="inlineStr">
        <is>
          <t>VÄSTRA GÖTALANDS LÄN</t>
        </is>
      </c>
      <c r="G238" t="inlineStr">
        <is>
          <t>UDDEVALLA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46296</v>
      </c>
      <c r="F239" t="inlineStr">
        <is>
          <t>VÄSTRA GÖTALANDS LÄN</t>
        </is>
      </c>
      <c r="G239" t="inlineStr">
        <is>
          <t>UDDEVALLA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46296</v>
      </c>
      <c r="F240" t="inlineStr">
        <is>
          <t>VÄSTRA GÖTALANDS LÄN</t>
        </is>
      </c>
      <c r="G240" t="inlineStr">
        <is>
          <t>UDDEVALLA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46296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45656</v>
      </c>
      <c r="E242" s="1" t="n">
        <v>46296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46296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Kommuner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45440</v>
      </c>
      <c r="E244" s="1" t="n">
        <v>46296</v>
      </c>
      <c r="F244" t="inlineStr">
        <is>
          <t>VÄSTRA GÖTALANDS LÄN</t>
        </is>
      </c>
      <c r="G244" t="inlineStr">
        <is>
          <t>UDDEVALLA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46296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46296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Kommuner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46296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46296</v>
      </c>
      <c r="F248" t="inlineStr">
        <is>
          <t>VÄSTRA GÖTALANDS LÄN</t>
        </is>
      </c>
      <c r="G248" t="inlineStr">
        <is>
          <t>UDDEVALLA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60241-2024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45642</v>
      </c>
      <c r="E249" s="1" t="n">
        <v>46296</v>
      </c>
      <c r="F249" t="inlineStr">
        <is>
          <t>VÄSTRA GÖTALANDS LÄN</t>
        </is>
      </c>
      <c r="G249" t="inlineStr">
        <is>
          <t>UDDEVALLA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45985</v>
      </c>
      <c r="E250" s="1" t="n">
        <v>46296</v>
      </c>
      <c r="F250" t="inlineStr">
        <is>
          <t>VÄSTRA GÖTALANDS LÄN</t>
        </is>
      </c>
      <c r="G250" t="inlineStr">
        <is>
          <t>UDDEVALLA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45986</v>
      </c>
      <c r="E251" s="1" t="n">
        <v>46296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46296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46296</v>
      </c>
      <c r="F253" t="inlineStr">
        <is>
          <t>VÄSTRA GÖTALANDS LÄN</t>
        </is>
      </c>
      <c r="G253" t="inlineStr">
        <is>
          <t>UDDEVALLA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46296</v>
      </c>
      <c r="F254" t="inlineStr">
        <is>
          <t>VÄSTRA GÖTALANDS LÄN</t>
        </is>
      </c>
      <c r="G254" t="inlineStr">
        <is>
          <t>UDDEVALLA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46296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46026</v>
      </c>
      <c r="E256" s="1" t="n">
        <v>46296</v>
      </c>
      <c r="F256" t="inlineStr">
        <is>
          <t>VÄSTRA GÖTALANDS LÄN</t>
        </is>
      </c>
      <c r="G256" t="inlineStr">
        <is>
          <t>UDDEVALLA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46296</v>
      </c>
      <c r="F257" t="inlineStr">
        <is>
          <t>VÄSTRA GÖTALANDS LÄN</t>
        </is>
      </c>
      <c r="G257" t="inlineStr">
        <is>
          <t>UDDEVALLA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46296</v>
      </c>
      <c r="F258" t="inlineStr">
        <is>
          <t>VÄSTRA GÖTALANDS LÄN</t>
        </is>
      </c>
      <c r="G258" t="inlineStr">
        <is>
          <t>UDDEVALLA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46296</v>
      </c>
      <c r="F259" t="inlineStr">
        <is>
          <t>VÄSTRA GÖTALANDS LÄN</t>
        </is>
      </c>
      <c r="G259" t="inlineStr">
        <is>
          <t>UDDEVALLA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46296</v>
      </c>
      <c r="F260" t="inlineStr">
        <is>
          <t>VÄSTRA GÖTALANDS LÄN</t>
        </is>
      </c>
      <c r="G260" t="inlineStr">
        <is>
          <t>UDDEVALLA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46296</v>
      </c>
      <c r="F261" t="inlineStr">
        <is>
          <t>VÄSTRA GÖTALANDS LÄN</t>
        </is>
      </c>
      <c r="G261" t="inlineStr">
        <is>
          <t>UDDEVALLA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46296</v>
      </c>
      <c r="F262" t="inlineStr">
        <is>
          <t>VÄSTRA GÖTALANDS LÄN</t>
        </is>
      </c>
      <c r="G262" t="inlineStr">
        <is>
          <t>UDDEVALLA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46062</v>
      </c>
      <c r="E263" s="1" t="n">
        <v>46296</v>
      </c>
      <c r="F263" t="inlineStr">
        <is>
          <t>VÄSTRA GÖTALANDS LÄN</t>
        </is>
      </c>
      <c r="G263" t="inlineStr">
        <is>
          <t>UDDEVALLA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46296</v>
      </c>
      <c r="F264" t="inlineStr">
        <is>
          <t>VÄSTRA GÖTALANDS LÄN</t>
        </is>
      </c>
      <c r="G264" t="inlineStr">
        <is>
          <t>UDDEVALLA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46296</v>
      </c>
      <c r="F265" t="inlineStr">
        <is>
          <t>VÄSTRA GÖTALANDS LÄN</t>
        </is>
      </c>
      <c r="G265" t="inlineStr">
        <is>
          <t>UDDEVALLA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46296</v>
      </c>
      <c r="F266" t="inlineStr">
        <is>
          <t>VÄSTRA GÖTALANDS LÄN</t>
        </is>
      </c>
      <c r="G266" t="inlineStr">
        <is>
          <t>UDDEVALLA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46076</v>
      </c>
      <c r="E267" s="1" t="n">
        <v>46296</v>
      </c>
      <c r="F267" t="inlineStr">
        <is>
          <t>VÄSTRA GÖTALANDS LÄN</t>
        </is>
      </c>
      <c r="G267" t="inlineStr">
        <is>
          <t>UDDEVALLA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46296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46296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46296</v>
      </c>
      <c r="F270" t="inlineStr">
        <is>
          <t>VÄSTRA GÖTALANDS LÄN</t>
        </is>
      </c>
      <c r="G270" t="inlineStr">
        <is>
          <t>UDDEVALLA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46296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46296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46296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46296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46296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Kyrkan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46296</v>
      </c>
      <c r="F276" t="inlineStr">
        <is>
          <t>VÄSTRA GÖTALANDS LÄN</t>
        </is>
      </c>
      <c r="G276" t="inlineStr">
        <is>
          <t>UDDEVALLA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46296</v>
      </c>
      <c r="F277" t="inlineStr">
        <is>
          <t>VÄSTRA GÖTALANDS LÄN</t>
        </is>
      </c>
      <c r="G277" t="inlineStr">
        <is>
          <t>UDDEVALLA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16819-2026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46113</v>
      </c>
      <c r="E278" s="1" t="n">
        <v>46296</v>
      </c>
      <c r="F278" t="inlineStr">
        <is>
          <t>VÄSTRA GÖTALANDS LÄN</t>
        </is>
      </c>
      <c r="G278" t="inlineStr">
        <is>
          <t>UDDEVALLA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46296</v>
      </c>
      <c r="F279" t="inlineStr">
        <is>
          <t>VÄSTRA GÖTALANDS LÄN</t>
        </is>
      </c>
      <c r="G279" t="inlineStr">
        <is>
          <t>UDDEVALLA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46296</v>
      </c>
      <c r="F280" t="inlineStr">
        <is>
          <t>VÄSTRA GÖTALANDS LÄN</t>
        </is>
      </c>
      <c r="G280" t="inlineStr">
        <is>
          <t>UDDEVALLA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46296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46296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46296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46128</v>
      </c>
      <c r="E284" s="1" t="n">
        <v>46296</v>
      </c>
      <c r="F284" t="inlineStr">
        <is>
          <t>VÄSTRA GÖTALANDS LÄN</t>
        </is>
      </c>
      <c r="G284" t="inlineStr">
        <is>
          <t>UDDEVALLA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46296</v>
      </c>
      <c r="F285" t="inlineStr">
        <is>
          <t>VÄSTRA GÖTALANDS LÄN</t>
        </is>
      </c>
      <c r="G285" t="inlineStr">
        <is>
          <t>UDDEVALLA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45059-2025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46296</v>
      </c>
      <c r="F286" t="inlineStr">
        <is>
          <t>VÄSTRA GÖTALANDS LÄN</t>
        </is>
      </c>
      <c r="G286" t="inlineStr">
        <is>
          <t>UDDEVALLA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45907</v>
      </c>
      <c r="E287" s="1" t="n">
        <v>46296</v>
      </c>
      <c r="F287" t="inlineStr">
        <is>
          <t>VÄSTRA GÖTALANDS LÄN</t>
        </is>
      </c>
      <c r="G287" t="inlineStr">
        <is>
          <t>UDDEVALLA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45279</v>
      </c>
      <c r="E288" s="1" t="n">
        <v>46296</v>
      </c>
      <c r="F288" t="inlineStr">
        <is>
          <t>VÄSTRA GÖTALANDS LÄN</t>
        </is>
      </c>
      <c r="G288" t="inlineStr">
        <is>
          <t>UDDEVALLA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46296</v>
      </c>
      <c r="F289" t="inlineStr">
        <is>
          <t>VÄSTRA GÖTALANDS LÄN</t>
        </is>
      </c>
      <c r="G289" t="inlineStr">
        <is>
          <t>UDDEVALLA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45656</v>
      </c>
      <c r="E290" s="1" t="n">
        <v>46296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Kommuner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46296</v>
      </c>
      <c r="F291" t="inlineStr">
        <is>
          <t>VÄSTRA GÖTALANDS LÄN</t>
        </is>
      </c>
      <c r="G291" t="inlineStr">
        <is>
          <t>UDDEVALLA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39395-2025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45889</v>
      </c>
      <c r="E292" s="1" t="n">
        <v>46296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1147-2024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45302</v>
      </c>
      <c r="E293" s="1" t="n">
        <v>46296</v>
      </c>
      <c r="F293" t="inlineStr">
        <is>
          <t>VÄSTRA GÖTALANDS LÄN</t>
        </is>
      </c>
      <c r="G293" t="inlineStr">
        <is>
          <t>UDDEVALLA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46296</v>
      </c>
      <c r="F294" t="inlineStr">
        <is>
          <t>VÄSTRA GÖTALANDS LÄN</t>
        </is>
      </c>
      <c r="G294" t="inlineStr">
        <is>
          <t>UDDEVALLA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20401-2026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46139</v>
      </c>
      <c r="E295" s="1" t="n">
        <v>46296</v>
      </c>
      <c r="F295" t="inlineStr">
        <is>
          <t>VÄSTRA GÖTALANDS LÄN</t>
        </is>
      </c>
      <c r="G295" t="inlineStr">
        <is>
          <t>UDDEVALLA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46296</v>
      </c>
      <c r="F296" t="inlineStr">
        <is>
          <t>VÄSTRA GÖTALANDS LÄN</t>
        </is>
      </c>
      <c r="G296" t="inlineStr">
        <is>
          <t>UDDEVALLA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73007-2021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44550</v>
      </c>
      <c r="E297" s="1" t="n">
        <v>46296</v>
      </c>
      <c r="F297" t="inlineStr">
        <is>
          <t>VÄSTRA GÖTALANDS LÄN</t>
        </is>
      </c>
      <c r="G297" t="inlineStr">
        <is>
          <t>UDDEVALLA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46296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46296</v>
      </c>
      <c r="F299" t="inlineStr">
        <is>
          <t>VÄSTRA GÖTALANDS LÄN</t>
        </is>
      </c>
      <c r="G299" t="inlineStr">
        <is>
          <t>UDDEVALLA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45309</v>
      </c>
      <c r="E300" s="1" t="n">
        <v>46296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46296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Övriga statliga verk och myndigheter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46296</v>
      </c>
      <c r="F302" t="inlineStr">
        <is>
          <t>VÄSTRA GÖTALANDS LÄN</t>
        </is>
      </c>
      <c r="G302" t="inlineStr">
        <is>
          <t>UDDEVALLA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45495</v>
      </c>
      <c r="E303" s="1" t="n">
        <v>46296</v>
      </c>
      <c r="F303" t="inlineStr">
        <is>
          <t>VÄSTRA GÖTALANDS LÄN</t>
        </is>
      </c>
      <c r="G303" t="inlineStr">
        <is>
          <t>UDDEVALLA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46296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46296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46296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46296</v>
      </c>
      <c r="F307" t="inlineStr">
        <is>
          <t>VÄSTRA GÖTALANDS LÄN</t>
        </is>
      </c>
      <c r="G307" t="inlineStr">
        <is>
          <t>UDDEVALLA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46296</v>
      </c>
      <c r="F308" t="inlineStr">
        <is>
          <t>VÄSTRA GÖTALANDS LÄN</t>
        </is>
      </c>
      <c r="G308" t="inlineStr">
        <is>
          <t>UDDEVALLA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25792-2026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46296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46296</v>
      </c>
      <c r="F310" t="inlineStr">
        <is>
          <t>VÄSTRA GÖTALANDS LÄN</t>
        </is>
      </c>
      <c r="G310" t="inlineStr">
        <is>
          <t>UDDEVALLA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46296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46296</v>
      </c>
      <c r="F312" t="inlineStr">
        <is>
          <t>VÄSTRA GÖTALANDS LÄN</t>
        </is>
      </c>
      <c r="G312" t="inlineStr">
        <is>
          <t>UDDEVALLA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46296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46296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Kommuner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46211</v>
      </c>
      <c r="E315" s="1" t="n">
        <v>46296</v>
      </c>
      <c r="F315" t="inlineStr">
        <is>
          <t>VÄSTRA GÖTALANDS LÄN</t>
        </is>
      </c>
      <c r="G315" t="inlineStr">
        <is>
          <t>UDDEVALLA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46212</v>
      </c>
      <c r="E316" s="1" t="n">
        <v>46296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46296</v>
      </c>
      <c r="F317" t="inlineStr">
        <is>
          <t>VÄSTRA GÖTALANDS LÄN</t>
        </is>
      </c>
      <c r="G317" t="inlineStr">
        <is>
          <t>UDDEVALLA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46222</v>
      </c>
      <c r="E318" s="1" t="n">
        <v>46296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46296</v>
      </c>
      <c r="F319" t="inlineStr">
        <is>
          <t>VÄSTRA GÖTALANDS LÄN</t>
        </is>
      </c>
      <c r="G319" t="inlineStr">
        <is>
          <t>UDDEVALLA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46267</v>
      </c>
      <c r="E320" s="1" t="n">
        <v>46296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46296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35947-2026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46296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46296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46296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46296</v>
      </c>
      <c r="F325" t="inlineStr">
        <is>
          <t>VÄSTRA GÖTALANDS LÄN</t>
        </is>
      </c>
      <c r="G325" t="inlineStr">
        <is>
          <t>UDDEVALLA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46296</v>
      </c>
      <c r="F326" t="inlineStr">
        <is>
          <t>VÄSTRA GÖTALANDS LÄN</t>
        </is>
      </c>
      <c r="G326" t="inlineStr">
        <is>
          <t>UDDEVALLA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46288</v>
      </c>
      <c r="E327" s="1" t="n">
        <v>46296</v>
      </c>
      <c r="F327" t="inlineStr">
        <is>
          <t>VÄSTRA GÖTALANDS LÄN</t>
        </is>
      </c>
      <c r="G327" t="inlineStr">
        <is>
          <t>UDDEVALLA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46251</v>
      </c>
      <c r="E328" s="1" t="n">
        <v>46296</v>
      </c>
      <c r="F328" t="inlineStr">
        <is>
          <t>VÄSTRA GÖTALANDS LÄN</t>
        </is>
      </c>
      <c r="G328" t="inlineStr">
        <is>
          <t>UDDEVALLA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46293</v>
      </c>
      <c r="E329" s="1" t="n">
        <v>46296</v>
      </c>
      <c r="F329" t="inlineStr">
        <is>
          <t>VÄSTRA GÖTALANDS LÄN</t>
        </is>
      </c>
      <c r="G329" t="inlineStr">
        <is>
          <t>UDDEVALLA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46296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46296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46296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46296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2026-10-01T02:03:33Z</dcterms:created>
  <dcterms:modified xmlns:dcterms="http://purl.org/dc/terms/" xmlns:xsi="http://www.w3.org/2001/XMLSchema-instance" xsi:type="dcterms:W3CDTF">2026-10-01T02:03:33Z</dcterms:modified>
</cp:coreProperties>
</file>