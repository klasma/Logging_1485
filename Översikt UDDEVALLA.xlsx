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46253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46253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46253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46253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46253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46253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46253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46253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46253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46253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46253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46253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46253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46253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Blåmossa
Västlig hakmossa
Spillkråka</t>
        </is>
      </c>
      <c r="W15">
        <f>HYPERLINK("https://klasma.github.io/Logging_1485/artfynd/A 3435-2024 artfynd.xlsx", "A 3435-2024")</f>
        <v/>
      </c>
      <c r="X15">
        <f>HYPERLINK("https://klasma.github.io/Logging_1485/kartor/A 3435-2024 karta.png", "A 3435-2024")</f>
        <v/>
      </c>
      <c r="Y15">
        <f>HYPERLINK("https://klasma.github.io/Logging_1485/kartor_geotiff/A 3435-2024 georefererad karta.tif", "A 3435-2024")</f>
        <v/>
      </c>
      <c r="AA15">
        <f>HYPERLINK("https://klasma.github.io/Logging_1485/klagomål/A 3435-2024 FSC-klagomål.docx", "A 3435-2024")</f>
        <v/>
      </c>
      <c r="AB15">
        <f>HYPERLINK("https://klasma.github.io/Logging_1485/klagomålsmail/A 3435-2024 FSC-klagomål mail.docx", "A 3435-2024")</f>
        <v/>
      </c>
      <c r="AC15">
        <f>HYPERLINK("https://klasma.github.io/Logging_1485/tillsyn/A 3435-2024 tillsynsbegäran.docx", "A 3435-2024")</f>
        <v/>
      </c>
      <c r="AD15">
        <f>HYPERLINK("https://klasma.github.io/Logging_1485/tillsynsmail/A 3435-2024 tillsynsbegäran mail.docx", "A 3435-2024")</f>
        <v/>
      </c>
      <c r="AE15">
        <f>HYPERLINK("https://klasma.github.io/Logging_1485/fåglar/A 3435-2024 prioriterade fågelarter.docx", "A 3435-2024")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46253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46253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46253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46253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16882-2026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46113</v>
      </c>
      <c r="E20" s="1" t="n">
        <v>46253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Iller
Svinrot</t>
        </is>
      </c>
      <c r="W20">
        <f>HYPERLINK("https://klasma.github.io/Logging_1485/artfynd/A 16882-2026 artfynd.xlsx", "A 16882-2026")</f>
        <v/>
      </c>
      <c r="X20">
        <f>HYPERLINK("https://klasma.github.io/Logging_1485/kartor/A 16882-2026 karta.png", "A 16882-2026")</f>
        <v/>
      </c>
      <c r="Y20">
        <f>HYPERLINK("https://klasma.github.io/Logging_1485/kartor_geotiff/A 16882-2026 georefererad karta.tif", "A 16882-2026")</f>
        <v/>
      </c>
      <c r="AA20">
        <f>HYPERLINK("https://klasma.github.io/Logging_1485/klagomål/A 16882-2026 FSC-klagomål.docx", "A 16882-2026")</f>
        <v/>
      </c>
      <c r="AB20">
        <f>HYPERLINK("https://klasma.github.io/Logging_1485/klagomålsmail/A 16882-2026 FSC-klagomål mail.docx", "A 16882-2026")</f>
        <v/>
      </c>
      <c r="AC20">
        <f>HYPERLINK("https://klasma.github.io/Logging_1485/tillsyn/A 16882-2026 tillsynsbegäran.docx", "A 16882-2026")</f>
        <v/>
      </c>
      <c r="AD20">
        <f>HYPERLINK("https://klasma.github.io/Logging_1485/tillsynsmail/A 16882-2026 tillsynsbegäran mail.docx", "A 16882-2026")</f>
        <v/>
      </c>
    </row>
    <row r="21" ht="15" customHeight="1">
      <c r="A21" t="inlineStr">
        <is>
          <t>A 17995-2026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46124</v>
      </c>
      <c r="E21" s="1" t="n">
        <v>46253</v>
      </c>
      <c r="F21" t="inlineStr">
        <is>
          <t>VÄSTRA GÖTALANDS LÄN</t>
        </is>
      </c>
      <c r="G21" t="inlineStr">
        <is>
          <t>UDDEVALLA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Spillkråka
Revlummer</t>
        </is>
      </c>
      <c r="W21">
        <f>HYPERLINK("https://klasma.github.io/Logging_1485/artfynd/A 17995-2026 artfynd.xlsx", "A 17995-2026")</f>
        <v/>
      </c>
      <c r="X21">
        <f>HYPERLINK("https://klasma.github.io/Logging_1485/kartor/A 17995-2026 karta.png", "A 17995-2026")</f>
        <v/>
      </c>
      <c r="Y21">
        <f>HYPERLINK("https://klasma.github.io/Logging_1485/kartor_geotiff/A 17995-2026 georefererad karta.tif", "A 17995-2026")</f>
        <v/>
      </c>
      <c r="AA21">
        <f>HYPERLINK("https://klasma.github.io/Logging_1485/klagomål/A 17995-2026 FSC-klagomål.docx", "A 17995-2026")</f>
        <v/>
      </c>
      <c r="AB21">
        <f>HYPERLINK("https://klasma.github.io/Logging_1485/klagomålsmail/A 17995-2026 FSC-klagomål mail.docx", "A 17995-2026")</f>
        <v/>
      </c>
      <c r="AC21">
        <f>HYPERLINK("https://klasma.github.io/Logging_1485/tillsyn/A 17995-2026 tillsynsbegäran.docx", "A 17995-2026")</f>
        <v/>
      </c>
      <c r="AD21">
        <f>HYPERLINK("https://klasma.github.io/Logging_1485/tillsynsmail/A 17995-2026 tillsynsbegäran mail.docx", "A 17995-2026")</f>
        <v/>
      </c>
      <c r="AE21">
        <f>HYPERLINK("https://klasma.github.io/Logging_1485/fåglar/A 17995-2026 prioriterade fågelarter.docx", "A 17995-2026")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46253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3432-2024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46253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3.1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Klippfrullania
Västlig hakmossa</t>
        </is>
      </c>
      <c r="W23">
        <f>HYPERLINK("https://klasma.github.io/Logging_1485/artfynd/A 3432-2024 artfynd.xlsx", "A 3432-2024")</f>
        <v/>
      </c>
      <c r="X23">
        <f>HYPERLINK("https://klasma.github.io/Logging_1485/kartor/A 3432-2024 karta.png", "A 3432-2024")</f>
        <v/>
      </c>
      <c r="Y23">
        <f>HYPERLINK("https://klasma.github.io/Logging_1485/kartor_geotiff/A 3432-2024 georefererad karta.tif", "A 3432-2024")</f>
        <v/>
      </c>
      <c r="AA23">
        <f>HYPERLINK("https://klasma.github.io/Logging_1485/klagomål/A 3432-2024 FSC-klagomål.docx", "A 3432-2024")</f>
        <v/>
      </c>
      <c r="AB23">
        <f>HYPERLINK("https://klasma.github.io/Logging_1485/klagomålsmail/A 3432-2024 FSC-klagomål mail.docx", "A 3432-2024")</f>
        <v/>
      </c>
      <c r="AC23">
        <f>HYPERLINK("https://klasma.github.io/Logging_1485/tillsyn/A 3432-2024 tillsynsbegäran.docx", "A 3432-2024")</f>
        <v/>
      </c>
      <c r="AD23">
        <f>HYPERLINK("https://klasma.github.io/Logging_1485/tillsynsmail/A 3432-2024 tillsynsbegäran mail.docx", "A 3432-2024")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46253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46253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32808-2026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46253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5.9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Nordfladdermus
Revlummer</t>
        </is>
      </c>
      <c r="W26">
        <f>HYPERLINK("https://klasma.github.io/Logging_1485/artfynd/A 32808-2026 artfynd.xlsx", "A 32808-2026")</f>
        <v/>
      </c>
      <c r="X26">
        <f>HYPERLINK("https://klasma.github.io/Logging_1485/kartor/A 32808-2026 karta.png", "A 32808-2026")</f>
        <v/>
      </c>
      <c r="Y26">
        <f>HYPERLINK("https://klasma.github.io/Logging_1485/kartor_geotiff/A 32808-2026 georefererad karta.tif", "A 32808-2026")</f>
        <v/>
      </c>
      <c r="AA26">
        <f>HYPERLINK("https://klasma.github.io/Logging_1485/klagomål/A 32808-2026 FSC-klagomål.docx", "A 32808-2026")</f>
        <v/>
      </c>
      <c r="AB26">
        <f>HYPERLINK("https://klasma.github.io/Logging_1485/klagomålsmail/A 32808-2026 FSC-klagomål mail.docx", "A 32808-2026")</f>
        <v/>
      </c>
      <c r="AC26">
        <f>HYPERLINK("https://klasma.github.io/Logging_1485/tillsyn/A 32808-2026 tillsynsbegäran.docx", "A 32808-2026")</f>
        <v/>
      </c>
      <c r="AD26">
        <f>HYPERLINK("https://klasma.github.io/Logging_1485/tillsynsmail/A 32808-2026 tillsynsbegäran mail.docx", "A 32808-2026")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46253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65109-2023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45288</v>
      </c>
      <c r="E28" s="1" t="n">
        <v>46253</v>
      </c>
      <c r="F28" t="inlineStr">
        <is>
          <t>VÄSTRA GÖTALANDS LÄN</t>
        </is>
      </c>
      <c r="G28" t="inlineStr">
        <is>
          <t>UDDEVALLA</t>
        </is>
      </c>
      <c r="I28" t="n">
        <v>1.8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Åttafläckig praktbagge</t>
        </is>
      </c>
      <c r="W28">
        <f>HYPERLINK("https://klasma.github.io/Logging_1485/artfynd/A 65109-2023 artfynd.xlsx", "A 65109-2023")</f>
        <v/>
      </c>
      <c r="X28">
        <f>HYPERLINK("https://klasma.github.io/Logging_1485/kartor/A 65109-2023 karta.png", "A 65109-2023")</f>
        <v/>
      </c>
      <c r="Y28">
        <f>HYPERLINK("https://klasma.github.io/Logging_1485/kartor_geotiff/A 65109-2023 georefererad karta.tif", "A 65109-2023")</f>
        <v/>
      </c>
      <c r="AA28">
        <f>HYPERLINK("https://klasma.github.io/Logging_1485/klagomål/A 65109-2023 FSC-klagomål.docx", "A 65109-2023")</f>
        <v/>
      </c>
      <c r="AB28">
        <f>HYPERLINK("https://klasma.github.io/Logging_1485/klagomålsmail/A 65109-2023 FSC-klagomål mail.docx", "A 65109-2023")</f>
        <v/>
      </c>
      <c r="AC28">
        <f>HYPERLINK("https://klasma.github.io/Logging_1485/tillsyn/A 65109-2023 tillsynsbegäran.docx", "A 65109-2023")</f>
        <v/>
      </c>
      <c r="AD28">
        <f>HYPERLINK("https://klasma.github.io/Logging_1485/tillsynsmail/A 65109-2023 tillsynsbegäran mail.docx", "A 65109-2023")</f>
        <v/>
      </c>
    </row>
    <row r="29" ht="15" customHeight="1">
      <c r="A29" t="inlineStr">
        <is>
          <t>A 8666-2024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45352</v>
      </c>
      <c r="E29" s="1" t="n">
        <v>46253</v>
      </c>
      <c r="F29" t="inlineStr">
        <is>
          <t>VÄSTRA GÖTALANDS LÄN</t>
        </is>
      </c>
      <c r="G29" t="inlineStr">
        <is>
          <t>UDDEVALLA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6</v>
      </c>
      <c r="V29" s="2" t="inlineStr">
        <is>
          <t>Västlig hakmossa
Spillkråka</t>
        </is>
      </c>
      <c r="W29">
        <f>HYPERLINK("https://klasma.github.io/Logging_1485/artfynd/A 8666-2024 artfynd.xlsx", "A 8666-2024")</f>
        <v/>
      </c>
      <c r="X29">
        <f>HYPERLINK("https://klasma.github.io/Logging_1485/kartor/A 8666-2024 karta.png", "A 8666-2024")</f>
        <v/>
      </c>
      <c r="Y29">
        <f>HYPERLINK("https://klasma.github.io/Logging_1485/kartor_geotiff/A 8666-2024 georefererad karta.tif", "A 8666-2024")</f>
        <v/>
      </c>
      <c r="AA29">
        <f>HYPERLINK("https://klasma.github.io/Logging_1485/klagomål/A 8666-2024 FSC-klagomål.docx", "A 8666-2024")</f>
        <v/>
      </c>
      <c r="AB29">
        <f>HYPERLINK("https://klasma.github.io/Logging_1485/klagomålsmail/A 8666-2024 FSC-klagomål mail.docx", "A 8666-2024")</f>
        <v/>
      </c>
      <c r="AC29">
        <f>HYPERLINK("https://klasma.github.io/Logging_1485/tillsyn/A 8666-2024 tillsynsbegäran.docx", "A 8666-2024")</f>
        <v/>
      </c>
      <c r="AD29">
        <f>HYPERLINK("https://klasma.github.io/Logging_1485/tillsynsmail/A 8666-2024 tillsynsbegäran mail.docx", "A 8666-2024")</f>
        <v/>
      </c>
      <c r="AE29">
        <f>HYPERLINK("https://klasma.github.io/Logging_1485/fåglar/A 8666-2024 prioriterade fågelarter.docx", "A 8666-2024")</f>
        <v/>
      </c>
    </row>
    <row r="30" ht="15" customHeight="1">
      <c r="A30" t="inlineStr">
        <is>
          <t>A 54440-2021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44472</v>
      </c>
      <c r="E30" s="1" t="n">
        <v>46253</v>
      </c>
      <c r="F30" t="inlineStr">
        <is>
          <t>VÄSTRA GÖTALANDS LÄN</t>
        </is>
      </c>
      <c r="G30" t="inlineStr">
        <is>
          <t>UDDEVALLA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Strutbräken</t>
        </is>
      </c>
      <c r="W30">
        <f>HYPERLINK("https://klasma.github.io/Logging_1485/artfynd/A 54440-2021 artfynd.xlsx", "A 54440-2021")</f>
        <v/>
      </c>
      <c r="X30">
        <f>HYPERLINK("https://klasma.github.io/Logging_1485/kartor/A 54440-2021 karta.png", "A 54440-2021")</f>
        <v/>
      </c>
      <c r="Y30">
        <f>HYPERLINK("https://klasma.github.io/Logging_1485/kartor_geotiff/A 54440-2021 georefererad karta.tif", "A 54440-2021")</f>
        <v/>
      </c>
      <c r="AA30">
        <f>HYPERLINK("https://klasma.github.io/Logging_1485/klagomål/A 54440-2021 FSC-klagomål.docx", "A 54440-2021")</f>
        <v/>
      </c>
      <c r="AB30">
        <f>HYPERLINK("https://klasma.github.io/Logging_1485/klagomålsmail/A 54440-2021 FSC-klagomål mail.docx", "A 54440-2021")</f>
        <v/>
      </c>
      <c r="AC30">
        <f>HYPERLINK("https://klasma.github.io/Logging_1485/tillsyn/A 54440-2021 tillsynsbegäran.docx", "A 54440-2021")</f>
        <v/>
      </c>
      <c r="AD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46253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HYPERLINK("https://klasma.github.io/Logging_1485/artfynd/A 25806-2022 artfynd.xlsx", "A 25806-2022")</f>
        <v/>
      </c>
      <c r="X31">
        <f>HYPERLINK("https://klasma.github.io/Logging_1485/kartor/A 25806-2022 karta.png", "A 25806-2022")</f>
        <v/>
      </c>
      <c r="Y31">
        <f>HYPERLINK("https://klasma.github.io/Logging_1485/kartor_geotiff/A 25806-2022 georefererad karta.tif", "A 25806-2022")</f>
        <v/>
      </c>
      <c r="AA31">
        <f>HYPERLINK("https://klasma.github.io/Logging_1485/klagomål/A 25806-2022 FSC-klagomål.docx", "A 25806-2022")</f>
        <v/>
      </c>
      <c r="AB31">
        <f>HYPERLINK("https://klasma.github.io/Logging_1485/klagomålsmail/A 25806-2022 FSC-klagomål mail.docx", "A 25806-2022")</f>
        <v/>
      </c>
      <c r="AC31">
        <f>HYPERLINK("https://klasma.github.io/Logging_1485/tillsyn/A 25806-2022 tillsynsbegäran.docx", "A 25806-2022")</f>
        <v/>
      </c>
      <c r="AD31">
        <f>HYPERLINK("https://klasma.github.io/Logging_1485/tillsynsmail/A 25806-2022 tillsynsbegäran mail.docx", "A 25806-2022")</f>
        <v/>
      </c>
      <c r="AE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46253</v>
      </c>
      <c r="F32" t="inlineStr">
        <is>
          <t>VÄSTRA GÖTALANDS LÄN</t>
        </is>
      </c>
      <c r="G32" t="inlineStr">
        <is>
          <t>UDDEVALLA</t>
        </is>
      </c>
      <c r="I32" t="n">
        <v>3.2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HYPERLINK("https://klasma.github.io/Logging_1485/artfynd/A 51869-2021 artfynd.xlsx", "A 51869-2021")</f>
        <v/>
      </c>
      <c r="X32">
        <f>HYPERLINK("https://klasma.github.io/Logging_1485/kartor/A 51869-2021 karta.png", "A 51869-2021")</f>
        <v/>
      </c>
      <c r="Y32">
        <f>HYPERLINK("https://klasma.github.io/Logging_1485/kartor_geotiff/A 51869-2021 georefererad karta.tif", "A 51869-2021")</f>
        <v/>
      </c>
      <c r="AA32">
        <f>HYPERLINK("https://klasma.github.io/Logging_1485/klagomål/A 51869-2021 FSC-klagomål.docx", "A 51869-2021")</f>
        <v/>
      </c>
      <c r="AB32">
        <f>HYPERLINK("https://klasma.github.io/Logging_1485/klagomålsmail/A 51869-2021 FSC-klagomål mail.docx", "A 51869-2021")</f>
        <v/>
      </c>
      <c r="AC32">
        <f>HYPERLINK("https://klasma.github.io/Logging_1485/tillsyn/A 51869-2021 tillsynsbegäran.docx", "A 51869-2021")</f>
        <v/>
      </c>
      <c r="AD32">
        <f>HYPERLINK("https://klasma.github.io/Logging_1485/tillsynsmail/A 51869-2021 tillsynsbegäran mail.docx", "A 51869-2021")</f>
        <v/>
      </c>
    </row>
    <row r="33" ht="15" customHeight="1">
      <c r="A33" t="inlineStr">
        <is>
          <t>A 34058-2023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45135</v>
      </c>
      <c r="E33" s="1" t="n">
        <v>46253</v>
      </c>
      <c r="F33" t="inlineStr">
        <is>
          <t>VÄSTRA GÖTALANDS LÄN</t>
        </is>
      </c>
      <c r="G33" t="inlineStr">
        <is>
          <t>UDDEVALLA</t>
        </is>
      </c>
      <c r="I33" t="n">
        <v>1.3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Lundvaxskivling</t>
        </is>
      </c>
      <c r="W33">
        <f>HYPERLINK("https://klasma.github.io/Logging_1485/artfynd/A 34058-2023 artfynd.xlsx", "A 34058-2023")</f>
        <v/>
      </c>
      <c r="X33">
        <f>HYPERLINK("https://klasma.github.io/Logging_1485/kartor/A 34058-2023 karta.png", "A 34058-2023")</f>
        <v/>
      </c>
      <c r="Y33">
        <f>HYPERLINK("https://klasma.github.io/Logging_1485/kartor_geotiff/A 34058-2023 georefererad karta.tif", "A 34058-2023")</f>
        <v/>
      </c>
      <c r="AA33">
        <f>HYPERLINK("https://klasma.github.io/Logging_1485/klagomål/A 34058-2023 FSC-klagomål.docx", "A 34058-2023")</f>
        <v/>
      </c>
      <c r="AB33">
        <f>HYPERLINK("https://klasma.github.io/Logging_1485/klagomålsmail/A 34058-2023 FSC-klagomål mail.docx", "A 34058-2023")</f>
        <v/>
      </c>
      <c r="AC33">
        <f>HYPERLINK("https://klasma.github.io/Logging_1485/tillsyn/A 34058-2023 tillsynsbegäran.docx", "A 34058-2023")</f>
        <v/>
      </c>
      <c r="AD33">
        <f>HYPERLINK("https://klasma.github.io/Logging_1485/tillsynsmail/A 34058-2023 tillsynsbegäran mail.docx", "A 34058-2023")</f>
        <v/>
      </c>
    </row>
    <row r="34" ht="15" customHeight="1">
      <c r="A34" t="inlineStr">
        <is>
          <t>A 495-2023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44930</v>
      </c>
      <c r="E34" s="1" t="n">
        <v>46253</v>
      </c>
      <c r="F34" t="inlineStr">
        <is>
          <t>VÄSTRA GÖTALANDS LÄN</t>
        </is>
      </c>
      <c r="G34" t="inlineStr">
        <is>
          <t>UDDEVALLA</t>
        </is>
      </c>
      <c r="H34" t="inlineStr">
        <is>
          <t>Kommuner</t>
        </is>
      </c>
      <c r="I34" t="n">
        <v>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HYPERLINK("https://klasma.github.io/Logging_1485/artfynd/A 495-2023 artfynd.xlsx", "A 495-2023")</f>
        <v/>
      </c>
      <c r="X34">
        <f>HYPERLINK("https://klasma.github.io/Logging_1485/kartor/A 495-2023 karta.png", "A 495-2023")</f>
        <v/>
      </c>
      <c r="Y34">
        <f>HYPERLINK("https://klasma.github.io/Logging_1485/kartor_geotiff/A 495-2023 georefererad karta.tif", "A 495-2023")</f>
        <v/>
      </c>
      <c r="AA34">
        <f>HYPERLINK("https://klasma.github.io/Logging_1485/klagomål/A 495-2023 FSC-klagomål.docx", "A 495-2023")</f>
        <v/>
      </c>
      <c r="AB34">
        <f>HYPERLINK("https://klasma.github.io/Logging_1485/klagomålsmail/A 495-2023 FSC-klagomål mail.docx", "A 495-2023")</f>
        <v/>
      </c>
      <c r="AC34">
        <f>HYPERLINK("https://klasma.github.io/Logging_1485/tillsyn/A 495-2023 tillsynsbegäran.docx", "A 495-2023")</f>
        <v/>
      </c>
      <c r="AD34">
        <f>HYPERLINK("https://klasma.github.io/Logging_1485/tillsynsmail/A 495-2023 tillsynsbegäran mail.docx", "A 495-2023")</f>
        <v/>
      </c>
      <c r="AE34">
        <f>HYPERLINK("https://klasma.github.io/Logging_1485/fåglar/A 495-2023 prioriterade fågelarter.docx", "A 495-2023")</f>
        <v/>
      </c>
    </row>
    <row r="35" ht="15" customHeight="1">
      <c r="A35" t="inlineStr">
        <is>
          <t>A 30954-2025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46253</v>
      </c>
      <c r="F35" t="inlineStr">
        <is>
          <t>VÄSTRA GÖTALANDS LÄN</t>
        </is>
      </c>
      <c r="G35" t="inlineStr">
        <is>
          <t>UDDEVALLA</t>
        </is>
      </c>
      <c r="I35" t="n">
        <v>11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HYPERLINK("https://klasma.github.io/Logging_1485/artfynd/A 30954-2025 artfynd.xlsx", "A 30954-2025")</f>
        <v/>
      </c>
      <c r="X35">
        <f>HYPERLINK("https://klasma.github.io/Logging_1485/kartor/A 30954-2025 karta.png", "A 30954-2025")</f>
        <v/>
      </c>
      <c r="Y35">
        <f>HYPERLINK("https://klasma.github.io/Logging_1485/kartor_geotiff/A 30954-2025 georefererad karta.tif", "A 30954-2025")</f>
        <v/>
      </c>
      <c r="AA35">
        <f>HYPERLINK("https://klasma.github.io/Logging_1485/klagomål/A 30954-2025 FSC-klagomål.docx", "A 30954-2025")</f>
        <v/>
      </c>
      <c r="AB35">
        <f>HYPERLINK("https://klasma.github.io/Logging_1485/klagomålsmail/A 30954-2025 FSC-klagomål mail.docx", "A 30954-2025")</f>
        <v/>
      </c>
      <c r="AC35">
        <f>HYPERLINK("https://klasma.github.io/Logging_1485/tillsyn/A 30954-2025 tillsynsbegäran.docx", "A 30954-2025")</f>
        <v/>
      </c>
      <c r="AD35">
        <f>HYPERLINK("https://klasma.github.io/Logging_1485/tillsynsmail/A 30954-2025 tillsynsbegäran mail.docx", "A 30954-2025")</f>
        <v/>
      </c>
    </row>
    <row r="36" ht="15" customHeight="1">
      <c r="A36" t="inlineStr">
        <is>
          <t>A 9424-2026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46071</v>
      </c>
      <c r="E36" s="1" t="n">
        <v>46253</v>
      </c>
      <c r="F36" t="inlineStr">
        <is>
          <t>VÄSTRA GÖTALANDS LÄN</t>
        </is>
      </c>
      <c r="G36" t="inlineStr">
        <is>
          <t>UDDEVALLA</t>
        </is>
      </c>
      <c r="I36" t="n">
        <v>4.3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Flotagräs</t>
        </is>
      </c>
      <c r="W36">
        <f>HYPERLINK("https://klasma.github.io/Logging_1485/artfynd/A 9424-2026 artfynd.xlsx", "A 9424-2026")</f>
        <v/>
      </c>
      <c r="X36">
        <f>HYPERLINK("https://klasma.github.io/Logging_1485/kartor/A 9424-2026 karta.png", "A 9424-2026")</f>
        <v/>
      </c>
      <c r="Y36">
        <f>HYPERLINK("https://klasma.github.io/Logging_1485/kartor_geotiff/A 9424-2026 georefererad karta.tif", "A 9424-2026")</f>
        <v/>
      </c>
      <c r="AA36">
        <f>HYPERLINK("https://klasma.github.io/Logging_1485/klagomål/A 9424-2026 FSC-klagomål.docx", "A 9424-2026")</f>
        <v/>
      </c>
      <c r="AB36">
        <f>HYPERLINK("https://klasma.github.io/Logging_1485/klagomålsmail/A 9424-2026 FSC-klagomål mail.docx", "A 9424-2026")</f>
        <v/>
      </c>
      <c r="AC36">
        <f>HYPERLINK("https://klasma.github.io/Logging_1485/tillsyn/A 9424-2026 tillsynsbegäran.docx", "A 9424-2026")</f>
        <v/>
      </c>
      <c r="AD36">
        <f>HYPERLINK("https://klasma.github.io/Logging_1485/tillsynsmail/A 9424-2026 tillsynsbegäran mail.docx", "A 9424-2026")</f>
        <v/>
      </c>
    </row>
    <row r="37" ht="15" customHeight="1">
      <c r="A37" t="inlineStr">
        <is>
          <t>A 7770-2024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46253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Kyrkan</t>
        </is>
      </c>
      <c r="I37" t="n">
        <v>6.2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HYPERLINK("https://klasma.github.io/Logging_1485/artfynd/A 7770-2024 artfynd.xlsx", "A 7770-2024")</f>
        <v/>
      </c>
      <c r="X37">
        <f>HYPERLINK("https://klasma.github.io/Logging_1485/kartor/A 7770-2024 karta.png", "A 7770-2024")</f>
        <v/>
      </c>
      <c r="Y37">
        <f>HYPERLINK("https://klasma.github.io/Logging_1485/kartor_geotiff/A 7770-2024 georefererad karta.tif", "A 7770-2024")</f>
        <v/>
      </c>
      <c r="AA37">
        <f>HYPERLINK("https://klasma.github.io/Logging_1485/klagomål/A 7770-2024 FSC-klagomål.docx", "A 7770-2024")</f>
        <v/>
      </c>
      <c r="AB37">
        <f>HYPERLINK("https://klasma.github.io/Logging_1485/klagomålsmail/A 7770-2024 FSC-klagomål mail.docx", "A 7770-2024")</f>
        <v/>
      </c>
      <c r="AC37">
        <f>HYPERLINK("https://klasma.github.io/Logging_1485/tillsyn/A 7770-2024 tillsynsbegäran.docx", "A 7770-2024")</f>
        <v/>
      </c>
      <c r="AD37">
        <f>HYPERLINK("https://klasma.github.io/Logging_1485/tillsynsmail/A 7770-2024 tillsynsbegäran mail.docx", "A 7770-2024")</f>
        <v/>
      </c>
    </row>
    <row r="38" ht="15" customHeight="1">
      <c r="A38" t="inlineStr">
        <is>
          <t>A 10865-2022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46253</v>
      </c>
      <c r="F38" t="inlineStr">
        <is>
          <t>VÄSTRA GÖTALANDS LÄN</t>
        </is>
      </c>
      <c r="G38" t="inlineStr">
        <is>
          <t>UDDEVALLA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HYPERLINK("https://klasma.github.io/Logging_1485/artfynd/A 10865-2022 artfynd.xlsx", "A 10865-2022")</f>
        <v/>
      </c>
      <c r="X38">
        <f>HYPERLINK("https://klasma.github.io/Logging_1485/kartor/A 10865-2022 karta.png", "A 10865-2022")</f>
        <v/>
      </c>
      <c r="Y38">
        <f>HYPERLINK("https://klasma.github.io/Logging_1485/kartor_geotiff/A 10865-2022 georefererad karta.tif", "A 10865-2022")</f>
        <v/>
      </c>
      <c r="AA38">
        <f>HYPERLINK("https://klasma.github.io/Logging_1485/klagomål/A 10865-2022 FSC-klagomål.docx", "A 10865-2022")</f>
        <v/>
      </c>
      <c r="AB38">
        <f>HYPERLINK("https://klasma.github.io/Logging_1485/klagomålsmail/A 10865-2022 FSC-klagomål mail.docx", "A 10865-2022")</f>
        <v/>
      </c>
      <c r="AC38">
        <f>HYPERLINK("https://klasma.github.io/Logging_1485/tillsyn/A 10865-2022 tillsynsbegäran.docx", "A 10865-2022")</f>
        <v/>
      </c>
      <c r="AD38">
        <f>HYPERLINK("https://klasma.github.io/Logging_1485/tillsynsmail/A 10865-2022 tillsynsbegäran mail.docx", "A 10865-2022")</f>
        <v/>
      </c>
    </row>
    <row r="39" ht="15" customHeight="1">
      <c r="A39" t="inlineStr">
        <is>
          <t>A 29691-2023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46253</v>
      </c>
      <c r="F39" t="inlineStr">
        <is>
          <t>VÄSTRA GÖTALANDS LÄN</t>
        </is>
      </c>
      <c r="G39" t="inlineStr">
        <is>
          <t>UDDEVALLA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Kopparödla</t>
        </is>
      </c>
      <c r="W39">
        <f>HYPERLINK("https://klasma.github.io/Logging_1485/artfynd/A 29691-2023 artfynd.xlsx", "A 29691-2023")</f>
        <v/>
      </c>
      <c r="X39">
        <f>HYPERLINK("https://klasma.github.io/Logging_1485/kartor/A 29691-2023 karta.png", "A 29691-2023")</f>
        <v/>
      </c>
      <c r="Y39">
        <f>HYPERLINK("https://klasma.github.io/Logging_1485/kartor_geotiff/A 29691-2023 georefererad karta.tif", "A 29691-2023")</f>
        <v/>
      </c>
      <c r="AA39">
        <f>HYPERLINK("https://klasma.github.io/Logging_1485/klagomål/A 29691-2023 FSC-klagomål.docx", "A 29691-2023")</f>
        <v/>
      </c>
      <c r="AB39">
        <f>HYPERLINK("https://klasma.github.io/Logging_1485/klagomålsmail/A 29691-2023 FSC-klagomål mail.docx", "A 29691-2023")</f>
        <v/>
      </c>
      <c r="AC39">
        <f>HYPERLINK("https://klasma.github.io/Logging_1485/tillsyn/A 29691-2023 tillsynsbegäran.docx", "A 29691-2023")</f>
        <v/>
      </c>
      <c r="AD39">
        <f>HYPERLINK("https://klasma.github.io/Logging_1485/tillsynsmail/A 29691-2023 tillsynsbegäran mail.docx", "A 29691-2023")</f>
        <v/>
      </c>
    </row>
    <row r="40" ht="15" customHeight="1">
      <c r="A40" t="inlineStr">
        <is>
          <t>A 50274-2024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46253</v>
      </c>
      <c r="F40" t="inlineStr">
        <is>
          <t>VÄSTRA GÖTALANDS LÄN</t>
        </is>
      </c>
      <c r="G40" t="inlineStr">
        <is>
          <t>UDDEVALLA</t>
        </is>
      </c>
      <c r="I40" t="n">
        <v>20.1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Grönsångare</t>
        </is>
      </c>
      <c r="W40">
        <f>HYPERLINK("https://klasma.github.io/Logging_1485/artfynd/A 50274-2024 artfynd.xlsx", "A 50274-2024")</f>
        <v/>
      </c>
      <c r="X40">
        <f>HYPERLINK("https://klasma.github.io/Logging_1485/kartor/A 50274-2024 karta.png", "A 50274-2024")</f>
        <v/>
      </c>
      <c r="Y40">
        <f>HYPERLINK("https://klasma.github.io/Logging_1485/kartor_geotiff/A 50274-2024 georefererad karta.tif", "A 50274-2024")</f>
        <v/>
      </c>
      <c r="AA40">
        <f>HYPERLINK("https://klasma.github.io/Logging_1485/klagomål/A 50274-2024 FSC-klagomål.docx", "A 50274-2024")</f>
        <v/>
      </c>
      <c r="AB40">
        <f>HYPERLINK("https://klasma.github.io/Logging_1485/klagomålsmail/A 50274-2024 FSC-klagomål mail.docx", "A 50274-2024")</f>
        <v/>
      </c>
      <c r="AC40">
        <f>HYPERLINK("https://klasma.github.io/Logging_1485/tillsyn/A 50274-2024 tillsynsbegäran.docx", "A 50274-2024")</f>
        <v/>
      </c>
      <c r="AD40">
        <f>HYPERLINK("https://klasma.github.io/Logging_1485/tillsynsmail/A 50274-2024 tillsynsbegäran mail.docx", "A 50274-2024")</f>
        <v/>
      </c>
      <c r="AE40">
        <f>HYPERLINK("https://klasma.github.io/Logging_1485/fåglar/A 50274-2024 prioriterade fågelarter.docx", "A 50274-2024")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46253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46253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HYPERLINK("https://klasma.github.io/Logging_1485/artfynd/A 2429-2026 artfynd.xlsx", "A 2429-2026")</f>
        <v/>
      </c>
      <c r="X42">
        <f>HYPERLINK("https://klasma.github.io/Logging_1485/kartor/A 2429-2026 karta.png", "A 2429-2026")</f>
        <v/>
      </c>
      <c r="Y42">
        <f>HYPERLINK("https://klasma.github.io/Logging_1485/kartor_geotiff/A 2429-2026 georefererad karta.tif", "A 2429-2026")</f>
        <v/>
      </c>
      <c r="AA42">
        <f>HYPERLINK("https://klasma.github.io/Logging_1485/klagomål/A 2429-2026 FSC-klagomål.docx", "A 2429-2026")</f>
        <v/>
      </c>
      <c r="AB42">
        <f>HYPERLINK("https://klasma.github.io/Logging_1485/klagomålsmail/A 2429-2026 FSC-klagomål mail.docx", "A 2429-2026")</f>
        <v/>
      </c>
      <c r="AC42">
        <f>HYPERLINK("https://klasma.github.io/Logging_1485/tillsyn/A 2429-2026 tillsynsbegäran.docx", "A 2429-2026")</f>
        <v/>
      </c>
      <c r="AD42">
        <f>HYPERLINK("https://klasma.github.io/Logging_1485/tillsynsmail/A 2429-2026 tillsynsbegäran mail.docx", "A 2429-2026")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46253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46253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33812-2026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46253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Kyrkan</t>
        </is>
      </c>
      <c r="I45" t="n">
        <v>2.8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HYPERLINK("https://klasma.github.io/Logging_1485/artfynd/A 33812-2026 artfynd.xlsx", "A 33812-2026")</f>
        <v/>
      </c>
      <c r="X45">
        <f>HYPERLINK("https://klasma.github.io/Logging_1485/kartor/A 33812-2026 karta.png", "A 33812-2026")</f>
        <v/>
      </c>
      <c r="Y45">
        <f>HYPERLINK("https://klasma.github.io/Logging_1485/kartor_geotiff/A 33812-2026 georefererad karta.tif", "A 33812-2026")</f>
        <v/>
      </c>
      <c r="AA45">
        <f>HYPERLINK("https://klasma.github.io/Logging_1485/klagomål/A 33812-2026 FSC-klagomål.docx", "A 33812-2026")</f>
        <v/>
      </c>
      <c r="AB45">
        <f>HYPERLINK("https://klasma.github.io/Logging_1485/klagomålsmail/A 33812-2026 FSC-klagomål mail.docx", "A 33812-2026")</f>
        <v/>
      </c>
      <c r="AC45">
        <f>HYPERLINK("https://klasma.github.io/Logging_1485/tillsyn/A 33812-2026 tillsynsbegäran.docx", "A 33812-2026")</f>
        <v/>
      </c>
      <c r="AD45">
        <f>HYPERLINK("https://klasma.github.io/Logging_1485/tillsynsmail/A 33812-2026 tillsynsbegäran mail.docx", "A 33812-2026")</f>
        <v/>
      </c>
    </row>
    <row r="46" ht="15" customHeight="1">
      <c r="A46" t="inlineStr">
        <is>
          <t>A 236-2023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44928</v>
      </c>
      <c r="E46" s="1" t="n">
        <v>46253</v>
      </c>
      <c r="F46" t="inlineStr">
        <is>
          <t>VÄSTRA GÖTALANDS LÄN</t>
        </is>
      </c>
      <c r="G46" t="inlineStr">
        <is>
          <t>UDDEVALLA</t>
        </is>
      </c>
      <c r="I46" t="n">
        <v>16.7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Rödgul trumpetsvamp</t>
        </is>
      </c>
      <c r="W46">
        <f>HYPERLINK("https://klasma.github.io/Logging_1485/artfynd/A 236-2023 artfynd.xlsx", "A 236-2023")</f>
        <v/>
      </c>
      <c r="X46">
        <f>HYPERLINK("https://klasma.github.io/Logging_1485/kartor/A 236-2023 karta.png", "A 236-2023")</f>
        <v/>
      </c>
      <c r="Y46">
        <f>HYPERLINK("https://klasma.github.io/Logging_1485/kartor_geotiff/A 236-2023 georefererad karta.tif", "A 236-2023")</f>
        <v/>
      </c>
      <c r="AA46">
        <f>HYPERLINK("https://klasma.github.io/Logging_1485/klagomål/A 236-2023 FSC-klagomål.docx", "A 236-2023")</f>
        <v/>
      </c>
      <c r="AB46">
        <f>HYPERLINK("https://klasma.github.io/Logging_1485/klagomålsmail/A 236-2023 FSC-klagomål mail.docx", "A 236-2023")</f>
        <v/>
      </c>
      <c r="AC46">
        <f>HYPERLINK("https://klasma.github.io/Logging_1485/tillsyn/A 236-2023 tillsynsbegäran.docx", "A 236-2023")</f>
        <v/>
      </c>
      <c r="AD46">
        <f>HYPERLINK("https://klasma.github.io/Logging_1485/tillsynsmail/A 236-2023 tillsynsbegäran mail.docx", "A 236-2023")</f>
        <v/>
      </c>
    </row>
    <row r="47" ht="15" customHeight="1">
      <c r="A47" t="inlineStr">
        <is>
          <t>A 23401-2023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45076</v>
      </c>
      <c r="E47" s="1" t="n">
        <v>46253</v>
      </c>
      <c r="F47" t="inlineStr">
        <is>
          <t>VÄSTRA GÖTALANDS LÄN</t>
        </is>
      </c>
      <c r="G47" t="inlineStr">
        <is>
          <t>UDDEVALLA</t>
        </is>
      </c>
      <c r="I47" t="n">
        <v>3.3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Vedticka</t>
        </is>
      </c>
      <c r="W47">
        <f>HYPERLINK("https://klasma.github.io/Logging_1485/artfynd/A 23401-2023 artfynd.xlsx", "A 23401-2023")</f>
        <v/>
      </c>
      <c r="X47">
        <f>HYPERLINK("https://klasma.github.io/Logging_1485/kartor/A 23401-2023 karta.png", "A 23401-2023")</f>
        <v/>
      </c>
      <c r="Y47">
        <f>HYPERLINK("https://klasma.github.io/Logging_1485/kartor_geotiff/A 23401-2023 georefererad karta.tif", "A 23401-2023")</f>
        <v/>
      </c>
      <c r="AA47">
        <f>HYPERLINK("https://klasma.github.io/Logging_1485/klagomål/A 23401-2023 FSC-klagomål.docx", "A 23401-2023")</f>
        <v/>
      </c>
      <c r="AB47">
        <f>HYPERLINK("https://klasma.github.io/Logging_1485/klagomålsmail/A 23401-2023 FSC-klagomål mail.docx", "A 23401-2023")</f>
        <v/>
      </c>
      <c r="AC47">
        <f>HYPERLINK("https://klasma.github.io/Logging_1485/tillsyn/A 23401-2023 tillsynsbegäran.docx", "A 23401-2023")</f>
        <v/>
      </c>
      <c r="AD47">
        <f>HYPERLINK("https://klasma.github.io/Logging_1485/tillsynsmail/A 23401-2023 tillsynsbegäran mail.docx", "A 23401-2023")</f>
        <v/>
      </c>
    </row>
    <row r="48" ht="15" customHeight="1">
      <c r="A48" t="inlineStr">
        <is>
          <t>A 23322-2025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46253</v>
      </c>
      <c r="F48" t="inlineStr">
        <is>
          <t>VÄSTRA GÖTALANDS LÄN</t>
        </is>
      </c>
      <c r="G48" t="inlineStr">
        <is>
          <t>UDDEVALLA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Kungsörn</t>
        </is>
      </c>
      <c r="W48">
        <f>HYPERLINK("https://klasma.github.io/Logging_1485/artfynd/A 23322-2025 artfynd.xlsx", "A 23322-2025")</f>
        <v/>
      </c>
      <c r="X48">
        <f>HYPERLINK("https://klasma.github.io/Logging_1485/kartor/A 23322-2025 karta.png", "A 23322-2025")</f>
        <v/>
      </c>
      <c r="Y48">
        <f>HYPERLINK("https://klasma.github.io/Logging_1485/kartor_geotiff/A 23322-2025 georefererad karta.tif", "A 23322-2025")</f>
        <v/>
      </c>
      <c r="AA48">
        <f>HYPERLINK("https://klasma.github.io/Logging_1485/klagomål/A 23322-2025 FSC-klagomål.docx", "A 23322-2025")</f>
        <v/>
      </c>
      <c r="AB48">
        <f>HYPERLINK("https://klasma.github.io/Logging_1485/klagomålsmail/A 23322-2025 FSC-klagomål mail.docx", "A 23322-2025")</f>
        <v/>
      </c>
      <c r="AC48">
        <f>HYPERLINK("https://klasma.github.io/Logging_1485/tillsyn/A 23322-2025 tillsynsbegäran.docx", "A 23322-2025")</f>
        <v/>
      </c>
      <c r="AD48">
        <f>HYPERLINK("https://klasma.github.io/Logging_1485/tillsynsmail/A 23322-2025 tillsynsbegäran mail.docx", "A 23322-2025")</f>
        <v/>
      </c>
      <c r="AE48">
        <f>HYPERLINK("https://klasma.github.io/Logging_1485/fåglar/A 23322-2025 prioriterade fågelarter.docx", "A 23322-2025")</f>
        <v/>
      </c>
    </row>
    <row r="49" ht="15" customHeight="1">
      <c r="A49" t="inlineStr">
        <is>
          <t>S 337-2024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45328</v>
      </c>
      <c r="E49" s="1" t="n">
        <v>46253</v>
      </c>
      <c r="F49" t="inlineStr">
        <is>
          <t>VÄSTRA GÖTALANDS LÄN</t>
        </is>
      </c>
      <c r="G49" t="inlineStr">
        <is>
          <t>UDDEVALLA</t>
        </is>
      </c>
      <c r="I49" t="n">
        <v>38.5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HYPERLINK("https://klasma.github.io/Logging_1485/artfynd/S 337-2024 artfynd.xlsx", "S 337-2024")</f>
        <v/>
      </c>
      <c r="X49">
        <f>HYPERLINK("https://klasma.github.io/Logging_1485/kartor/S 337-2024 karta.png", "S 337-2024")</f>
        <v/>
      </c>
      <c r="Y49">
        <f>HYPERLINK("https://klasma.github.io/Logging_1485/kartor_geotiff/S 337-2024 georefererad karta.tif", "S 337-2024")</f>
        <v/>
      </c>
      <c r="AA49">
        <f>HYPERLINK("https://klasma.github.io/Logging_1485/klagomål/S 337-2024 FSC-klagomål.docx", "S 337-2024")</f>
        <v/>
      </c>
      <c r="AB49">
        <f>HYPERLINK("https://klasma.github.io/Logging_1485/klagomålsmail/S 337-2024 FSC-klagomål mail.docx", "S 337-2024")</f>
        <v/>
      </c>
      <c r="AC49">
        <f>HYPERLINK("https://klasma.github.io/Logging_1485/tillsyn/S 337-2024 tillsynsbegäran.docx", "S 337-2024")</f>
        <v/>
      </c>
      <c r="AD49">
        <f>HYPERLINK("https://klasma.github.io/Logging_1485/tillsynsmail/S 337-2024 tillsynsbegäran mail.docx", "S 337-2024")</f>
        <v/>
      </c>
      <c r="AE49">
        <f>HYPERLINK("https://klasma.github.io/Logging_1485/fåglar/S 337-2024 prioriterade fågelarter.docx", "S 337-2024")</f>
        <v/>
      </c>
    </row>
    <row r="50" ht="15" customHeight="1">
      <c r="A50" t="inlineStr">
        <is>
          <t>A 3607-2022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46253</v>
      </c>
      <c r="F50" t="inlineStr">
        <is>
          <t>VÄSTRA GÖTALANDS LÄN</t>
        </is>
      </c>
      <c r="G50" t="inlineStr">
        <is>
          <t>UDDEVALLA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46253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48088-2021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44449</v>
      </c>
      <c r="E52" s="1" t="n">
        <v>46253</v>
      </c>
      <c r="F52" t="inlineStr">
        <is>
          <t>VÄSTRA GÖTALANDS LÄN</t>
        </is>
      </c>
      <c r="G52" t="inlineStr">
        <is>
          <t>UDDEVALLA</t>
        </is>
      </c>
      <c r="H52" t="inlineStr">
        <is>
          <t>Kyrkan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46253</v>
      </c>
      <c r="F53" t="inlineStr">
        <is>
          <t>VÄSTRA GÖTALANDS LÄN</t>
        </is>
      </c>
      <c r="G53" t="inlineStr">
        <is>
          <t>UDDEVALLA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25811-2022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46253</v>
      </c>
      <c r="F54" t="inlineStr">
        <is>
          <t>VÄSTRA GÖTALANDS LÄN</t>
        </is>
      </c>
      <c r="G54" t="inlineStr">
        <is>
          <t>UDDEVALLA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44445</v>
      </c>
      <c r="E55" s="1" t="n">
        <v>46253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46253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46253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44462</v>
      </c>
      <c r="E58" s="1" t="n">
        <v>46253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46253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46253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46253</v>
      </c>
      <c r="F61" t="inlineStr">
        <is>
          <t>VÄSTRA GÖTALANDS LÄN</t>
        </is>
      </c>
      <c r="G61" t="inlineStr">
        <is>
          <t>UDDEVALLA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46253</v>
      </c>
      <c r="F62" t="inlineStr">
        <is>
          <t>VÄSTRA GÖTALANDS LÄN</t>
        </is>
      </c>
      <c r="G62" t="inlineStr">
        <is>
          <t>UDDEVALLA</t>
        </is>
      </c>
      <c r="I62" t="n">
        <v>14.4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46253</v>
      </c>
      <c r="F63" t="inlineStr">
        <is>
          <t>VÄSTRA GÖTALANDS LÄN</t>
        </is>
      </c>
      <c r="G63" t="inlineStr">
        <is>
          <t>UDDEVALLA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44480</v>
      </c>
      <c r="E64" s="1" t="n">
        <v>46253</v>
      </c>
      <c r="F64" t="inlineStr">
        <is>
          <t>VÄSTRA GÖTALANDS LÄN</t>
        </is>
      </c>
      <c r="G64" t="inlineStr">
        <is>
          <t>UDDEVALLA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46253</v>
      </c>
      <c r="F65" t="inlineStr">
        <is>
          <t>VÄSTRA GÖTALANDS LÄN</t>
        </is>
      </c>
      <c r="G65" t="inlineStr">
        <is>
          <t>UDDEVALLA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46253</v>
      </c>
      <c r="F66" t="inlineStr">
        <is>
          <t>VÄSTRA GÖTALANDS LÄN</t>
        </is>
      </c>
      <c r="G66" t="inlineStr">
        <is>
          <t>UDDEVALLA</t>
        </is>
      </c>
      <c r="H66" t="inlineStr">
        <is>
          <t>Kommuner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46253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46253</v>
      </c>
      <c r="F68" t="inlineStr">
        <is>
          <t>VÄSTRA GÖTALANDS LÄN</t>
        </is>
      </c>
      <c r="G68" t="inlineStr">
        <is>
          <t>UDDEVALLA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46253</v>
      </c>
      <c r="F69" t="inlineStr">
        <is>
          <t>VÄSTRA GÖTALANDS LÄN</t>
        </is>
      </c>
      <c r="G69" t="inlineStr">
        <is>
          <t>UDDEVALLA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46253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46253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44834</v>
      </c>
      <c r="E72" s="1" t="n">
        <v>46253</v>
      </c>
      <c r="F72" t="inlineStr">
        <is>
          <t>VÄSTRA GÖTALANDS LÄN</t>
        </is>
      </c>
      <c r="G72" t="inlineStr">
        <is>
          <t>UDDEVALLA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44794</v>
      </c>
      <c r="E73" s="1" t="n">
        <v>46253</v>
      </c>
      <c r="F73" t="inlineStr">
        <is>
          <t>VÄSTRA GÖTALANDS LÄN</t>
        </is>
      </c>
      <c r="G73" t="inlineStr">
        <is>
          <t>UDDEVALLA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46253</v>
      </c>
      <c r="F74" t="inlineStr">
        <is>
          <t>VÄSTRA GÖTALANDS LÄN</t>
        </is>
      </c>
      <c r="G74" t="inlineStr">
        <is>
          <t>UDDEVALLA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44928</v>
      </c>
      <c r="E75" s="1" t="n">
        <v>46253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45093</v>
      </c>
      <c r="E76" s="1" t="n">
        <v>46253</v>
      </c>
      <c r="F76" t="inlineStr">
        <is>
          <t>VÄSTRA GÖTALANDS LÄN</t>
        </is>
      </c>
      <c r="G76" t="inlineStr">
        <is>
          <t>UDDEVALLA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46253</v>
      </c>
      <c r="F77" t="inlineStr">
        <is>
          <t>VÄSTRA GÖTALANDS LÄN</t>
        </is>
      </c>
      <c r="G77" t="inlineStr">
        <is>
          <t>UDDEVALLA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45374</v>
      </c>
      <c r="E78" s="1" t="n">
        <v>46253</v>
      </c>
      <c r="F78" t="inlineStr">
        <is>
          <t>VÄSTRA GÖTALANDS LÄN</t>
        </is>
      </c>
      <c r="G78" t="inlineStr">
        <is>
          <t>UDDEVALLA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46253</v>
      </c>
      <c r="F79" t="inlineStr">
        <is>
          <t>VÄSTRA GÖTALANDS LÄN</t>
        </is>
      </c>
      <c r="G79" t="inlineStr">
        <is>
          <t>UDDEVALLA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46253</v>
      </c>
      <c r="F80" t="inlineStr">
        <is>
          <t>VÄSTRA GÖTALANDS LÄN</t>
        </is>
      </c>
      <c r="G80" t="inlineStr">
        <is>
          <t>UDDEVALLA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45463</v>
      </c>
      <c r="E81" s="1" t="n">
        <v>46253</v>
      </c>
      <c r="F81" t="inlineStr">
        <is>
          <t>VÄSTRA GÖTALANDS LÄN</t>
        </is>
      </c>
      <c r="G81" t="inlineStr">
        <is>
          <t>UDDEVALLA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45366</v>
      </c>
      <c r="E82" s="1" t="n">
        <v>46253</v>
      </c>
      <c r="F82" t="inlineStr">
        <is>
          <t>VÄSTRA GÖTALANDS LÄN</t>
        </is>
      </c>
      <c r="G82" t="inlineStr">
        <is>
          <t>UDDEVALLA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46253</v>
      </c>
      <c r="F83" t="inlineStr">
        <is>
          <t>VÄSTRA GÖTALANDS LÄN</t>
        </is>
      </c>
      <c r="G83" t="inlineStr">
        <is>
          <t>UDDEVALLA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45484</v>
      </c>
      <c r="E84" s="1" t="n">
        <v>46253</v>
      </c>
      <c r="F84" t="inlineStr">
        <is>
          <t>VÄSTRA GÖTALANDS LÄN</t>
        </is>
      </c>
      <c r="G84" t="inlineStr">
        <is>
          <t>UDDEVALLA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45034</v>
      </c>
      <c r="E85" s="1" t="n">
        <v>46253</v>
      </c>
      <c r="F85" t="inlineStr">
        <is>
          <t>VÄSTRA GÖTALANDS LÄN</t>
        </is>
      </c>
      <c r="G85" t="inlineStr">
        <is>
          <t>UDDEVALLA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45035</v>
      </c>
      <c r="E86" s="1" t="n">
        <v>46253</v>
      </c>
      <c r="F86" t="inlineStr">
        <is>
          <t>VÄSTRA GÖTALANDS LÄN</t>
        </is>
      </c>
      <c r="G86" t="inlineStr">
        <is>
          <t>UDDEVALLA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17242-2023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46253</v>
      </c>
      <c r="F87" t="inlineStr">
        <is>
          <t>VÄSTRA GÖTALANDS LÄN</t>
        </is>
      </c>
      <c r="G87" t="inlineStr">
        <is>
          <t>UDDEVALLA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46253</v>
      </c>
      <c r="F88" t="inlineStr">
        <is>
          <t>VÄSTRA GÖTALANDS LÄN</t>
        </is>
      </c>
      <c r="G88" t="inlineStr">
        <is>
          <t>UDDEVALLA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46253</v>
      </c>
      <c r="F89" t="inlineStr">
        <is>
          <t>VÄSTRA GÖTALANDS LÄN</t>
        </is>
      </c>
      <c r="G89" t="inlineStr">
        <is>
          <t>UDDEVALLA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33092-2024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45517</v>
      </c>
      <c r="E90" s="1" t="n">
        <v>46253</v>
      </c>
      <c r="F90" t="inlineStr">
        <is>
          <t>VÄSTRA GÖTALANDS LÄN</t>
        </is>
      </c>
      <c r="G90" t="inlineStr">
        <is>
          <t>UDDEVALLA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46253</v>
      </c>
      <c r="F91" t="inlineStr">
        <is>
          <t>VÄSTRA GÖTALANDS LÄN</t>
        </is>
      </c>
      <c r="G91" t="inlineStr">
        <is>
          <t>UDDEVALLA</t>
        </is>
      </c>
      <c r="I91" t="n">
        <v>9.699999999999999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45551</v>
      </c>
      <c r="E92" s="1" t="n">
        <v>46253</v>
      </c>
      <c r="F92" t="inlineStr">
        <is>
          <t>VÄSTRA GÖTALANDS LÄN</t>
        </is>
      </c>
      <c r="G92" t="inlineStr">
        <is>
          <t>UDDEVALLA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44624</v>
      </c>
      <c r="E93" s="1" t="n">
        <v>46253</v>
      </c>
      <c r="F93" t="inlineStr">
        <is>
          <t>VÄSTRA GÖTALANDS LÄN</t>
        </is>
      </c>
      <c r="G93" t="inlineStr">
        <is>
          <t>UDDEVALLA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46253</v>
      </c>
      <c r="F94" t="inlineStr">
        <is>
          <t>VÄSTRA GÖTALANDS LÄN</t>
        </is>
      </c>
      <c r="G94" t="inlineStr">
        <is>
          <t>UDDEVALLA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45722</v>
      </c>
      <c r="E95" s="1" t="n">
        <v>46253</v>
      </c>
      <c r="F95" t="inlineStr">
        <is>
          <t>VÄSTRA GÖTALANDS LÄN</t>
        </is>
      </c>
      <c r="G95" t="inlineStr">
        <is>
          <t>UDDEVALLA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46253</v>
      </c>
      <c r="F96" t="inlineStr">
        <is>
          <t>VÄSTRA GÖTALANDS LÄN</t>
        </is>
      </c>
      <c r="G96" t="inlineStr">
        <is>
          <t>UDDEVALLA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39121-2024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46253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45723</v>
      </c>
      <c r="E98" s="1" t="n">
        <v>46253</v>
      </c>
      <c r="F98" t="inlineStr">
        <is>
          <t>VÄSTRA GÖTALANDS LÄN</t>
        </is>
      </c>
      <c r="G98" t="inlineStr">
        <is>
          <t>UDDEVALLA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73437-2021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44551</v>
      </c>
      <c r="E99" s="1" t="n">
        <v>46253</v>
      </c>
      <c r="F99" t="inlineStr">
        <is>
          <t>VÄSTRA GÖTALANDS LÄN</t>
        </is>
      </c>
      <c r="G99" t="inlineStr">
        <is>
          <t>UDDEVALLA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46253</v>
      </c>
      <c r="F100" t="inlineStr">
        <is>
          <t>VÄSTRA GÖTALANDS LÄN</t>
        </is>
      </c>
      <c r="G100" t="inlineStr">
        <is>
          <t>UDDEVALLA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46253</v>
      </c>
      <c r="F101" t="inlineStr">
        <is>
          <t>VÄSTRA GÖTALANDS LÄN</t>
        </is>
      </c>
      <c r="G101" t="inlineStr">
        <is>
          <t>UDDEVALLA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4117-2026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46253</v>
      </c>
      <c r="F102" t="inlineStr">
        <is>
          <t>VÄSTRA GÖTALANDS LÄN</t>
        </is>
      </c>
      <c r="G102" t="inlineStr">
        <is>
          <t>UDDEVALLA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46480-2023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45197</v>
      </c>
      <c r="E103" s="1" t="n">
        <v>46253</v>
      </c>
      <c r="F103" t="inlineStr">
        <is>
          <t>VÄSTRA GÖTALANDS LÄN</t>
        </is>
      </c>
      <c r="G103" t="inlineStr">
        <is>
          <t>UDDEVALLA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4639-2022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44592</v>
      </c>
      <c r="E104" s="1" t="n">
        <v>46253</v>
      </c>
      <c r="F104" t="inlineStr">
        <is>
          <t>VÄSTRA GÖTALANDS LÄN</t>
        </is>
      </c>
      <c r="G104" t="inlineStr">
        <is>
          <t>UDDEVALLA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45633</v>
      </c>
      <c r="E105" s="1" t="n">
        <v>46253</v>
      </c>
      <c r="F105" t="inlineStr">
        <is>
          <t>VÄSTRA GÖTALANDS LÄN</t>
        </is>
      </c>
      <c r="G105" t="inlineStr">
        <is>
          <t>UDDEVALLA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46253</v>
      </c>
      <c r="F106" t="inlineStr">
        <is>
          <t>VÄSTRA GÖTALANDS LÄN</t>
        </is>
      </c>
      <c r="G106" t="inlineStr">
        <is>
          <t>UDDEVALLA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46253</v>
      </c>
      <c r="F107" t="inlineStr">
        <is>
          <t>VÄSTRA GÖTALANDS LÄN</t>
        </is>
      </c>
      <c r="G107" t="inlineStr">
        <is>
          <t>UDDEVALLA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46253</v>
      </c>
      <c r="F108" t="inlineStr">
        <is>
          <t>VÄSTRA GÖTALANDS LÄN</t>
        </is>
      </c>
      <c r="G108" t="inlineStr">
        <is>
          <t>UDDEVALLA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46253</v>
      </c>
      <c r="F109" t="inlineStr">
        <is>
          <t>VÄSTRA GÖTALANDS LÄN</t>
        </is>
      </c>
      <c r="G109" t="inlineStr">
        <is>
          <t>UDDEVALLA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45840</v>
      </c>
      <c r="E110" s="1" t="n">
        <v>46253</v>
      </c>
      <c r="F110" t="inlineStr">
        <is>
          <t>VÄSTRA GÖTALANDS LÄN</t>
        </is>
      </c>
      <c r="G110" t="inlineStr">
        <is>
          <t>UDDEVALLA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46253</v>
      </c>
      <c r="F111" t="inlineStr">
        <is>
          <t>VÄSTRA GÖTALANDS LÄN</t>
        </is>
      </c>
      <c r="G111" t="inlineStr">
        <is>
          <t>UDDEVALLA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46253</v>
      </c>
      <c r="F112" t="inlineStr">
        <is>
          <t>VÄSTRA GÖTALANDS LÄN</t>
        </is>
      </c>
      <c r="G112" t="inlineStr">
        <is>
          <t>UDDEVALLA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45226</v>
      </c>
      <c r="E113" s="1" t="n">
        <v>46253</v>
      </c>
      <c r="F113" t="inlineStr">
        <is>
          <t>VÄSTRA GÖTALANDS LÄN</t>
        </is>
      </c>
      <c r="G113" t="inlineStr">
        <is>
          <t>UDDEVALLA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7868-2026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46062</v>
      </c>
      <c r="E114" s="1" t="n">
        <v>46253</v>
      </c>
      <c r="F114" t="inlineStr">
        <is>
          <t>VÄSTRA GÖTALANDS LÄN</t>
        </is>
      </c>
      <c r="G114" t="inlineStr">
        <is>
          <t>UDDEVALLA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7870-2026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46062</v>
      </c>
      <c r="E115" s="1" t="n">
        <v>46253</v>
      </c>
      <c r="F115" t="inlineStr">
        <is>
          <t>VÄSTRA GÖTALANDS LÄN</t>
        </is>
      </c>
      <c r="G115" t="inlineStr">
        <is>
          <t>UDDEVALLA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46253</v>
      </c>
      <c r="F116" t="inlineStr">
        <is>
          <t>VÄSTRA GÖTALANDS LÄN</t>
        </is>
      </c>
      <c r="G116" t="inlineStr">
        <is>
          <t>UDDEVALLA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9574-2026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46071</v>
      </c>
      <c r="E117" s="1" t="n">
        <v>46253</v>
      </c>
      <c r="F117" t="inlineStr">
        <is>
          <t>VÄSTRA GÖTALANDS LÄN</t>
        </is>
      </c>
      <c r="G117" t="inlineStr">
        <is>
          <t>UDDEVALLA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46253</v>
      </c>
      <c r="F118" t="inlineStr">
        <is>
          <t>VÄSTRA GÖTALANDS LÄN</t>
        </is>
      </c>
      <c r="G118" t="inlineStr">
        <is>
          <t>UDDEVALLA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46253</v>
      </c>
      <c r="F119" t="inlineStr">
        <is>
          <t>VÄSTRA GÖTALANDS LÄN</t>
        </is>
      </c>
      <c r="G119" t="inlineStr">
        <is>
          <t>UDDEVALLA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10436-2026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46076</v>
      </c>
      <c r="E120" s="1" t="n">
        <v>46253</v>
      </c>
      <c r="F120" t="inlineStr">
        <is>
          <t>VÄSTRA GÖTALANDS LÄN</t>
        </is>
      </c>
      <c r="G120" t="inlineStr">
        <is>
          <t>UDDEVALLA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44634</v>
      </c>
      <c r="E121" s="1" t="n">
        <v>46253</v>
      </c>
      <c r="F121" t="inlineStr">
        <is>
          <t>VÄSTRA GÖTALANDS LÄN</t>
        </is>
      </c>
      <c r="G121" t="inlineStr">
        <is>
          <t>UDDEVALLA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59674-2023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45255</v>
      </c>
      <c r="E122" s="1" t="n">
        <v>46253</v>
      </c>
      <c r="F122" t="inlineStr">
        <is>
          <t>VÄSTRA GÖTALANDS LÄN</t>
        </is>
      </c>
      <c r="G122" t="inlineStr">
        <is>
          <t>UDDEVALLA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11465-2026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46083</v>
      </c>
      <c r="E123" s="1" t="n">
        <v>46253</v>
      </c>
      <c r="F123" t="inlineStr">
        <is>
          <t>VÄSTRA GÖTALANDS LÄN</t>
        </is>
      </c>
      <c r="G123" t="inlineStr">
        <is>
          <t>UDDEVALLA</t>
        </is>
      </c>
      <c r="H123" t="inlineStr">
        <is>
          <t>Kyrkan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46253</v>
      </c>
      <c r="F124" t="inlineStr">
        <is>
          <t>VÄSTRA GÖTALANDS LÄN</t>
        </is>
      </c>
      <c r="G124" t="inlineStr">
        <is>
          <t>UDDEVALLA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44956</v>
      </c>
      <c r="E125" s="1" t="n">
        <v>46253</v>
      </c>
      <c r="F125" t="inlineStr">
        <is>
          <t>VÄSTRA GÖTALANDS LÄN</t>
        </is>
      </c>
      <c r="G125" t="inlineStr">
        <is>
          <t>UDDEVALLA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46253</v>
      </c>
      <c r="F126" t="inlineStr">
        <is>
          <t>VÄSTRA GÖTALANDS LÄN</t>
        </is>
      </c>
      <c r="G126" t="inlineStr">
        <is>
          <t>UDDEVALLA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44086-2025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45914</v>
      </c>
      <c r="E127" s="1" t="n">
        <v>46253</v>
      </c>
      <c r="F127" t="inlineStr">
        <is>
          <t>VÄSTRA GÖTALANDS LÄN</t>
        </is>
      </c>
      <c r="G127" t="inlineStr">
        <is>
          <t>UDDEVALLA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46253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46253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Kyrkan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55542-2025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45971</v>
      </c>
      <c r="E130" s="1" t="n">
        <v>46253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Kyrkan</t>
        </is>
      </c>
      <c r="I130" t="n">
        <v>16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45981</v>
      </c>
      <c r="E131" s="1" t="n">
        <v>46253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Kyrkan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45400</v>
      </c>
      <c r="E132" s="1" t="n">
        <v>46253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Kyrkan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46253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Kyrkan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45540</v>
      </c>
      <c r="E134" s="1" t="n">
        <v>46253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Kyrkan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45914</v>
      </c>
      <c r="E135" s="1" t="n">
        <v>46253</v>
      </c>
      <c r="F135" t="inlineStr">
        <is>
          <t>VÄSTRA GÖTALANDS LÄN</t>
        </is>
      </c>
      <c r="G135" t="inlineStr">
        <is>
          <t>UDDEVALLA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46090</v>
      </c>
      <c r="E136" s="1" t="n">
        <v>46253</v>
      </c>
      <c r="F136" t="inlineStr">
        <is>
          <t>VÄSTRA GÖTALANDS LÄN</t>
        </is>
      </c>
      <c r="G136" t="inlineStr">
        <is>
          <t>UDDEVALLA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46090</v>
      </c>
      <c r="E137" s="1" t="n">
        <v>46253</v>
      </c>
      <c r="F137" t="inlineStr">
        <is>
          <t>VÄSTRA GÖTALANDS LÄN</t>
        </is>
      </c>
      <c r="G137" t="inlineStr">
        <is>
          <t>UDDEVALLA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46253</v>
      </c>
      <c r="F138" t="inlineStr">
        <is>
          <t>VÄSTRA GÖTALANDS LÄN</t>
        </is>
      </c>
      <c r="G138" t="inlineStr">
        <is>
          <t>UDDEVALLA</t>
        </is>
      </c>
      <c r="I138" t="n">
        <v>19.4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46253</v>
      </c>
      <c r="F139" t="inlineStr">
        <is>
          <t>VÄSTRA GÖTALANDS LÄN</t>
        </is>
      </c>
      <c r="G139" t="inlineStr">
        <is>
          <t>UDDEVALLA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46253</v>
      </c>
      <c r="F140" t="inlineStr">
        <is>
          <t>VÄSTRA GÖTALANDS LÄN</t>
        </is>
      </c>
      <c r="G140" t="inlineStr">
        <is>
          <t>UDDEVALLA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45843</v>
      </c>
      <c r="E141" s="1" t="n">
        <v>46253</v>
      </c>
      <c r="F141" t="inlineStr">
        <is>
          <t>VÄSTRA GÖTALANDS LÄN</t>
        </is>
      </c>
      <c r="G141" t="inlineStr">
        <is>
          <t>UDDEVALLA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46253</v>
      </c>
      <c r="F142" t="inlineStr">
        <is>
          <t>VÄSTRA GÖTALANDS LÄN</t>
        </is>
      </c>
      <c r="G142" t="inlineStr">
        <is>
          <t>UDDEVALLA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12169-2023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44998</v>
      </c>
      <c r="E143" s="1" t="n">
        <v>46253</v>
      </c>
      <c r="F143" t="inlineStr">
        <is>
          <t>VÄSTRA GÖTALANDS LÄN</t>
        </is>
      </c>
      <c r="G143" t="inlineStr">
        <is>
          <t>UDDEVALLA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47083-2025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46253</v>
      </c>
      <c r="F144" t="inlineStr">
        <is>
          <t>VÄSTRA GÖTALANDS LÄN</t>
        </is>
      </c>
      <c r="G144" t="inlineStr">
        <is>
          <t>UDDEVALLA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47103-2025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46253</v>
      </c>
      <c r="F145" t="inlineStr">
        <is>
          <t>VÄSTRA GÖTALANDS LÄN</t>
        </is>
      </c>
      <c r="G145" t="inlineStr">
        <is>
          <t>UDDEVALLA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45121</v>
      </c>
      <c r="E146" s="1" t="n">
        <v>46253</v>
      </c>
      <c r="F146" t="inlineStr">
        <is>
          <t>VÄSTRA GÖTALANDS LÄN</t>
        </is>
      </c>
      <c r="G146" t="inlineStr">
        <is>
          <t>UDDEVALLA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45847</v>
      </c>
      <c r="E147" s="1" t="n">
        <v>46253</v>
      </c>
      <c r="F147" t="inlineStr">
        <is>
          <t>VÄSTRA GÖTALANDS LÄN</t>
        </is>
      </c>
      <c r="G147" t="inlineStr">
        <is>
          <t>UDDEVALLA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47603-2025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46253</v>
      </c>
      <c r="F148" t="inlineStr">
        <is>
          <t>VÄSTRA GÖTALANDS LÄN</t>
        </is>
      </c>
      <c r="G148" t="inlineStr">
        <is>
          <t>UDDEVALLA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46253</v>
      </c>
      <c r="F149" t="inlineStr">
        <is>
          <t>VÄSTRA GÖTALANDS LÄN</t>
        </is>
      </c>
      <c r="G149" t="inlineStr">
        <is>
          <t>UDDEVALLA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29526-2024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45484</v>
      </c>
      <c r="E150" s="1" t="n">
        <v>46253</v>
      </c>
      <c r="F150" t="inlineStr">
        <is>
          <t>VÄSTRA GÖTALANDS LÄN</t>
        </is>
      </c>
      <c r="G150" t="inlineStr">
        <is>
          <t>UDDEVALLA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60241-2024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45642</v>
      </c>
      <c r="E151" s="1" t="n">
        <v>46253</v>
      </c>
      <c r="F151" t="inlineStr">
        <is>
          <t>VÄSTRA GÖTALANDS LÄN</t>
        </is>
      </c>
      <c r="G151" t="inlineStr">
        <is>
          <t>UDDEVALLA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46253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46253</v>
      </c>
      <c r="F153" t="inlineStr">
        <is>
          <t>VÄSTRA GÖTALANDS LÄN</t>
        </is>
      </c>
      <c r="G153" t="inlineStr">
        <is>
          <t>UDDEVALLA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46253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45656</v>
      </c>
      <c r="E155" s="1" t="n">
        <v>46253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Kommuner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46253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45440</v>
      </c>
      <c r="E157" s="1" t="n">
        <v>46253</v>
      </c>
      <c r="F157" t="inlineStr">
        <is>
          <t>VÄSTRA GÖTALANDS LÄN</t>
        </is>
      </c>
      <c r="G157" t="inlineStr">
        <is>
          <t>UDDEVALLA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45656</v>
      </c>
      <c r="E158" s="1" t="n">
        <v>46253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45656</v>
      </c>
      <c r="E159" s="1" t="n">
        <v>46253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Kommuner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45656</v>
      </c>
      <c r="E160" s="1" t="n">
        <v>46253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Kommuner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46253</v>
      </c>
      <c r="F161" t="inlineStr">
        <is>
          <t>VÄSTRA GÖTALANDS LÄN</t>
        </is>
      </c>
      <c r="G161" t="inlineStr">
        <is>
          <t>UDDEVALLA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16819-2026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46113</v>
      </c>
      <c r="E162" s="1" t="n">
        <v>46253</v>
      </c>
      <c r="F162" t="inlineStr">
        <is>
          <t>VÄSTRA GÖTALANDS LÄN</t>
        </is>
      </c>
      <c r="G162" t="inlineStr">
        <is>
          <t>UDDEVALLA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46253</v>
      </c>
      <c r="F163" t="inlineStr">
        <is>
          <t>VÄSTRA GÖTALANDS LÄN</t>
        </is>
      </c>
      <c r="G163" t="inlineStr">
        <is>
          <t>UDDEVALLA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46253</v>
      </c>
      <c r="F164" t="inlineStr">
        <is>
          <t>VÄSTRA GÖTALANDS LÄN</t>
        </is>
      </c>
      <c r="G164" t="inlineStr">
        <is>
          <t>UDDEVALLA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44823</v>
      </c>
      <c r="E165" s="1" t="n">
        <v>46253</v>
      </c>
      <c r="F165" t="inlineStr">
        <is>
          <t>VÄSTRA GÖTALANDS LÄN</t>
        </is>
      </c>
      <c r="G165" t="inlineStr">
        <is>
          <t>UDDEVALLA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46253</v>
      </c>
      <c r="F166" t="inlineStr">
        <is>
          <t>VÄSTRA GÖTALANDS LÄN</t>
        </is>
      </c>
      <c r="G166" t="inlineStr">
        <is>
          <t>UDDEVALLA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46253</v>
      </c>
      <c r="F167" t="inlineStr">
        <is>
          <t>VÄSTRA GÖTALANDS LÄN</t>
        </is>
      </c>
      <c r="G167" t="inlineStr">
        <is>
          <t>UDDEVALLA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46253</v>
      </c>
      <c r="F168" t="inlineStr">
        <is>
          <t>VÄSTRA GÖTALANDS LÄN</t>
        </is>
      </c>
      <c r="G168" t="inlineStr">
        <is>
          <t>UDDEVALLA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46253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46119</v>
      </c>
      <c r="E170" s="1" t="n">
        <v>46253</v>
      </c>
      <c r="F170" t="inlineStr">
        <is>
          <t>VÄSTRA GÖTALANDS LÄN</t>
        </is>
      </c>
      <c r="G170" t="inlineStr">
        <is>
          <t>UDDEVALLA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45771</v>
      </c>
      <c r="E171" s="1" t="n">
        <v>46253</v>
      </c>
      <c r="F171" t="inlineStr">
        <is>
          <t>VÄSTRA GÖTALANDS LÄN</t>
        </is>
      </c>
      <c r="G171" t="inlineStr">
        <is>
          <t>UDDEVALLA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63878-2021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46253</v>
      </c>
      <c r="F172" t="inlineStr">
        <is>
          <t>VÄSTRA GÖTALANDS LÄN</t>
        </is>
      </c>
      <c r="G172" t="inlineStr">
        <is>
          <t>UDDEVALLA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45168</v>
      </c>
      <c r="E173" s="1" t="n">
        <v>46253</v>
      </c>
      <c r="F173" t="inlineStr">
        <is>
          <t>VÄSTRA GÖTALANDS LÄN</t>
        </is>
      </c>
      <c r="G173" t="inlineStr">
        <is>
          <t>UDDEVALLA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51747-2025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45950</v>
      </c>
      <c r="E174" s="1" t="n">
        <v>46253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46120</v>
      </c>
      <c r="E175" s="1" t="n">
        <v>46253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45940</v>
      </c>
      <c r="E176" s="1" t="n">
        <v>46253</v>
      </c>
      <c r="F176" t="inlineStr">
        <is>
          <t>VÄSTRA GÖTALANDS LÄN</t>
        </is>
      </c>
      <c r="G176" t="inlineStr">
        <is>
          <t>UDDEVALLA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45212</v>
      </c>
      <c r="E177" s="1" t="n">
        <v>46253</v>
      </c>
      <c r="F177" t="inlineStr">
        <is>
          <t>VÄSTRA GÖTALANDS LÄN</t>
        </is>
      </c>
      <c r="G177" t="inlineStr">
        <is>
          <t>UDDEVALLA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45588</v>
      </c>
      <c r="E178" s="1" t="n">
        <v>46253</v>
      </c>
      <c r="F178" t="inlineStr">
        <is>
          <t>VÄSTRA GÖTALANDS LÄN</t>
        </is>
      </c>
      <c r="G178" t="inlineStr">
        <is>
          <t>UDDEVALLA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46253</v>
      </c>
      <c r="F179" t="inlineStr">
        <is>
          <t>VÄSTRA GÖTALANDS LÄN</t>
        </is>
      </c>
      <c r="G179" t="inlineStr">
        <is>
          <t>UDDEVALLA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45071</v>
      </c>
      <c r="E180" s="1" t="n">
        <v>46253</v>
      </c>
      <c r="F180" t="inlineStr">
        <is>
          <t>VÄSTRA GÖTALANDS LÄN</t>
        </is>
      </c>
      <c r="G180" t="inlineStr">
        <is>
          <t>UDDEVALLA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46253</v>
      </c>
      <c r="F181" t="inlineStr">
        <is>
          <t>VÄSTRA GÖTALANDS LÄN</t>
        </is>
      </c>
      <c r="G181" t="inlineStr">
        <is>
          <t>UDDEVALLA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46253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Kommuner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45672</v>
      </c>
      <c r="E183" s="1" t="n">
        <v>46253</v>
      </c>
      <c r="F183" t="inlineStr">
        <is>
          <t>VÄSTRA GÖTALANDS LÄN</t>
        </is>
      </c>
      <c r="G183" t="inlineStr">
        <is>
          <t>UDDEVALLA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18207-2026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46125</v>
      </c>
      <c r="E184" s="1" t="n">
        <v>46253</v>
      </c>
      <c r="F184" t="inlineStr">
        <is>
          <t>VÄSTRA GÖTALANDS LÄN</t>
        </is>
      </c>
      <c r="G184" t="inlineStr">
        <is>
          <t>UDDEVALLA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45455</v>
      </c>
      <c r="E185" s="1" t="n">
        <v>46253</v>
      </c>
      <c r="F185" t="inlineStr">
        <is>
          <t>VÄSTRA GÖTALANDS LÄN</t>
        </is>
      </c>
      <c r="G185" t="inlineStr">
        <is>
          <t>UDDEVALLA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46253</v>
      </c>
      <c r="F186" t="inlineStr">
        <is>
          <t>VÄSTRA GÖTALANDS LÄN</t>
        </is>
      </c>
      <c r="G186" t="inlineStr">
        <is>
          <t>UDDEVALLA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46128</v>
      </c>
      <c r="E187" s="1" t="n">
        <v>46253</v>
      </c>
      <c r="F187" t="inlineStr">
        <is>
          <t>VÄSTRA GÖTALANDS LÄN</t>
        </is>
      </c>
      <c r="G187" t="inlineStr">
        <is>
          <t>UDDEVALLA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46128</v>
      </c>
      <c r="E188" s="1" t="n">
        <v>46253</v>
      </c>
      <c r="F188" t="inlineStr">
        <is>
          <t>VÄSTRA GÖTALANDS LÄN</t>
        </is>
      </c>
      <c r="G188" t="inlineStr">
        <is>
          <t>UDDEVALLA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46121</v>
      </c>
      <c r="E189" s="1" t="n">
        <v>46253</v>
      </c>
      <c r="F189" t="inlineStr">
        <is>
          <t>VÄSTRA GÖTALANDS LÄN</t>
        </is>
      </c>
      <c r="G189" t="inlineStr">
        <is>
          <t>UDDEVALLA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17027-2025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46253</v>
      </c>
      <c r="F190" t="inlineStr">
        <is>
          <t>VÄSTRA GÖTALANDS LÄN</t>
        </is>
      </c>
      <c r="G190" t="inlineStr">
        <is>
          <t>UDDEVALLA</t>
        </is>
      </c>
      <c r="I190" t="n">
        <v>12.2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17058-2025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45754</v>
      </c>
      <c r="E191" s="1" t="n">
        <v>46253</v>
      </c>
      <c r="F191" t="inlineStr">
        <is>
          <t>VÄSTRA GÖTALANDS LÄN</t>
        </is>
      </c>
      <c r="G191" t="inlineStr">
        <is>
          <t>UDDEVALLA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43170-2021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44431</v>
      </c>
      <c r="E192" s="1" t="n">
        <v>46253</v>
      </c>
      <c r="F192" t="inlineStr">
        <is>
          <t>VÄSTRA GÖTALANDS LÄN</t>
        </is>
      </c>
      <c r="G192" t="inlineStr">
        <is>
          <t>UDDEVALLA</t>
        </is>
      </c>
      <c r="I192" t="n">
        <v>13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45551</v>
      </c>
      <c r="E193" s="1" t="n">
        <v>46253</v>
      </c>
      <c r="F193" t="inlineStr">
        <is>
          <t>VÄSTRA GÖTALANDS LÄN</t>
        </is>
      </c>
      <c r="G193" t="inlineStr">
        <is>
          <t>UDDEVALLA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46253</v>
      </c>
      <c r="F194" t="inlineStr">
        <is>
          <t>VÄSTRA GÖTALANDS LÄN</t>
        </is>
      </c>
      <c r="G194" t="inlineStr">
        <is>
          <t>UDDEVALLA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1147-2024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45302</v>
      </c>
      <c r="E195" s="1" t="n">
        <v>46253</v>
      </c>
      <c r="F195" t="inlineStr">
        <is>
          <t>VÄSTRA GÖTALANDS LÄN</t>
        </is>
      </c>
      <c r="G195" t="inlineStr">
        <is>
          <t>UDDEVALLA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73437-2021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44551</v>
      </c>
      <c r="E196" s="1" t="n">
        <v>46253</v>
      </c>
      <c r="F196" t="inlineStr">
        <is>
          <t>VÄSTRA GÖTALANDS LÄN</t>
        </is>
      </c>
      <c r="G196" t="inlineStr">
        <is>
          <t>UDDEVALLA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46253</v>
      </c>
      <c r="F197" t="inlineStr">
        <is>
          <t>VÄSTRA GÖTALANDS LÄN</t>
        </is>
      </c>
      <c r="G197" t="inlineStr">
        <is>
          <t>UDDEVALLA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45455</v>
      </c>
      <c r="E198" s="1" t="n">
        <v>46253</v>
      </c>
      <c r="F198" t="inlineStr">
        <is>
          <t>VÄSTRA GÖTALANDS LÄN</t>
        </is>
      </c>
      <c r="G198" t="inlineStr">
        <is>
          <t>UDDEVALLA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46253</v>
      </c>
      <c r="F199" t="inlineStr">
        <is>
          <t>VÄSTRA GÖTALANDS LÄN</t>
        </is>
      </c>
      <c r="G199" t="inlineStr">
        <is>
          <t>UDDEVALLA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46253</v>
      </c>
      <c r="F200" t="inlineStr">
        <is>
          <t>VÄSTRA GÖTALANDS LÄN</t>
        </is>
      </c>
      <c r="G200" t="inlineStr">
        <is>
          <t>UDDEVALLA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45656</v>
      </c>
      <c r="E201" s="1" t="n">
        <v>46253</v>
      </c>
      <c r="F201" t="inlineStr">
        <is>
          <t>VÄSTRA GÖTALANDS LÄN</t>
        </is>
      </c>
      <c r="G201" t="inlineStr">
        <is>
          <t>UDDEVALLA</t>
        </is>
      </c>
      <c r="H201" t="inlineStr">
        <is>
          <t>Kommuner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45907</v>
      </c>
      <c r="E202" s="1" t="n">
        <v>46253</v>
      </c>
      <c r="F202" t="inlineStr">
        <is>
          <t>VÄSTRA GÖTALANDS LÄN</t>
        </is>
      </c>
      <c r="G202" t="inlineStr">
        <is>
          <t>UDDEVALLA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46253</v>
      </c>
      <c r="F203" t="inlineStr">
        <is>
          <t>VÄSTRA GÖTALANDS LÄN</t>
        </is>
      </c>
      <c r="G203" t="inlineStr">
        <is>
          <t>UDDEVALLA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46253</v>
      </c>
      <c r="F204" t="inlineStr">
        <is>
          <t>VÄSTRA GÖTALANDS LÄN</t>
        </is>
      </c>
      <c r="G204" t="inlineStr">
        <is>
          <t>UDDEVALLA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45021</v>
      </c>
      <c r="E205" s="1" t="n">
        <v>46253</v>
      </c>
      <c r="F205" t="inlineStr">
        <is>
          <t>VÄSTRA GÖTALANDS LÄN</t>
        </is>
      </c>
      <c r="G205" t="inlineStr">
        <is>
          <t>UDDEVALLA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46253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46119</v>
      </c>
      <c r="E207" s="1" t="n">
        <v>46253</v>
      </c>
      <c r="F207" t="inlineStr">
        <is>
          <t>VÄSTRA GÖTALANDS LÄN</t>
        </is>
      </c>
      <c r="G207" t="inlineStr">
        <is>
          <t>UDDEVALLA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59474-2022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44900</v>
      </c>
      <c r="E208" s="1" t="n">
        <v>46253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20401-2026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46139</v>
      </c>
      <c r="E209" s="1" t="n">
        <v>46253</v>
      </c>
      <c r="F209" t="inlineStr">
        <is>
          <t>VÄSTRA GÖTALANDS LÄN</t>
        </is>
      </c>
      <c r="G209" t="inlineStr">
        <is>
          <t>UDDEVALLA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46253</v>
      </c>
      <c r="F210" t="inlineStr">
        <is>
          <t>VÄSTRA GÖTALANDS LÄN</t>
        </is>
      </c>
      <c r="G210" t="inlineStr">
        <is>
          <t>UDDEVALLA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46253</v>
      </c>
      <c r="F211" t="inlineStr">
        <is>
          <t>VÄSTRA GÖTALANDS LÄN</t>
        </is>
      </c>
      <c r="G211" t="inlineStr">
        <is>
          <t>UDDEVALLA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63397-2021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46253</v>
      </c>
      <c r="F212" t="inlineStr">
        <is>
          <t>VÄSTRA GÖTALANDS LÄN</t>
        </is>
      </c>
      <c r="G212" t="inlineStr">
        <is>
          <t>UDDEVALLA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64083-2023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46253</v>
      </c>
      <c r="F213" t="inlineStr">
        <is>
          <t>VÄSTRA GÖTALANDS LÄN</t>
        </is>
      </c>
      <c r="G213" t="inlineStr">
        <is>
          <t>UDDEVALLA</t>
        </is>
      </c>
      <c r="I213" t="n">
        <v>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46899-2024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46253</v>
      </c>
      <c r="F214" t="inlineStr">
        <is>
          <t>VÄSTRA GÖTALANDS LÄN</t>
        </is>
      </c>
      <c r="G214" t="inlineStr">
        <is>
          <t>UDDEVALLA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45882</v>
      </c>
      <c r="E215" s="1" t="n">
        <v>46253</v>
      </c>
      <c r="F215" t="inlineStr">
        <is>
          <t>VÄSTRA GÖTALANDS LÄN</t>
        </is>
      </c>
      <c r="G215" t="inlineStr">
        <is>
          <t>UDDEVALLA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45882</v>
      </c>
      <c r="E216" s="1" t="n">
        <v>46253</v>
      </c>
      <c r="F216" t="inlineStr">
        <is>
          <t>VÄSTRA GÖTALANDS LÄN</t>
        </is>
      </c>
      <c r="G216" t="inlineStr">
        <is>
          <t>UDDEVALLA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46253</v>
      </c>
      <c r="F217" t="inlineStr">
        <is>
          <t>VÄSTRA GÖTALANDS LÄN</t>
        </is>
      </c>
      <c r="G217" t="inlineStr">
        <is>
          <t>UDDEVALLA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69198-2021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44531</v>
      </c>
      <c r="E218" s="1" t="n">
        <v>46253</v>
      </c>
      <c r="F218" t="inlineStr">
        <is>
          <t>VÄSTRA GÖTALANDS LÄN</t>
        </is>
      </c>
      <c r="G218" t="inlineStr">
        <is>
          <t>UDDEVALLA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46253</v>
      </c>
      <c r="F219" t="inlineStr">
        <is>
          <t>VÄSTRA GÖTALANDS LÄN</t>
        </is>
      </c>
      <c r="G219" t="inlineStr">
        <is>
          <t>UDDEVALLA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45672</v>
      </c>
      <c r="E220" s="1" t="n">
        <v>46253</v>
      </c>
      <c r="F220" t="inlineStr">
        <is>
          <t>VÄSTRA GÖTALANDS LÄN</t>
        </is>
      </c>
      <c r="G220" t="inlineStr">
        <is>
          <t>UDDEVALLA</t>
        </is>
      </c>
      <c r="I220" t="n">
        <v>14.1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45226</v>
      </c>
      <c r="E221" s="1" t="n">
        <v>46253</v>
      </c>
      <c r="F221" t="inlineStr">
        <is>
          <t>VÄSTRA GÖTALANDS LÄN</t>
        </is>
      </c>
      <c r="G221" t="inlineStr">
        <is>
          <t>UDDEVALLA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44967</v>
      </c>
      <c r="E222" s="1" t="n">
        <v>46253</v>
      </c>
      <c r="F222" t="inlineStr">
        <is>
          <t>VÄSTRA GÖTALANDS LÄN</t>
        </is>
      </c>
      <c r="G222" t="inlineStr">
        <is>
          <t>UDDEVALLA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45150</v>
      </c>
      <c r="E223" s="1" t="n">
        <v>46253</v>
      </c>
      <c r="F223" t="inlineStr">
        <is>
          <t>VÄSTRA GÖTALANDS LÄN</t>
        </is>
      </c>
      <c r="G223" t="inlineStr">
        <is>
          <t>UDDEVALLA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46253</v>
      </c>
      <c r="F224" t="inlineStr">
        <is>
          <t>VÄSTRA GÖTALANDS LÄN</t>
        </is>
      </c>
      <c r="G224" t="inlineStr">
        <is>
          <t>UDDEVALLA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45133</v>
      </c>
      <c r="E225" s="1" t="n">
        <v>46253</v>
      </c>
      <c r="F225" t="inlineStr">
        <is>
          <t>VÄSTRA GÖTALANDS LÄN</t>
        </is>
      </c>
      <c r="G225" t="inlineStr">
        <is>
          <t>UDDEVALLA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46253</v>
      </c>
      <c r="F226" t="inlineStr">
        <is>
          <t>VÄSTRA GÖTALANDS LÄN</t>
        </is>
      </c>
      <c r="G226" t="inlineStr">
        <is>
          <t>UDDEVALLA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46253</v>
      </c>
      <c r="F227" t="inlineStr">
        <is>
          <t>VÄSTRA GÖTALANDS LÄN</t>
        </is>
      </c>
      <c r="G227" t="inlineStr">
        <is>
          <t>UDDEVALLA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46253</v>
      </c>
      <c r="F228" t="inlineStr">
        <is>
          <t>VÄSTRA GÖTALANDS LÄN</t>
        </is>
      </c>
      <c r="G228" t="inlineStr">
        <is>
          <t>UDDEVALLA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46253</v>
      </c>
      <c r="F229" t="inlineStr">
        <is>
          <t>VÄSTRA GÖTALANDS LÄN</t>
        </is>
      </c>
      <c r="G229" t="inlineStr">
        <is>
          <t>UDDEVALLA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45387</v>
      </c>
      <c r="E230" s="1" t="n">
        <v>46253</v>
      </c>
      <c r="F230" t="inlineStr">
        <is>
          <t>VÄSTRA GÖTALANDS LÄN</t>
        </is>
      </c>
      <c r="G230" t="inlineStr">
        <is>
          <t>UDDEVALLA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44572</v>
      </c>
      <c r="E231" s="1" t="n">
        <v>46253</v>
      </c>
      <c r="F231" t="inlineStr">
        <is>
          <t>VÄSTRA GÖTALANDS LÄN</t>
        </is>
      </c>
      <c r="G231" t="inlineStr">
        <is>
          <t>UDDEVALLA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46253</v>
      </c>
      <c r="F232" t="inlineStr">
        <is>
          <t>VÄSTRA GÖTALANDS LÄN</t>
        </is>
      </c>
      <c r="G232" t="inlineStr">
        <is>
          <t>UDDEVALLA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73007-2021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44550</v>
      </c>
      <c r="E233" s="1" t="n">
        <v>46253</v>
      </c>
      <c r="F233" t="inlineStr">
        <is>
          <t>VÄSTRA GÖTALANDS LÄN</t>
        </is>
      </c>
      <c r="G233" t="inlineStr">
        <is>
          <t>UDDEVALLA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46253</v>
      </c>
      <c r="F234" t="inlineStr">
        <is>
          <t>VÄSTRA GÖTALANDS LÄN</t>
        </is>
      </c>
      <c r="G234" t="inlineStr">
        <is>
          <t>UDDEVALLA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58958-2021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44489</v>
      </c>
      <c r="E235" s="1" t="n">
        <v>46253</v>
      </c>
      <c r="F235" t="inlineStr">
        <is>
          <t>VÄSTRA GÖTALANDS LÄN</t>
        </is>
      </c>
      <c r="G235" t="inlineStr">
        <is>
          <t>UDDEVALLA</t>
        </is>
      </c>
      <c r="I235" t="n">
        <v>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45167</v>
      </c>
      <c r="E236" s="1" t="n">
        <v>46253</v>
      </c>
      <c r="F236" t="inlineStr">
        <is>
          <t>VÄSTRA GÖTALANDS LÄN</t>
        </is>
      </c>
      <c r="G236" t="inlineStr">
        <is>
          <t>UDDEVALLA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46147</v>
      </c>
      <c r="E237" s="1" t="n">
        <v>46253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Kommuner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46148</v>
      </c>
      <c r="E238" s="1" t="n">
        <v>46253</v>
      </c>
      <c r="F238" t="inlineStr">
        <is>
          <t>VÄSTRA GÖTALANDS LÄN</t>
        </is>
      </c>
      <c r="G238" t="inlineStr">
        <is>
          <t>UDDEVALLA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45771</v>
      </c>
      <c r="E239" s="1" t="n">
        <v>46253</v>
      </c>
      <c r="F239" t="inlineStr">
        <is>
          <t>VÄSTRA GÖTALANDS LÄN</t>
        </is>
      </c>
      <c r="G239" t="inlineStr">
        <is>
          <t>UDDEVALLA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46253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46026</v>
      </c>
      <c r="E241" s="1" t="n">
        <v>46253</v>
      </c>
      <c r="F241" t="inlineStr">
        <is>
          <t>VÄSTRA GÖTALANDS LÄN</t>
        </is>
      </c>
      <c r="G241" t="inlineStr">
        <is>
          <t>UDDEVALLA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45771</v>
      </c>
      <c r="E242" s="1" t="n">
        <v>46253</v>
      </c>
      <c r="F242" t="inlineStr">
        <is>
          <t>VÄSTRA GÖTALANDS LÄN</t>
        </is>
      </c>
      <c r="G242" t="inlineStr">
        <is>
          <t>UDDEVALLA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46027</v>
      </c>
      <c r="E243" s="1" t="n">
        <v>46253</v>
      </c>
      <c r="F243" t="inlineStr">
        <is>
          <t>VÄSTRA GÖTALANDS LÄN</t>
        </is>
      </c>
      <c r="G243" t="inlineStr">
        <is>
          <t>UDDEVALLA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46253</v>
      </c>
      <c r="F244" t="inlineStr">
        <is>
          <t>VÄSTRA GÖTALANDS LÄN</t>
        </is>
      </c>
      <c r="G244" t="inlineStr">
        <is>
          <t>UDDEVALLA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45349</v>
      </c>
      <c r="E245" s="1" t="n">
        <v>46253</v>
      </c>
      <c r="F245" t="inlineStr">
        <is>
          <t>VÄSTRA GÖTALANDS LÄN</t>
        </is>
      </c>
      <c r="G245" t="inlineStr">
        <is>
          <t>UDDEVALLA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46253</v>
      </c>
      <c r="F246" t="inlineStr">
        <is>
          <t>VÄSTRA GÖTALANDS LÄN</t>
        </is>
      </c>
      <c r="G246" t="inlineStr">
        <is>
          <t>UDDEVALLA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46253</v>
      </c>
      <c r="F247" t="inlineStr">
        <is>
          <t>VÄSTRA GÖTALANDS LÄN</t>
        </is>
      </c>
      <c r="G247" t="inlineStr">
        <is>
          <t>UDDEVALLA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46253</v>
      </c>
      <c r="F248" t="inlineStr">
        <is>
          <t>VÄSTRA GÖTALANDS LÄN</t>
        </is>
      </c>
      <c r="G248" t="inlineStr">
        <is>
          <t>UDDEVALLA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46036</v>
      </c>
      <c r="E249" s="1" t="n">
        <v>46253</v>
      </c>
      <c r="F249" t="inlineStr">
        <is>
          <t>VÄSTRA GÖTALANDS LÄN</t>
        </is>
      </c>
      <c r="G249" t="inlineStr">
        <is>
          <t>UDDEVALLA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46253</v>
      </c>
      <c r="F250" t="inlineStr">
        <is>
          <t>VÄSTRA GÖTALANDS LÄN</t>
        </is>
      </c>
      <c r="G250" t="inlineStr">
        <is>
          <t>UDDEVALLA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46253</v>
      </c>
      <c r="F251" t="inlineStr">
        <is>
          <t>VÄSTRA GÖTALANDS LÄN</t>
        </is>
      </c>
      <c r="G251" t="inlineStr">
        <is>
          <t>UDDEVALLA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46253</v>
      </c>
      <c r="F252" t="inlineStr">
        <is>
          <t>VÄSTRA GÖTALANDS LÄN</t>
        </is>
      </c>
      <c r="G252" t="inlineStr">
        <is>
          <t>UDDEVALLA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44582</v>
      </c>
      <c r="E253" s="1" t="n">
        <v>46253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45149-2024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45575</v>
      </c>
      <c r="E254" s="1" t="n">
        <v>46253</v>
      </c>
      <c r="F254" t="inlineStr">
        <is>
          <t>VÄSTRA GÖTALANDS LÄN</t>
        </is>
      </c>
      <c r="G254" t="inlineStr">
        <is>
          <t>UDDEVALLA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2306-2022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44578</v>
      </c>
      <c r="E255" s="1" t="n">
        <v>46253</v>
      </c>
      <c r="F255" t="inlineStr">
        <is>
          <t>VÄSTRA GÖTALANDS LÄN</t>
        </is>
      </c>
      <c r="G255" t="inlineStr">
        <is>
          <t>UDDEVALLA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46253</v>
      </c>
      <c r="F256" t="inlineStr">
        <is>
          <t>VÄSTRA GÖTALANDS LÄN</t>
        </is>
      </c>
      <c r="G256" t="inlineStr">
        <is>
          <t>UDDEVALLA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45309</v>
      </c>
      <c r="E257" s="1" t="n">
        <v>46253</v>
      </c>
      <c r="F257" t="inlineStr">
        <is>
          <t>VÄSTRA GÖTALANDS LÄN</t>
        </is>
      </c>
      <c r="G257" t="inlineStr">
        <is>
          <t>UDDEVALLA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46253</v>
      </c>
      <c r="F258" t="inlineStr">
        <is>
          <t>VÄSTRA GÖTALANDS LÄN</t>
        </is>
      </c>
      <c r="G258" t="inlineStr">
        <is>
          <t>UDDEVALLA</t>
        </is>
      </c>
      <c r="H258" t="inlineStr">
        <is>
          <t>Övriga statliga verk och myndigheter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6875-2022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44602</v>
      </c>
      <c r="E259" s="1" t="n">
        <v>46253</v>
      </c>
      <c r="F259" t="inlineStr">
        <is>
          <t>VÄSTRA GÖTALANDS LÄN</t>
        </is>
      </c>
      <c r="G259" t="inlineStr">
        <is>
          <t>UDDEVALLA</t>
        </is>
      </c>
      <c r="I259" t="n">
        <v>9.6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46164</v>
      </c>
      <c r="E260" s="1" t="n">
        <v>46253</v>
      </c>
      <c r="F260" t="inlineStr">
        <is>
          <t>VÄSTRA GÖTALANDS LÄN</t>
        </is>
      </c>
      <c r="G260" t="inlineStr">
        <is>
          <t>UDDEVALLA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46212</v>
      </c>
      <c r="E261" s="1" t="n">
        <v>46253</v>
      </c>
      <c r="F261" t="inlineStr">
        <is>
          <t>VÄSTRA GÖTALANDS LÄN</t>
        </is>
      </c>
      <c r="G261" t="inlineStr">
        <is>
          <t>UDDEVALLA</t>
        </is>
      </c>
      <c r="H261" t="inlineStr">
        <is>
          <t>Kyrkan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44056-2025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46253</v>
      </c>
      <c r="F262" t="inlineStr">
        <is>
          <t>VÄSTRA GÖTALANDS LÄN</t>
        </is>
      </c>
      <c r="G262" t="inlineStr">
        <is>
          <t>UDDEVALLA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30639-2024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45495</v>
      </c>
      <c r="E263" s="1" t="n">
        <v>46253</v>
      </c>
      <c r="F263" t="inlineStr">
        <is>
          <t>VÄSTRA GÖTALANDS LÄN</t>
        </is>
      </c>
      <c r="G263" t="inlineStr">
        <is>
          <t>UDDEVALLA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44655</v>
      </c>
      <c r="E264" s="1" t="n">
        <v>46253</v>
      </c>
      <c r="F264" t="inlineStr">
        <is>
          <t>VÄSTRA GÖTALANDS LÄN</t>
        </is>
      </c>
      <c r="G264" t="inlineStr">
        <is>
          <t>UDDEVALLA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24081-2024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45456</v>
      </c>
      <c r="E265" s="1" t="n">
        <v>46253</v>
      </c>
      <c r="F265" t="inlineStr">
        <is>
          <t>VÄSTRA GÖTALANDS LÄN</t>
        </is>
      </c>
      <c r="G265" t="inlineStr">
        <is>
          <t>UDDEVALLA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45664</v>
      </c>
      <c r="E266" s="1" t="n">
        <v>46253</v>
      </c>
      <c r="F266" t="inlineStr">
        <is>
          <t>VÄSTRA GÖTALANDS LÄN</t>
        </is>
      </c>
      <c r="G266" t="inlineStr">
        <is>
          <t>UDDEVALLA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46253</v>
      </c>
      <c r="F267" t="inlineStr">
        <is>
          <t>VÄSTRA GÖTALANDS LÄN</t>
        </is>
      </c>
      <c r="G267" t="inlineStr">
        <is>
          <t>UDDEVALLA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46253</v>
      </c>
      <c r="F268" t="inlineStr">
        <is>
          <t>VÄSTRA GÖTALANDS LÄN</t>
        </is>
      </c>
      <c r="G268" t="inlineStr">
        <is>
          <t>UDDEVALLA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46253</v>
      </c>
      <c r="F269" t="inlineStr">
        <is>
          <t>VÄSTRA GÖTALANDS LÄN</t>
        </is>
      </c>
      <c r="G269" t="inlineStr">
        <is>
          <t>UDDEVALLA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46253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46253</v>
      </c>
      <c r="F271" t="inlineStr">
        <is>
          <t>VÄSTRA GÖTALANDS LÄN</t>
        </is>
      </c>
      <c r="G271" t="inlineStr">
        <is>
          <t>UDDEVALLA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45127</v>
      </c>
      <c r="E272" s="1" t="n">
        <v>46253</v>
      </c>
      <c r="F272" t="inlineStr">
        <is>
          <t>VÄSTRA GÖTALANDS LÄN</t>
        </is>
      </c>
      <c r="G272" t="inlineStr">
        <is>
          <t>UDDEVALLA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43271-2023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45183</v>
      </c>
      <c r="E273" s="1" t="n">
        <v>46253</v>
      </c>
      <c r="F273" t="inlineStr">
        <is>
          <t>VÄSTRA GÖTALANDS LÄN</t>
        </is>
      </c>
      <c r="G273" t="inlineStr">
        <is>
          <t>UDDEVALLA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44133-2024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45572</v>
      </c>
      <c r="E274" s="1" t="n">
        <v>46253</v>
      </c>
      <c r="F274" t="inlineStr">
        <is>
          <t>VÄSTRA GÖTALANDS LÄN</t>
        </is>
      </c>
      <c r="G274" t="inlineStr">
        <is>
          <t>UDDEVALLA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45758</v>
      </c>
      <c r="E275" s="1" t="n">
        <v>46253</v>
      </c>
      <c r="F275" t="inlineStr">
        <is>
          <t>VÄSTRA GÖTALANDS LÄN</t>
        </is>
      </c>
      <c r="G275" t="inlineStr">
        <is>
          <t>UDDEVALLA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46253</v>
      </c>
      <c r="F276" t="inlineStr">
        <is>
          <t>VÄSTRA GÖTALANDS LÄN</t>
        </is>
      </c>
      <c r="G276" t="inlineStr">
        <is>
          <t>UDDEVALLA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46222</v>
      </c>
      <c r="E277" s="1" t="n">
        <v>46253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Kommuner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46253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45631</v>
      </c>
      <c r="E279" s="1" t="n">
        <v>46253</v>
      </c>
      <c r="F279" t="inlineStr">
        <is>
          <t>VÄSTRA GÖTALANDS LÄN</t>
        </is>
      </c>
      <c r="G279" t="inlineStr">
        <is>
          <t>UDDEVALLA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25813-2022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44733</v>
      </c>
      <c r="E280" s="1" t="n">
        <v>46253</v>
      </c>
      <c r="F280" t="inlineStr">
        <is>
          <t>VÄSTRA GÖTALANDS LÄN</t>
        </is>
      </c>
      <c r="G280" t="inlineStr">
        <is>
          <t>UDDEVALLA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22923-2022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44715</v>
      </c>
      <c r="E281" s="1" t="n">
        <v>46253</v>
      </c>
      <c r="F281" t="inlineStr">
        <is>
          <t>VÄSTRA GÖTALANDS LÄN</t>
        </is>
      </c>
      <c r="G281" t="inlineStr">
        <is>
          <t>UDDEVALLA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45239</v>
      </c>
      <c r="E282" s="1" t="n">
        <v>46253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39991-2022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44820</v>
      </c>
      <c r="E283" s="1" t="n">
        <v>46253</v>
      </c>
      <c r="F283" t="inlineStr">
        <is>
          <t>VÄSTRA GÖTALANDS LÄN</t>
        </is>
      </c>
      <c r="G283" t="inlineStr">
        <is>
          <t>UDDEVALLA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39088-2022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46253</v>
      </c>
      <c r="F284" t="inlineStr">
        <is>
          <t>VÄSTRA GÖTALANDS LÄN</t>
        </is>
      </c>
      <c r="G284" t="inlineStr">
        <is>
          <t>UDDEVALLA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45314</v>
      </c>
      <c r="E285" s="1" t="n">
        <v>46253</v>
      </c>
      <c r="F285" t="inlineStr">
        <is>
          <t>VÄSTRA GÖTALANDS LÄN</t>
        </is>
      </c>
      <c r="G285" t="inlineStr">
        <is>
          <t>UDDEVALLA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44973</v>
      </c>
      <c r="E286" s="1" t="n">
        <v>46253</v>
      </c>
      <c r="F286" t="inlineStr">
        <is>
          <t>VÄSTRA GÖTALANDS LÄN</t>
        </is>
      </c>
      <c r="G286" t="inlineStr">
        <is>
          <t>UDDEVALLA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45257</v>
      </c>
      <c r="E287" s="1" t="n">
        <v>46253</v>
      </c>
      <c r="F287" t="inlineStr">
        <is>
          <t>VÄSTRA GÖTALANDS LÄN</t>
        </is>
      </c>
      <c r="G287" t="inlineStr">
        <is>
          <t>UDDEVALLA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46253</v>
      </c>
      <c r="F288" t="inlineStr">
        <is>
          <t>VÄSTRA GÖTALANDS LÄN</t>
        </is>
      </c>
      <c r="G288" t="inlineStr">
        <is>
          <t>UDDEVALLA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46211</v>
      </c>
      <c r="E289" s="1" t="n">
        <v>46253</v>
      </c>
      <c r="F289" t="inlineStr">
        <is>
          <t>VÄSTRA GÖTALANDS LÄN</t>
        </is>
      </c>
      <c r="G289" t="inlineStr">
        <is>
          <t>UDDEVALLA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9797-2023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44984</v>
      </c>
      <c r="E290" s="1" t="n">
        <v>46253</v>
      </c>
      <c r="F290" t="inlineStr">
        <is>
          <t>VÄSTRA GÖTALANDS LÄN</t>
        </is>
      </c>
      <c r="G290" t="inlineStr">
        <is>
          <t>UDDEVALLA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17964-2022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44683</v>
      </c>
      <c r="E291" s="1" t="n">
        <v>46253</v>
      </c>
      <c r="F291" t="inlineStr">
        <is>
          <t>VÄSTRA GÖTALANDS LÄN</t>
        </is>
      </c>
      <c r="G291" t="inlineStr">
        <is>
          <t>UDDEVALLA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46206</v>
      </c>
      <c r="E292" s="1" t="n">
        <v>46253</v>
      </c>
      <c r="F292" t="inlineStr">
        <is>
          <t>VÄSTRA GÖTALANDS LÄN</t>
        </is>
      </c>
      <c r="G292" t="inlineStr">
        <is>
          <t>UDDEVALLA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26940-2023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45093</v>
      </c>
      <c r="E293" s="1" t="n">
        <v>46253</v>
      </c>
      <c r="F293" t="inlineStr">
        <is>
          <t>VÄSTRA GÖTALANDS LÄN</t>
        </is>
      </c>
      <c r="G293" t="inlineStr">
        <is>
          <t>UDDEVALLA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46253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Kommuner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46253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Kommuner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70491-2021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44536</v>
      </c>
      <c r="E296" s="1" t="n">
        <v>46253</v>
      </c>
      <c r="F296" t="inlineStr">
        <is>
          <t>VÄSTRA GÖTALANDS LÄN</t>
        </is>
      </c>
      <c r="G296" t="inlineStr">
        <is>
          <t>UDDEVALLA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33865-2026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46251</v>
      </c>
      <c r="E297" s="1" t="n">
        <v>46253</v>
      </c>
      <c r="F297" t="inlineStr">
        <is>
          <t>VÄSTRA GÖTALANDS LÄN</t>
        </is>
      </c>
      <c r="G297" t="inlineStr">
        <is>
          <t>UDDEVALLA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46253</v>
      </c>
      <c r="F298" t="inlineStr">
        <is>
          <t>VÄSTRA GÖTALANDS LÄN</t>
        </is>
      </c>
      <c r="G298" t="inlineStr">
        <is>
          <t>UDDEVALLA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46253</v>
      </c>
      <c r="F299" t="inlineStr">
        <is>
          <t>VÄSTRA GÖTALANDS LÄN</t>
        </is>
      </c>
      <c r="G299" t="inlineStr">
        <is>
          <t>UDDEVALLA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40026-2024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46253</v>
      </c>
      <c r="F300" t="inlineStr">
        <is>
          <t>VÄSTRA GÖTALANDS LÄN</t>
        </is>
      </c>
      <c r="G300" t="inlineStr">
        <is>
          <t>UDDEVALLA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46253</v>
      </c>
      <c r="F301" t="inlineStr">
        <is>
          <t>VÄSTRA GÖTALANDS LÄN</t>
        </is>
      </c>
      <c r="G301" t="inlineStr">
        <is>
          <t>UDDEVALLA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46253</v>
      </c>
      <c r="F302" t="inlineStr">
        <is>
          <t>VÄSTRA GÖTALANDS LÄN</t>
        </is>
      </c>
      <c r="G302" t="inlineStr">
        <is>
          <t>UDDEVALLA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45237</v>
      </c>
      <c r="E303" s="1" t="n">
        <v>46253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45089</v>
      </c>
      <c r="E304" s="1" t="n">
        <v>46253</v>
      </c>
      <c r="F304" t="inlineStr">
        <is>
          <t>VÄSTRA GÖTALANDS LÄN</t>
        </is>
      </c>
      <c r="G304" t="inlineStr">
        <is>
          <t>UDDEVALLA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40297-2024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46253</v>
      </c>
      <c r="F305" t="inlineStr">
        <is>
          <t>VÄSTRA GÖTALANDS LÄN</t>
        </is>
      </c>
      <c r="G305" t="inlineStr">
        <is>
          <t>UDDEVALLA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8893-2024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45355</v>
      </c>
      <c r="E306" s="1" t="n">
        <v>46253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46253</v>
      </c>
      <c r="F307" t="inlineStr">
        <is>
          <t>VÄSTRA GÖTALANDS LÄN</t>
        </is>
      </c>
      <c r="G307" t="inlineStr">
        <is>
          <t>UDDEVALLA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45167</v>
      </c>
      <c r="E308" s="1" t="n">
        <v>46253</v>
      </c>
      <c r="F308" t="inlineStr">
        <is>
          <t>VÄSTRA GÖTALANDS LÄN</t>
        </is>
      </c>
      <c r="G308" t="inlineStr">
        <is>
          <t>UDDEVALLA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46253</v>
      </c>
      <c r="F309" t="inlineStr">
        <is>
          <t>VÄSTRA GÖTALANDS LÄN</t>
        </is>
      </c>
      <c r="G309" t="inlineStr">
        <is>
          <t>UDDEVALLA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46253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46253</v>
      </c>
      <c r="F311" t="inlineStr">
        <is>
          <t>VÄSTRA GÖTALANDS LÄN</t>
        </is>
      </c>
      <c r="G311" t="inlineStr">
        <is>
          <t>UDDEVALLA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45902-2024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45580</v>
      </c>
      <c r="E312" s="1" t="n">
        <v>46253</v>
      </c>
      <c r="F312" t="inlineStr">
        <is>
          <t>VÄSTRA GÖTALANDS LÄN</t>
        </is>
      </c>
      <c r="G312" t="inlineStr">
        <is>
          <t>UDDEVALLA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44960</v>
      </c>
      <c r="E313" s="1" t="n">
        <v>46253</v>
      </c>
      <c r="F313" t="inlineStr">
        <is>
          <t>VÄSTRA GÖTALANDS LÄN</t>
        </is>
      </c>
      <c r="G313" t="inlineStr">
        <is>
          <t>UDDEVALLA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45076</v>
      </c>
      <c r="E314" s="1" t="n">
        <v>46253</v>
      </c>
      <c r="F314" t="inlineStr">
        <is>
          <t>VÄSTRA GÖTALANDS LÄN</t>
        </is>
      </c>
      <c r="G314" t="inlineStr">
        <is>
          <t>UDDEVALLA</t>
        </is>
      </c>
      <c r="I314" t="n">
        <v>12.2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45568</v>
      </c>
      <c r="E315" s="1" t="n">
        <v>46253</v>
      </c>
      <c r="F315" t="inlineStr">
        <is>
          <t>VÄSTRA GÖTALANDS LÄN</t>
        </is>
      </c>
      <c r="G315" t="inlineStr">
        <is>
          <t>UDDEVALLA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58625-2024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45635</v>
      </c>
      <c r="E316" s="1" t="n">
        <v>46253</v>
      </c>
      <c r="F316" t="inlineStr">
        <is>
          <t>VÄSTRA GÖTALANDS LÄN</t>
        </is>
      </c>
      <c r="G316" t="inlineStr">
        <is>
          <t>UDDEVALLA</t>
        </is>
      </c>
      <c r="I316" t="n">
        <v>14.9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46253</v>
      </c>
      <c r="F317" t="inlineStr">
        <is>
          <t>VÄSTRA GÖTALANDS LÄN</t>
        </is>
      </c>
      <c r="G317" t="inlineStr">
        <is>
          <t>UDDEVALLA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46253</v>
      </c>
      <c r="F318" t="inlineStr">
        <is>
          <t>VÄSTRA GÖTALANDS LÄN</t>
        </is>
      </c>
      <c r="G318" t="inlineStr">
        <is>
          <t>UDDEVALLA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46253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46253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49718-2024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46253</v>
      </c>
      <c r="F321" t="inlineStr">
        <is>
          <t>VÄSTRA GÖTALANDS LÄN</t>
        </is>
      </c>
      <c r="G321" t="inlineStr">
        <is>
          <t>UDDEVALLA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45426</v>
      </c>
      <c r="E322" s="1" t="n">
        <v>46253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46253</v>
      </c>
      <c r="F323" t="inlineStr">
        <is>
          <t>VÄSTRA GÖTALANDS LÄN</t>
        </is>
      </c>
      <c r="G323" t="inlineStr">
        <is>
          <t>UDDEVALLA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46253</v>
      </c>
      <c r="F324" t="inlineStr">
        <is>
          <t>VÄSTRA GÖTALANDS LÄN</t>
        </is>
      </c>
      <c r="G324" t="inlineStr">
        <is>
          <t>UDDEVALLA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60819-2024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46253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46253</v>
      </c>
      <c r="F326" t="inlineStr">
        <is>
          <t>VÄSTRA GÖTALANDS LÄN</t>
        </is>
      </c>
      <c r="G326" t="inlineStr">
        <is>
          <t>UDDEVALLA</t>
        </is>
      </c>
      <c r="I326" t="n">
        <v>12.9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46253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46253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46253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46253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46253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46253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46253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46253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2026-08-19T01:48:38Z</dcterms:created>
  <dcterms:modified xmlns:dcterms="http://purl.org/dc/terms/" xmlns:xsi="http://www.w3.org/2001/XMLSchema-instance" xsi:type="dcterms:W3CDTF">2026-08-19T01:48:39Z</dcterms:modified>
</cp:coreProperties>
</file>