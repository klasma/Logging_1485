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46324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46324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46324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46324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46324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2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8</v>
      </c>
      <c r="T6" t="n">
        <v>8</v>
      </c>
      <c r="U6" t="n">
        <v>7</v>
      </c>
      <c r="V6" s="2" t="inlineStr">
        <is>
          <t>Gräddporing
Ladusvala
Rynkskinn
Rödvingetrast
Älg
Trådticka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62062-2024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45656</v>
      </c>
      <c r="E7" s="1" t="n">
        <v>46324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Kommuner</t>
        </is>
      </c>
      <c r="I7" t="n">
        <v>8</v>
      </c>
      <c r="J7" t="n">
        <v>5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Slåttergubbe
Västlig hakmossa
Större vattensalamander
Mindre vattensalamander
Vanlig groda
Nattviol
Revlummer</t>
        </is>
      </c>
      <c r="W7">
        <f>HYPERLINK("https://klasma.github.io/Logging_1485/artfynd/A 62062-2024 artfynd.xlsx", "A 62062-2024")</f>
        <v/>
      </c>
      <c r="X7">
        <f>HYPERLINK("https://klasma.github.io/Logging_1485/kartor/A 62062-2024 karta.png", "A 62062-2024")</f>
        <v/>
      </c>
      <c r="Y7">
        <f>HYPERLINK("https://klasma.github.io/Logging_1485/kartor_geotiff/A 62062-2024 georefererad karta.tif", "A 62062-2024")</f>
        <v/>
      </c>
      <c r="AA7">
        <f>HYPERLINK("https://klasma.github.io/Logging_1485/klagomål/A 62062-2024 FSC-klagomål.docx", "A 62062-2024")</f>
        <v/>
      </c>
      <c r="AB7">
        <f>HYPERLINK("https://klasma.github.io/Logging_1485/klagomålsmail/A 62062-2024 FSC-klagomål mail.docx", "A 62062-2024")</f>
        <v/>
      </c>
      <c r="AC7">
        <f>HYPERLINK("https://klasma.github.io/Logging_1485/tillsyn/A 62062-2024 tillsynsbegäran.docx", "A 62062-2024")</f>
        <v/>
      </c>
      <c r="AD7">
        <f>HYPERLINK("https://klasma.github.io/Logging_1485/tillsynsmail/A 62062-2024 tillsynsbegäran mail.docx", "A 62062-2024")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46324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46324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46324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62048-2024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45656</v>
      </c>
      <c r="E11" s="1" t="n">
        <v>46324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Kommuner</t>
        </is>
      </c>
      <c r="I11" t="n">
        <v>3.8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Klippfrullania
Stor revmossa
Västlig hakmossa
Lopplummer (aggregat)
Revlummer</t>
        </is>
      </c>
      <c r="W11">
        <f>HYPERLINK("https://klasma.github.io/Logging_1485/artfynd/A 62048-2024 artfynd.xlsx", "A 62048-2024")</f>
        <v/>
      </c>
      <c r="X11">
        <f>HYPERLINK("https://klasma.github.io/Logging_1485/kartor/A 62048-2024 karta.png", "A 62048-2024")</f>
        <v/>
      </c>
      <c r="Y11">
        <f>HYPERLINK("https://klasma.github.io/Logging_1485/kartor_geotiff/A 62048-2024 georefererad karta.tif", "A 62048-2024")</f>
        <v/>
      </c>
      <c r="AA11">
        <f>HYPERLINK("https://klasma.github.io/Logging_1485/klagomål/A 62048-2024 FSC-klagomål.docx", "A 62048-2024")</f>
        <v/>
      </c>
      <c r="AB11">
        <f>HYPERLINK("https://klasma.github.io/Logging_1485/klagomålsmail/A 62048-2024 FSC-klagomål mail.docx", "A 62048-2024")</f>
        <v/>
      </c>
      <c r="AC11">
        <f>HYPERLINK("https://klasma.github.io/Logging_1485/tillsyn/A 62048-2024 tillsynsbegäran.docx", "A 62048-2024")</f>
        <v/>
      </c>
      <c r="AD11">
        <f>HYPERLINK("https://klasma.github.io/Logging_1485/tillsynsmail/A 62048-2024 tillsynsbegäran mail.docx", "A 62048-2024")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46324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46324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46324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46324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46324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46324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46324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46324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46324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32528-2024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45513</v>
      </c>
      <c r="E21" s="1" t="n">
        <v>46324</v>
      </c>
      <c r="F21" t="inlineStr">
        <is>
          <t>VÄSTRA GÖTALANDS LÄN</t>
        </is>
      </c>
      <c r="G21" t="inlineStr">
        <is>
          <t>UDDEVALLA</t>
        </is>
      </c>
      <c r="I21" t="n">
        <v>1.5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Grönhjon
Granbarkgnagare</t>
        </is>
      </c>
      <c r="W21">
        <f>HYPERLINK("https://klasma.github.io/Logging_1485/artfynd/A 32528-2024 artfynd.xlsx", "A 32528-2024")</f>
        <v/>
      </c>
      <c r="X21">
        <f>HYPERLINK("https://klasma.github.io/Logging_1485/kartor/A 32528-2024 karta.png", "A 32528-2024")</f>
        <v/>
      </c>
      <c r="Y21">
        <f>HYPERLINK("https://klasma.github.io/Logging_1485/kartor_geotiff/A 32528-2024 georefererad karta.tif", "A 32528-2024")</f>
        <v/>
      </c>
      <c r="AA21">
        <f>HYPERLINK("https://klasma.github.io/Logging_1485/klagomål/A 32528-2024 FSC-klagomål.docx", "A 32528-2024")</f>
        <v/>
      </c>
      <c r="AB21">
        <f>HYPERLINK("https://klasma.github.io/Logging_1485/klagomålsmail/A 32528-2024 FSC-klagomål mail.docx", "A 32528-2024")</f>
        <v/>
      </c>
      <c r="AC21">
        <f>HYPERLINK("https://klasma.github.io/Logging_1485/tillsyn/A 32528-2024 tillsynsbegäran.docx", "A 32528-2024")</f>
        <v/>
      </c>
      <c r="AD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46324</v>
      </c>
      <c r="F22" t="inlineStr">
        <is>
          <t>VÄSTRA GÖTALANDS LÄN</t>
        </is>
      </c>
      <c r="G22" t="inlineStr">
        <is>
          <t>UDDEVALLA</t>
        </is>
      </c>
      <c r="I22" t="n">
        <v>15.3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Kambräken
Kopparödla</t>
        </is>
      </c>
      <c r="W22">
        <f>HYPERLINK("https://klasma.github.io/Logging_1485/artfynd/A 16863-2025 artfynd.xlsx", "A 16863-2025")</f>
        <v/>
      </c>
      <c r="X22">
        <f>HYPERLINK("https://klasma.github.io/Logging_1485/kartor/A 16863-2025 karta.png", "A 16863-2025")</f>
        <v/>
      </c>
      <c r="Y22">
        <f>HYPERLINK("https://klasma.github.io/Logging_1485/kartor_geotiff/A 16863-2025 georefererad karta.tif", "A 16863-2025")</f>
        <v/>
      </c>
      <c r="AA22">
        <f>HYPERLINK("https://klasma.github.io/Logging_1485/klagomål/A 16863-2025 FSC-klagomål.docx", "A 16863-2025")</f>
        <v/>
      </c>
      <c r="AB22">
        <f>HYPERLINK("https://klasma.github.io/Logging_1485/klagomålsmail/A 16863-2025 FSC-klagomål mail.docx", "A 16863-2025")</f>
        <v/>
      </c>
      <c r="AC22">
        <f>HYPERLINK("https://klasma.github.io/Logging_1485/tillsyn/A 16863-2025 tillsynsbegäran.docx", "A 16863-2025")</f>
        <v/>
      </c>
      <c r="AD22">
        <f>HYPERLINK("https://klasma.github.io/Logging_1485/tillsynsmail/A 16863-2025 tillsynsbegäran mail.docx", "A 16863-2025")</f>
        <v/>
      </c>
    </row>
    <row r="23" ht="15" customHeight="1">
      <c r="A23" t="inlineStr">
        <is>
          <t>A 41292-2022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44825</v>
      </c>
      <c r="E23" s="1" t="n">
        <v>46324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9.699999999999999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Ask
Entita</t>
        </is>
      </c>
      <c r="W23">
        <f>HYPERLINK("https://klasma.github.io/Logging_1485/artfynd/A 41292-2022 artfynd.xlsx", "A 41292-2022")</f>
        <v/>
      </c>
      <c r="X23">
        <f>HYPERLINK("https://klasma.github.io/Logging_1485/kartor/A 41292-2022 karta.png", "A 41292-2022")</f>
        <v/>
      </c>
      <c r="Y23">
        <f>HYPERLINK("https://klasma.github.io/Logging_1485/kartor_geotiff/A 41292-2022 georefererad karta.tif", "A 41292-2022")</f>
        <v/>
      </c>
      <c r="AA23">
        <f>HYPERLINK("https://klasma.github.io/Logging_1485/klagomål/A 41292-2022 FSC-klagomål.docx", "A 41292-2022")</f>
        <v/>
      </c>
      <c r="AB23">
        <f>HYPERLINK("https://klasma.github.io/Logging_1485/klagomålsmail/A 41292-2022 FSC-klagomål mail.docx", "A 41292-2022")</f>
        <v/>
      </c>
      <c r="AC23">
        <f>HYPERLINK("https://klasma.github.io/Logging_1485/tillsyn/A 41292-2022 tillsynsbegäran.docx", "A 41292-2022")</f>
        <v/>
      </c>
      <c r="AD23">
        <f>HYPERLINK("https://klasma.github.io/Logging_1485/tillsynsmail/A 41292-2022 tillsynsbegäran mail.docx", "A 41292-2022")</f>
        <v/>
      </c>
      <c r="AE23">
        <f>HYPERLINK("https://klasma.github.io/Logging_1485/fåglar/A 41292-2022 prioriterade fågelarter.docx", "A 41292-2022")</f>
        <v/>
      </c>
    </row>
    <row r="24" ht="15" customHeight="1">
      <c r="A24" t="inlineStr">
        <is>
          <t>A 51747-2025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45950</v>
      </c>
      <c r="E24" s="1" t="n">
        <v>46324</v>
      </c>
      <c r="F24" t="inlineStr">
        <is>
          <t>VÄSTRA GÖTALANDS LÄN</t>
        </is>
      </c>
      <c r="G24" t="inlineStr">
        <is>
          <t>UDDEVALLA</t>
        </is>
      </c>
      <c r="I24" t="n">
        <v>1.2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Mattlummer
Äkta lopplummer</t>
        </is>
      </c>
      <c r="W24">
        <f>HYPERLINK("https://klasma.github.io/Logging_1485/artfynd/A 51747-2025 artfynd.xlsx", "A 51747-2025")</f>
        <v/>
      </c>
      <c r="X24">
        <f>HYPERLINK("https://klasma.github.io/Logging_1485/kartor/A 51747-2025 karta.png", "A 51747-2025")</f>
        <v/>
      </c>
      <c r="Y24">
        <f>HYPERLINK("https://klasma.github.io/Logging_1485/kartor_geotiff/A 51747-2025 georefererad karta.tif", "A 51747-2025")</f>
        <v/>
      </c>
      <c r="AA24">
        <f>HYPERLINK("https://klasma.github.io/Logging_1485/klagomål/A 51747-2025 FSC-klagomål.docx", "A 51747-2025")</f>
        <v/>
      </c>
      <c r="AB24">
        <f>HYPERLINK("https://klasma.github.io/Logging_1485/klagomålsmail/A 51747-2025 FSC-klagomål mail.docx", "A 51747-2025")</f>
        <v/>
      </c>
      <c r="AC24">
        <f>HYPERLINK("https://klasma.github.io/Logging_1485/tillsyn/A 51747-2025 tillsynsbegäran.docx", "A 51747-2025")</f>
        <v/>
      </c>
      <c r="AD24">
        <f>HYPERLINK("https://klasma.github.io/Logging_1485/tillsynsmail/A 51747-2025 tillsynsbegäran mail.docx", "A 51747-2025")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46324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46324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8666-2024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46324</v>
      </c>
      <c r="F27" t="inlineStr">
        <is>
          <t>VÄSTRA GÖTALANDS LÄN</t>
        </is>
      </c>
      <c r="G27" t="inlineStr">
        <is>
          <t>UDDEVALLA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6</v>
      </c>
      <c r="U27" t="n">
        <v>6</v>
      </c>
      <c r="V27" s="2" t="inlineStr">
        <is>
          <t>Västlig hakmossa
Spillkråka</t>
        </is>
      </c>
      <c r="W27">
        <f>HYPERLINK("https://klasma.github.io/Logging_1485/artfynd/A 8666-2024 artfynd.xlsx", "A 8666-2024")</f>
        <v/>
      </c>
      <c r="X27">
        <f>HYPERLINK("https://klasma.github.io/Logging_1485/kartor/A 8666-2024 karta.png", "A 8666-2024")</f>
        <v/>
      </c>
      <c r="Y27">
        <f>HYPERLINK("https://klasma.github.io/Logging_1485/kartor_geotiff/A 8666-2024 georefererad karta.tif", "A 8666-2024")</f>
        <v/>
      </c>
      <c r="AA27">
        <f>HYPERLINK("https://klasma.github.io/Logging_1485/klagomål/A 8666-2024 FSC-klagomål.docx", "A 8666-2024")</f>
        <v/>
      </c>
      <c r="AB27">
        <f>HYPERLINK("https://klasma.github.io/Logging_1485/klagomålsmail/A 8666-2024 FSC-klagomål mail.docx", "A 8666-2024")</f>
        <v/>
      </c>
      <c r="AC27">
        <f>HYPERLINK("https://klasma.github.io/Logging_1485/tillsyn/A 8666-2024 tillsynsbegäran.docx", "A 8666-2024")</f>
        <v/>
      </c>
      <c r="AD27">
        <f>HYPERLINK("https://klasma.github.io/Logging_1485/tillsynsmail/A 8666-2024 tillsynsbegäran mail.docx", "A 8666-2024")</f>
        <v/>
      </c>
      <c r="AE27">
        <f>HYPERLINK("https://klasma.github.io/Logging_1485/fåglar/A 8666-2024 prioriterade fågelarter.docx", "A 8666-2024")</f>
        <v/>
      </c>
    </row>
    <row r="28" ht="15" customHeight="1">
      <c r="A28" t="inlineStr">
        <is>
          <t>A 17995-2026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46324</v>
      </c>
      <c r="F28" t="inlineStr">
        <is>
          <t>VÄSTRA GÖTALANDS LÄN</t>
        </is>
      </c>
      <c r="G28" t="inlineStr">
        <is>
          <t>UDDEVALLA</t>
        </is>
      </c>
      <c r="I28" t="n">
        <v>3.8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Spillkråka
Revlummer</t>
        </is>
      </c>
      <c r="W28">
        <f>HYPERLINK("https://klasma.github.io/Logging_1485/artfynd/A 17995-2026 artfynd.xlsx", "A 17995-2026")</f>
        <v/>
      </c>
      <c r="X28">
        <f>HYPERLINK("https://klasma.github.io/Logging_1485/kartor/A 17995-2026 karta.png", "A 17995-2026")</f>
        <v/>
      </c>
      <c r="Y28">
        <f>HYPERLINK("https://klasma.github.io/Logging_1485/kartor_geotiff/A 17995-2026 georefererad karta.tif", "A 17995-2026")</f>
        <v/>
      </c>
      <c r="AA28">
        <f>HYPERLINK("https://klasma.github.io/Logging_1485/klagomål/A 17995-2026 FSC-klagomål.docx", "A 17995-2026")</f>
        <v/>
      </c>
      <c r="AB28">
        <f>HYPERLINK("https://klasma.github.io/Logging_1485/klagomålsmail/A 17995-2026 FSC-klagomål mail.docx", "A 17995-2026")</f>
        <v/>
      </c>
      <c r="AC28">
        <f>HYPERLINK("https://klasma.github.io/Logging_1485/tillsyn/A 17995-2026 tillsynsbegäran.docx", "A 17995-2026")</f>
        <v/>
      </c>
      <c r="AD28">
        <f>HYPERLINK("https://klasma.github.io/Logging_1485/tillsynsmail/A 17995-2026 tillsynsbegäran mail.docx", "A 17995-2026")</f>
        <v/>
      </c>
      <c r="AE28">
        <f>HYPERLINK("https://klasma.github.io/Logging_1485/fåglar/A 17995-2026 prioriterade fågelarter.docx", "A 17995-2026")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46324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3432-2024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46324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3.1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Klippfrullania
Västlig hakmossa</t>
        </is>
      </c>
      <c r="W30">
        <f>HYPERLINK("https://klasma.github.io/Logging_1485/artfynd/A 3432-2024 artfynd.xlsx", "A 3432-2024")</f>
        <v/>
      </c>
      <c r="X30">
        <f>HYPERLINK("https://klasma.github.io/Logging_1485/kartor/A 3432-2024 karta.png", "A 3432-2024")</f>
        <v/>
      </c>
      <c r="Y30">
        <f>HYPERLINK("https://klasma.github.io/Logging_1485/kartor_geotiff/A 3432-2024 georefererad karta.tif", "A 3432-2024")</f>
        <v/>
      </c>
      <c r="AA30">
        <f>HYPERLINK("https://klasma.github.io/Logging_1485/klagomål/A 3432-2024 FSC-klagomål.docx", "A 3432-2024")</f>
        <v/>
      </c>
      <c r="AB30">
        <f>HYPERLINK("https://klasma.github.io/Logging_1485/klagomålsmail/A 3432-2024 FSC-klagomål mail.docx", "A 3432-2024")</f>
        <v/>
      </c>
      <c r="AC30">
        <f>HYPERLINK("https://klasma.github.io/Logging_1485/tillsyn/A 3432-2024 tillsynsbegäran.docx", "A 3432-2024")</f>
        <v/>
      </c>
      <c r="AD30">
        <f>HYPERLINK("https://klasma.github.io/Logging_1485/tillsynsmail/A 3432-2024 tillsynsbegäran mail.docx", "A 3432-2024")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46324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46324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65109-2023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45288</v>
      </c>
      <c r="E33" s="1" t="n">
        <v>46324</v>
      </c>
      <c r="F33" t="inlineStr">
        <is>
          <t>VÄSTRA GÖTALANDS LÄN</t>
        </is>
      </c>
      <c r="G33" t="inlineStr">
        <is>
          <t>UDDEVALLA</t>
        </is>
      </c>
      <c r="I33" t="n">
        <v>1.8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Åttafläckig praktbagge</t>
        </is>
      </c>
      <c r="W33">
        <f>HYPERLINK("https://klasma.github.io/Logging_1485/artfynd/A 65109-2023 artfynd.xlsx", "A 65109-2023")</f>
        <v/>
      </c>
      <c r="X33">
        <f>HYPERLINK("https://klasma.github.io/Logging_1485/kartor/A 65109-2023 karta.png", "A 65109-2023")</f>
        <v/>
      </c>
      <c r="Y33">
        <f>HYPERLINK("https://klasma.github.io/Logging_1485/kartor_geotiff/A 65109-2023 georefererad karta.tif", "A 65109-2023")</f>
        <v/>
      </c>
      <c r="AA33">
        <f>HYPERLINK("https://klasma.github.io/Logging_1485/klagomål/A 65109-2023 FSC-klagomål.docx", "A 65109-2023")</f>
        <v/>
      </c>
      <c r="AB33">
        <f>HYPERLINK("https://klasma.github.io/Logging_1485/klagomålsmail/A 65109-2023 FSC-klagomål mail.docx", "A 65109-2023")</f>
        <v/>
      </c>
      <c r="AC33">
        <f>HYPERLINK("https://klasma.github.io/Logging_1485/tillsyn/A 65109-2023 tillsynsbegäran.docx", "A 65109-2023")</f>
        <v/>
      </c>
      <c r="AD33">
        <f>HYPERLINK("https://klasma.github.io/Logging_1485/tillsynsmail/A 65109-2023 tillsynsbegäran mail.docx", "A 65109-2023")</f>
        <v/>
      </c>
    </row>
    <row r="34" ht="15" customHeight="1">
      <c r="A34" t="inlineStr">
        <is>
          <t>A 36880-2026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46273</v>
      </c>
      <c r="E34" s="1" t="n">
        <v>46324</v>
      </c>
      <c r="F34" t="inlineStr">
        <is>
          <t>VÄSTRA GÖTALANDS LÄN</t>
        </is>
      </c>
      <c r="G34" t="inlineStr">
        <is>
          <t>UDDEVALLA</t>
        </is>
      </c>
      <c r="I34" t="n">
        <v>0.5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Luddfingersvamp
Brandticka</t>
        </is>
      </c>
      <c r="W34">
        <f>HYPERLINK("https://klasma.github.io/Logging_1485/artfynd/A 36880-2026 artfynd.xlsx", "A 36880-2026")</f>
        <v/>
      </c>
      <c r="X34">
        <f>HYPERLINK("https://klasma.github.io/Logging_1485/kartor/A 36880-2026 karta.png", "A 36880-2026")</f>
        <v/>
      </c>
      <c r="Y34">
        <f>HYPERLINK("https://klasma.github.io/Logging_1485/kartor_geotiff/A 36880-2026 georefererad karta.tif", "A 36880-2026")</f>
        <v/>
      </c>
      <c r="AA34">
        <f>HYPERLINK("https://klasma.github.io/Logging_1485/klagomål/A 36880-2026 FSC-klagomål.docx", "A 36880-2026")</f>
        <v/>
      </c>
      <c r="AB34">
        <f>HYPERLINK("https://klasma.github.io/Logging_1485/klagomålsmail/A 36880-2026 FSC-klagomål mail.docx", "A 36880-2026")</f>
        <v/>
      </c>
      <c r="AC34">
        <f>HYPERLINK("https://klasma.github.io/Logging_1485/tillsyn/A 36880-2026 tillsynsbegäran.docx", "A 36880-2026")</f>
        <v/>
      </c>
      <c r="AD34">
        <f>HYPERLINK("https://klasma.github.io/Logging_1485/tillsynsmail/A 36880-2026 tillsynsbegäran mail.docx", "A 36880-2026")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46324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1293-2024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45303</v>
      </c>
      <c r="E36" s="1" t="n">
        <v>46324</v>
      </c>
      <c r="F36" t="inlineStr">
        <is>
          <t>VÄSTRA GÖTALANDS LÄN</t>
        </is>
      </c>
      <c r="G36" t="inlineStr">
        <is>
          <t>UDDEVALLA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Tornseglare</t>
        </is>
      </c>
      <c r="W36">
        <f>HYPERLINK("https://klasma.github.io/Logging_1485/artfynd/A 1293-2024 artfynd.xlsx", "A 1293-2024")</f>
        <v/>
      </c>
      <c r="X36">
        <f>HYPERLINK("https://klasma.github.io/Logging_1485/kartor/A 1293-2024 karta.png", "A 1293-2024")</f>
        <v/>
      </c>
      <c r="Y36">
        <f>HYPERLINK("https://klasma.github.io/Logging_1485/kartor_geotiff/A 1293-2024 georefererad karta.tif", "A 1293-2024")</f>
        <v/>
      </c>
      <c r="AA36">
        <f>HYPERLINK("https://klasma.github.io/Logging_1485/klagomål/A 1293-2024 FSC-klagomål.docx", "A 1293-2024")</f>
        <v/>
      </c>
      <c r="AB36">
        <f>HYPERLINK("https://klasma.github.io/Logging_1485/klagomålsmail/A 1293-2024 FSC-klagomål mail.docx", "A 1293-2024")</f>
        <v/>
      </c>
      <c r="AC36">
        <f>HYPERLINK("https://klasma.github.io/Logging_1485/tillsyn/A 1293-2024 tillsynsbegäran.docx", "A 1293-2024")</f>
        <v/>
      </c>
      <c r="AD36">
        <f>HYPERLINK("https://klasma.github.io/Logging_1485/tillsynsmail/A 1293-2024 tillsynsbegäran mail.docx", "A 1293-2024")</f>
        <v/>
      </c>
      <c r="AE36">
        <f>HYPERLINK("https://klasma.github.io/Logging_1485/fåglar/A 1293-2024 prioriterade fågelarter.docx", "A 1293-2024")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46324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46324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29691-2023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46324</v>
      </c>
      <c r="F39" t="inlineStr">
        <is>
          <t>VÄSTRA GÖTALANDS LÄN</t>
        </is>
      </c>
      <c r="G39" t="inlineStr">
        <is>
          <t>UDDEVALLA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Kopparödla</t>
        </is>
      </c>
      <c r="W39">
        <f>HYPERLINK("https://klasma.github.io/Logging_1485/artfynd/A 29691-2023 artfynd.xlsx", "A 29691-2023")</f>
        <v/>
      </c>
      <c r="X39">
        <f>HYPERLINK("https://klasma.github.io/Logging_1485/kartor/A 29691-2023 karta.png", "A 29691-2023")</f>
        <v/>
      </c>
      <c r="Y39">
        <f>HYPERLINK("https://klasma.github.io/Logging_1485/kartor_geotiff/A 29691-2023 georefererad karta.tif", "A 29691-2023")</f>
        <v/>
      </c>
      <c r="AA39">
        <f>HYPERLINK("https://klasma.github.io/Logging_1485/klagomål/A 29691-2023 FSC-klagomål.docx", "A 29691-2023")</f>
        <v/>
      </c>
      <c r="AB39">
        <f>HYPERLINK("https://klasma.github.io/Logging_1485/klagomålsmail/A 29691-2023 FSC-klagomål mail.docx", "A 29691-2023")</f>
        <v/>
      </c>
      <c r="AC39">
        <f>HYPERLINK("https://klasma.github.io/Logging_1485/tillsyn/A 29691-2023 tillsynsbegäran.docx", "A 29691-2023")</f>
        <v/>
      </c>
      <c r="AD39">
        <f>HYPERLINK("https://klasma.github.io/Logging_1485/tillsynsmail/A 29691-2023 tillsynsbegäran mail.docx", "A 29691-2023")</f>
        <v/>
      </c>
    </row>
    <row r="40" ht="15" customHeight="1">
      <c r="A40" t="inlineStr">
        <is>
          <t>A 495-2023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44930</v>
      </c>
      <c r="E40" s="1" t="n">
        <v>46324</v>
      </c>
      <c r="F40" t="inlineStr">
        <is>
          <t>VÄSTRA GÖTALANDS LÄN</t>
        </is>
      </c>
      <c r="G40" t="inlineStr">
        <is>
          <t>UDDEVALLA</t>
        </is>
      </c>
      <c r="H40" t="inlineStr">
        <is>
          <t>Kommuner</t>
        </is>
      </c>
      <c r="I40" t="n">
        <v>3.7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Grönsångare</t>
        </is>
      </c>
      <c r="W40">
        <f>HYPERLINK("https://klasma.github.io/Logging_1485/artfynd/A 495-2023 artfynd.xlsx", "A 495-2023")</f>
        <v/>
      </c>
      <c r="X40">
        <f>HYPERLINK("https://klasma.github.io/Logging_1485/kartor/A 495-2023 karta.png", "A 495-2023")</f>
        <v/>
      </c>
      <c r="Y40">
        <f>HYPERLINK("https://klasma.github.io/Logging_1485/kartor_geotiff/A 495-2023 georefererad karta.tif", "A 495-2023")</f>
        <v/>
      </c>
      <c r="AA40">
        <f>HYPERLINK("https://klasma.github.io/Logging_1485/klagomål/A 495-2023 FSC-klagomål.docx", "A 495-2023")</f>
        <v/>
      </c>
      <c r="AB40">
        <f>HYPERLINK("https://klasma.github.io/Logging_1485/klagomålsmail/A 495-2023 FSC-klagomål mail.docx", "A 495-2023")</f>
        <v/>
      </c>
      <c r="AC40">
        <f>HYPERLINK("https://klasma.github.io/Logging_1485/tillsyn/A 495-2023 tillsynsbegäran.docx", "A 495-2023")</f>
        <v/>
      </c>
      <c r="AD40">
        <f>HYPERLINK("https://klasma.github.io/Logging_1485/tillsynsmail/A 495-2023 tillsynsbegäran mail.docx", "A 495-2023")</f>
        <v/>
      </c>
      <c r="AE40">
        <f>HYPERLINK("https://klasma.github.io/Logging_1485/fåglar/A 495-2023 prioriterade fågelarter.docx", "A 495-2023")</f>
        <v/>
      </c>
    </row>
    <row r="41" ht="15" customHeight="1">
      <c r="A41" t="inlineStr">
        <is>
          <t>A 2429-2026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46324</v>
      </c>
      <c r="F41" t="inlineStr">
        <is>
          <t>VÄSTRA GÖTALANDS LÄN</t>
        </is>
      </c>
      <c r="G41" t="inlineStr">
        <is>
          <t>UDDEVALLA</t>
        </is>
      </c>
      <c r="I41" t="n">
        <v>7.6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HYPERLINK("https://klasma.github.io/Logging_1485/artfynd/A 2429-2026 artfynd.xlsx", "A 2429-2026")</f>
        <v/>
      </c>
      <c r="X41">
        <f>HYPERLINK("https://klasma.github.io/Logging_1485/kartor/A 2429-2026 karta.png", "A 2429-2026")</f>
        <v/>
      </c>
      <c r="Y41">
        <f>HYPERLINK("https://klasma.github.io/Logging_1485/kartor_geotiff/A 2429-2026 georefererad karta.tif", "A 2429-2026")</f>
        <v/>
      </c>
      <c r="AA41">
        <f>HYPERLINK("https://klasma.github.io/Logging_1485/klagomål/A 2429-2026 FSC-klagomål.docx", "A 2429-2026")</f>
        <v/>
      </c>
      <c r="AB41">
        <f>HYPERLINK("https://klasma.github.io/Logging_1485/klagomålsmail/A 2429-2026 FSC-klagomål mail.docx", "A 2429-2026")</f>
        <v/>
      </c>
      <c r="AC41">
        <f>HYPERLINK("https://klasma.github.io/Logging_1485/tillsyn/A 2429-2026 tillsynsbegäran.docx", "A 2429-2026")</f>
        <v/>
      </c>
      <c r="AD41">
        <f>HYPERLINK("https://klasma.github.io/Logging_1485/tillsynsmail/A 2429-2026 tillsynsbegäran mail.docx", "A 2429-2026")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46324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23322-2025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46324</v>
      </c>
      <c r="F43" t="inlineStr">
        <is>
          <t>VÄSTRA GÖTALANDS LÄN</t>
        </is>
      </c>
      <c r="G43" t="inlineStr">
        <is>
          <t>UDDEVALLA</t>
        </is>
      </c>
      <c r="I43" t="n">
        <v>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HYPERLINK("https://klasma.github.io/Logging_1485/artfynd/A 23322-2025 artfynd.xlsx", "A 23322-2025")</f>
        <v/>
      </c>
      <c r="X43">
        <f>HYPERLINK("https://klasma.github.io/Logging_1485/kartor/A 23322-2025 karta.png", "A 23322-2025")</f>
        <v/>
      </c>
      <c r="Y43">
        <f>HYPERLINK("https://klasma.github.io/Logging_1485/kartor_geotiff/A 23322-2025 georefererad karta.tif", "A 23322-2025")</f>
        <v/>
      </c>
      <c r="AA43">
        <f>HYPERLINK("https://klasma.github.io/Logging_1485/klagomål/A 23322-2025 FSC-klagomål.docx", "A 23322-2025")</f>
        <v/>
      </c>
      <c r="AB43">
        <f>HYPERLINK("https://klasma.github.io/Logging_1485/klagomålsmail/A 23322-2025 FSC-klagomål mail.docx", "A 23322-2025")</f>
        <v/>
      </c>
      <c r="AC43">
        <f>HYPERLINK("https://klasma.github.io/Logging_1485/tillsyn/A 23322-2025 tillsynsbegäran.docx", "A 23322-2025")</f>
        <v/>
      </c>
      <c r="AD43">
        <f>HYPERLINK("https://klasma.github.io/Logging_1485/tillsynsmail/A 23322-2025 tillsynsbegäran mail.docx", "A 23322-2025")</f>
        <v/>
      </c>
      <c r="AE43">
        <f>HYPERLINK("https://klasma.github.io/Logging_1485/fåglar/A 23322-2025 prioriterade fågelarter.docx", "A 23322-2025")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46324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39966-2026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46292</v>
      </c>
      <c r="E45" s="1" t="n">
        <v>46324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Kommuner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HYPERLINK("https://klasma.github.io/Logging_1485/artfynd/A 39966-2026 artfynd.xlsx", "A 39966-2026")</f>
        <v/>
      </c>
      <c r="X45">
        <f>HYPERLINK("https://klasma.github.io/Logging_1485/kartor/A 39966-2026 karta.png", "A 39966-2026")</f>
        <v/>
      </c>
      <c r="Y45">
        <f>HYPERLINK("https://klasma.github.io/Logging_1485/kartor_geotiff/A 39966-2026 georefererad karta.tif", "A 39966-2026")</f>
        <v/>
      </c>
      <c r="AA45">
        <f>HYPERLINK("https://klasma.github.io/Logging_1485/klagomål/A 39966-2026 FSC-klagomål.docx", "A 39966-2026")</f>
        <v/>
      </c>
      <c r="AB45">
        <f>HYPERLINK("https://klasma.github.io/Logging_1485/klagomålsmail/A 39966-2026 FSC-klagomål mail.docx", "A 39966-2026")</f>
        <v/>
      </c>
      <c r="AC45">
        <f>HYPERLINK("https://klasma.github.io/Logging_1485/tillsyn/A 39966-2026 tillsynsbegäran.docx", "A 39966-2026")</f>
        <v/>
      </c>
      <c r="AD45">
        <f>HYPERLINK("https://klasma.github.io/Logging_1485/tillsynsmail/A 39966-2026 tillsynsbegäran mail.docx", "A 39966-2026")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46324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236-2023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46324</v>
      </c>
      <c r="F47" t="inlineStr">
        <is>
          <t>VÄSTRA GÖTALANDS LÄN</t>
        </is>
      </c>
      <c r="G47" t="inlineStr">
        <is>
          <t>UDDEVALLA</t>
        </is>
      </c>
      <c r="I47" t="n">
        <v>16.7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Rödgul trumpetsvamp</t>
        </is>
      </c>
      <c r="W47">
        <f>HYPERLINK("https://klasma.github.io/Logging_1485/artfynd/A 236-2023 artfynd.xlsx", "A 236-2023")</f>
        <v/>
      </c>
      <c r="X47">
        <f>HYPERLINK("https://klasma.github.io/Logging_1485/kartor/A 236-2023 karta.png", "A 236-2023")</f>
        <v/>
      </c>
      <c r="Y47">
        <f>HYPERLINK("https://klasma.github.io/Logging_1485/kartor_geotiff/A 236-2023 georefererad karta.tif", "A 236-2023")</f>
        <v/>
      </c>
      <c r="AA47">
        <f>HYPERLINK("https://klasma.github.io/Logging_1485/klagomål/A 236-2023 FSC-klagomål.docx", "A 236-2023")</f>
        <v/>
      </c>
      <c r="AB47">
        <f>HYPERLINK("https://klasma.github.io/Logging_1485/klagomålsmail/A 236-2023 FSC-klagomål mail.docx", "A 236-2023")</f>
        <v/>
      </c>
      <c r="AC47">
        <f>HYPERLINK("https://klasma.github.io/Logging_1485/tillsyn/A 236-2023 tillsynsbegäran.docx", "A 236-2023")</f>
        <v/>
      </c>
      <c r="AD47">
        <f>HYPERLINK("https://klasma.github.io/Logging_1485/tillsynsmail/A 236-2023 tillsynsbegäran mail.docx", "A 236-2023")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46324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10865-2022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46324</v>
      </c>
      <c r="F49" t="inlineStr">
        <is>
          <t>VÄSTRA GÖTALANDS LÄN</t>
        </is>
      </c>
      <c r="G49" t="inlineStr">
        <is>
          <t>UDDEVALLA</t>
        </is>
      </c>
      <c r="I49" t="n">
        <v>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HYPERLINK("https://klasma.github.io/Logging_1485/artfynd/A 10865-2022 artfynd.xlsx", "A 10865-2022")</f>
        <v/>
      </c>
      <c r="X49">
        <f>HYPERLINK("https://klasma.github.io/Logging_1485/kartor/A 10865-2022 karta.png", "A 10865-2022")</f>
        <v/>
      </c>
      <c r="Y49">
        <f>HYPERLINK("https://klasma.github.io/Logging_1485/kartor_geotiff/A 10865-2022 georefererad karta.tif", "A 10865-2022")</f>
        <v/>
      </c>
      <c r="AA49">
        <f>HYPERLINK("https://klasma.github.io/Logging_1485/klagomål/A 10865-2022 FSC-klagomål.docx", "A 10865-2022")</f>
        <v/>
      </c>
      <c r="AB49">
        <f>HYPERLINK("https://klasma.github.io/Logging_1485/klagomålsmail/A 10865-2022 FSC-klagomål mail.docx", "A 10865-2022")</f>
        <v/>
      </c>
      <c r="AC49">
        <f>HYPERLINK("https://klasma.github.io/Logging_1485/tillsyn/A 10865-2022 tillsynsbegäran.docx", "A 10865-2022")</f>
        <v/>
      </c>
      <c r="AD49">
        <f>HYPERLINK("https://klasma.github.io/Logging_1485/tillsynsmail/A 10865-2022 tillsynsbegäran mail.docx", "A 10865-2022")</f>
        <v/>
      </c>
    </row>
    <row r="50" ht="15" customHeight="1">
      <c r="A50" t="inlineStr">
        <is>
          <t>A 42008-2026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46303</v>
      </c>
      <c r="E50" s="1" t="n">
        <v>46324</v>
      </c>
      <c r="F50" t="inlineStr">
        <is>
          <t>VÄSTRA GÖTALANDS LÄN</t>
        </is>
      </c>
      <c r="G50" t="inlineStr">
        <is>
          <t>UDDEVALLA</t>
        </is>
      </c>
      <c r="I50" t="n">
        <v>12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HYPERLINK("https://klasma.github.io/Logging_1485/artfynd/A 42008-2026 artfynd.xlsx", "A 42008-2026")</f>
        <v/>
      </c>
      <c r="X50">
        <f>HYPERLINK("https://klasma.github.io/Logging_1485/kartor/A 42008-2026 karta.png", "A 42008-2026")</f>
        <v/>
      </c>
      <c r="Y50">
        <f>HYPERLINK("https://klasma.github.io/Logging_1485/kartor_geotiff/A 42008-2026 georefererad karta.tif", "A 42008-2026")</f>
        <v/>
      </c>
      <c r="AA50">
        <f>HYPERLINK("https://klasma.github.io/Logging_1485/klagomål/A 42008-2026 FSC-klagomål.docx", "A 42008-2026")</f>
        <v/>
      </c>
      <c r="AB50">
        <f>HYPERLINK("https://klasma.github.io/Logging_1485/klagomålsmail/A 42008-2026 FSC-klagomål mail.docx", "A 42008-2026")</f>
        <v/>
      </c>
      <c r="AC50">
        <f>HYPERLINK("https://klasma.github.io/Logging_1485/tillsyn/A 42008-2026 tillsynsbegäran.docx", "A 42008-2026")</f>
        <v/>
      </c>
      <c r="AD50">
        <f>HYPERLINK("https://klasma.github.io/Logging_1485/tillsynsmail/A 42008-2026 tillsynsbegäran mail.docx", "A 42008-2026")</f>
        <v/>
      </c>
    </row>
    <row r="51" ht="15" customHeight="1">
      <c r="A51" t="inlineStr">
        <is>
          <t>A 42009-2026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46303</v>
      </c>
      <c r="E51" s="1" t="n">
        <v>46324</v>
      </c>
      <c r="F51" t="inlineStr">
        <is>
          <t>VÄSTRA GÖTALANDS LÄN</t>
        </is>
      </c>
      <c r="G51" t="inlineStr">
        <is>
          <t>UDDEVALLA</t>
        </is>
      </c>
      <c r="I51" t="n">
        <v>2.4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42009-2026 artfynd.xlsx", "A 42009-2026")</f>
        <v/>
      </c>
      <c r="X51">
        <f>HYPERLINK("https://klasma.github.io/Logging_1485/kartor/A 42009-2026 karta.png", "A 42009-2026")</f>
        <v/>
      </c>
      <c r="Y51">
        <f>HYPERLINK("https://klasma.github.io/Logging_1485/kartor_geotiff/A 42009-2026 georefererad karta.tif", "A 42009-2026")</f>
        <v/>
      </c>
      <c r="AA51">
        <f>HYPERLINK("https://klasma.github.io/Logging_1485/klagomål/A 42009-2026 FSC-klagomål.docx", "A 42009-2026")</f>
        <v/>
      </c>
      <c r="AB51">
        <f>HYPERLINK("https://klasma.github.io/Logging_1485/klagomålsmail/A 42009-2026 FSC-klagomål mail.docx", "A 42009-2026")</f>
        <v/>
      </c>
      <c r="AC51">
        <f>HYPERLINK("https://klasma.github.io/Logging_1485/tillsyn/A 42009-2026 tillsynsbegäran.docx", "A 42009-2026")</f>
        <v/>
      </c>
      <c r="AD51">
        <f>HYPERLINK("https://klasma.github.io/Logging_1485/tillsynsmail/A 42009-2026 tillsynsbegäran mail.docx", "A 42009-2026")</f>
        <v/>
      </c>
    </row>
    <row r="52" ht="15" customHeight="1">
      <c r="A52" t="inlineStr">
        <is>
          <t>A 55288-2023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46324</v>
      </c>
      <c r="F52" t="inlineStr">
        <is>
          <t>VÄSTRA GÖTALANDS LÄN</t>
        </is>
      </c>
      <c r="G52" t="inlineStr">
        <is>
          <t>UDDEVALLA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55288-2023 artfynd.xlsx", "A 55288-2023")</f>
        <v/>
      </c>
      <c r="X52">
        <f>HYPERLINK("https://klasma.github.io/Logging_1485/kartor/A 55288-2023 karta.png", "A 55288-2023")</f>
        <v/>
      </c>
      <c r="Y52">
        <f>HYPERLINK("https://klasma.github.io/Logging_1485/kartor_geotiff/A 55288-2023 georefererad karta.tif", "A 55288-2023")</f>
        <v/>
      </c>
      <c r="AA52">
        <f>HYPERLINK("https://klasma.github.io/Logging_1485/klagomål/A 55288-2023 FSC-klagomål.docx", "A 55288-2023")</f>
        <v/>
      </c>
      <c r="AB52">
        <f>HYPERLINK("https://klasma.github.io/Logging_1485/klagomålsmail/A 55288-2023 FSC-klagomål mail.docx", "A 55288-2023")</f>
        <v/>
      </c>
      <c r="AC52">
        <f>HYPERLINK("https://klasma.github.io/Logging_1485/tillsyn/A 55288-2023 tillsynsbegäran.docx", "A 55288-2023")</f>
        <v/>
      </c>
      <c r="AD52">
        <f>HYPERLINK("https://klasma.github.io/Logging_1485/tillsynsmail/A 55288-2023 tillsynsbegäran mail.docx", "A 55288-2023")</f>
        <v/>
      </c>
    </row>
    <row r="53" ht="15" customHeight="1">
      <c r="A53" t="inlineStr">
        <is>
          <t>A 23401-2023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46324</v>
      </c>
      <c r="F53" t="inlineStr">
        <is>
          <t>VÄSTRA GÖTALANDS LÄN</t>
        </is>
      </c>
      <c r="G53" t="inlineStr">
        <is>
          <t>UDDEVALLA</t>
        </is>
      </c>
      <c r="I53" t="n">
        <v>3.3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Vedticka</t>
        </is>
      </c>
      <c r="W53">
        <f>HYPERLINK("https://klasma.github.io/Logging_1485/artfynd/A 23401-2023 artfynd.xlsx", "A 23401-2023")</f>
        <v/>
      </c>
      <c r="X53">
        <f>HYPERLINK("https://klasma.github.io/Logging_1485/kartor/A 23401-2023 karta.png", "A 23401-2023")</f>
        <v/>
      </c>
      <c r="Y53">
        <f>HYPERLINK("https://klasma.github.io/Logging_1485/kartor_geotiff/A 23401-2023 georefererad karta.tif", "A 23401-2023")</f>
        <v/>
      </c>
      <c r="AA53">
        <f>HYPERLINK("https://klasma.github.io/Logging_1485/klagomål/A 23401-2023 FSC-klagomål.docx", "A 23401-2023")</f>
        <v/>
      </c>
      <c r="AB53">
        <f>HYPERLINK("https://klasma.github.io/Logging_1485/klagomålsmail/A 23401-2023 FSC-klagomål mail.docx", "A 23401-2023")</f>
        <v/>
      </c>
      <c r="AC53">
        <f>HYPERLINK("https://klasma.github.io/Logging_1485/tillsyn/A 23401-2023 tillsynsbegäran.docx", "A 23401-2023")</f>
        <v/>
      </c>
      <c r="AD53">
        <f>HYPERLINK("https://klasma.github.io/Logging_1485/tillsynsmail/A 23401-2023 tillsynsbegäran mail.docx", "A 23401-2023")</f>
        <v/>
      </c>
    </row>
    <row r="54" ht="15" customHeight="1">
      <c r="A54" t="inlineStr">
        <is>
          <t>A 43847-2026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46316</v>
      </c>
      <c r="E54" s="1" t="n">
        <v>46324</v>
      </c>
      <c r="F54" t="inlineStr">
        <is>
          <t>VÄSTRA GÖTALANDS LÄN</t>
        </is>
      </c>
      <c r="G54" t="inlineStr">
        <is>
          <t>UDDEVALLA</t>
        </is>
      </c>
      <c r="I54" t="n">
        <v>2.1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HYPERLINK("https://klasma.github.io/Logging_1485/artfynd/A 43847-2026 artfynd.xlsx", "A 43847-2026")</f>
        <v/>
      </c>
      <c r="X54">
        <f>HYPERLINK("https://klasma.github.io/Logging_1485/kartor/A 43847-2026 karta.png", "A 43847-2026")</f>
        <v/>
      </c>
      <c r="Y54">
        <f>HYPERLINK("https://klasma.github.io/Logging_1485/kartor_geotiff/A 43847-2026 georefererad karta.tif", "A 43847-2026")</f>
        <v/>
      </c>
      <c r="AA54">
        <f>HYPERLINK("https://klasma.github.io/Logging_1485/klagomål/A 43847-2026 FSC-klagomål.docx", "A 43847-2026")</f>
        <v/>
      </c>
      <c r="AB54">
        <f>HYPERLINK("https://klasma.github.io/Logging_1485/klagomålsmail/A 43847-2026 FSC-klagomål mail.docx", "A 43847-2026")</f>
        <v/>
      </c>
      <c r="AC54">
        <f>HYPERLINK("https://klasma.github.io/Logging_1485/tillsyn/A 43847-2026 tillsynsbegäran.docx", "A 43847-2026")</f>
        <v/>
      </c>
      <c r="AD54">
        <f>HYPERLINK("https://klasma.github.io/Logging_1485/tillsynsmail/A 43847-2026 tillsynsbegäran mail.docx", "A 43847-2026")</f>
        <v/>
      </c>
    </row>
    <row r="55" ht="15" customHeight="1">
      <c r="A55" t="inlineStr">
        <is>
          <t>A 9424-2026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46324</v>
      </c>
      <c r="F55" t="inlineStr">
        <is>
          <t>VÄSTRA GÖTALANDS LÄN</t>
        </is>
      </c>
      <c r="G55" t="inlineStr">
        <is>
          <t>UDDEVALLA</t>
        </is>
      </c>
      <c r="I55" t="n">
        <v>4.3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Flotagräs</t>
        </is>
      </c>
      <c r="W55">
        <f>HYPERLINK("https://klasma.github.io/Logging_1485/artfynd/A 9424-2026 artfynd.xlsx", "A 9424-2026")</f>
        <v/>
      </c>
      <c r="X55">
        <f>HYPERLINK("https://klasma.github.io/Logging_1485/kartor/A 9424-2026 karta.png", "A 9424-2026")</f>
        <v/>
      </c>
      <c r="Y55">
        <f>HYPERLINK("https://klasma.github.io/Logging_1485/kartor_geotiff/A 9424-2026 georefererad karta.tif", "A 9424-2026")</f>
        <v/>
      </c>
      <c r="AA55">
        <f>HYPERLINK("https://klasma.github.io/Logging_1485/klagomål/A 9424-2026 FSC-klagomål.docx", "A 9424-2026")</f>
        <v/>
      </c>
      <c r="AB55">
        <f>HYPERLINK("https://klasma.github.io/Logging_1485/klagomålsmail/A 9424-2026 FSC-klagomål mail.docx", "A 9424-2026")</f>
        <v/>
      </c>
      <c r="AC55">
        <f>HYPERLINK("https://klasma.github.io/Logging_1485/tillsyn/A 9424-2026 tillsynsbegäran.docx", "A 9424-2026")</f>
        <v/>
      </c>
      <c r="AD55">
        <f>HYPERLINK("https://klasma.github.io/Logging_1485/tillsynsmail/A 9424-2026 tillsynsbegäran mail.docx", "A 9424-2026")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46324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41964-2022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46324</v>
      </c>
      <c r="F57" t="inlineStr">
        <is>
          <t>VÄSTRA GÖTALANDS LÄN</t>
        </is>
      </c>
      <c r="G57" t="inlineStr">
        <is>
          <t>UDDEVALLA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46324</v>
      </c>
      <c r="F58" t="inlineStr">
        <is>
          <t>VÄSTRA GÖTALANDS LÄN</t>
        </is>
      </c>
      <c r="G58" t="inlineStr">
        <is>
          <t>UDDEVALLA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46324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46324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46324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46324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46324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46324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46324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46324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46324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46324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46324</v>
      </c>
      <c r="F69" t="inlineStr">
        <is>
          <t>VÄSTRA GÖTALANDS LÄN</t>
        </is>
      </c>
      <c r="G69" t="inlineStr">
        <is>
          <t>UDDEVALLA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45764</v>
      </c>
      <c r="E70" s="1" t="n">
        <v>46324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46324</v>
      </c>
      <c r="F71" t="inlineStr">
        <is>
          <t>VÄSTRA GÖTALANDS LÄN</t>
        </is>
      </c>
      <c r="G71" t="inlineStr">
        <is>
          <t>UDDEVALLA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45633</v>
      </c>
      <c r="E72" s="1" t="n">
        <v>46324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45314</v>
      </c>
      <c r="E73" s="1" t="n">
        <v>46324</v>
      </c>
      <c r="F73" t="inlineStr">
        <is>
          <t>VÄSTRA GÖTALANDS LÄN</t>
        </is>
      </c>
      <c r="G73" t="inlineStr">
        <is>
          <t>UDDEVALLA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45374</v>
      </c>
      <c r="E74" s="1" t="n">
        <v>46324</v>
      </c>
      <c r="F74" t="inlineStr">
        <is>
          <t>VÄSTRA GÖTALANDS LÄN</t>
        </is>
      </c>
      <c r="G74" t="inlineStr">
        <is>
          <t>UDDEVALLA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65457-2021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46324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44928</v>
      </c>
      <c r="E76" s="1" t="n">
        <v>46324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24081-2024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45456</v>
      </c>
      <c r="E77" s="1" t="n">
        <v>46324</v>
      </c>
      <c r="F77" t="inlineStr">
        <is>
          <t>VÄSTRA GÖTALANDS LÄN</t>
        </is>
      </c>
      <c r="G77" t="inlineStr">
        <is>
          <t>UDDEVALLA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46324</v>
      </c>
      <c r="F78" t="inlineStr">
        <is>
          <t>VÄSTRA GÖTALANDS LÄN</t>
        </is>
      </c>
      <c r="G78" t="inlineStr">
        <is>
          <t>UDDEVALLA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46324</v>
      </c>
      <c r="F79" t="inlineStr">
        <is>
          <t>VÄSTRA GÖTALANDS LÄN</t>
        </is>
      </c>
      <c r="G79" t="inlineStr">
        <is>
          <t>UDDEVALLA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45021</v>
      </c>
      <c r="E80" s="1" t="n">
        <v>46324</v>
      </c>
      <c r="F80" t="inlineStr">
        <is>
          <t>VÄSTRA GÖTALANDS LÄN</t>
        </is>
      </c>
      <c r="G80" t="inlineStr">
        <is>
          <t>UDDEVALLA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46324</v>
      </c>
      <c r="F81" t="inlineStr">
        <is>
          <t>VÄSTRA GÖTALANDS LÄN</t>
        </is>
      </c>
      <c r="G81" t="inlineStr">
        <is>
          <t>UDDEVALLA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49780-2023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46324</v>
      </c>
      <c r="F82" t="inlineStr">
        <is>
          <t>VÄSTRA GÖTALANDS LÄN</t>
        </is>
      </c>
      <c r="G82" t="inlineStr">
        <is>
          <t>UDDEVALLA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46324</v>
      </c>
      <c r="F83" t="inlineStr">
        <is>
          <t>VÄSTRA GÖTALANDS LÄN</t>
        </is>
      </c>
      <c r="G83" t="inlineStr">
        <is>
          <t>UDDEVALLA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55731-2023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45239</v>
      </c>
      <c r="E84" s="1" t="n">
        <v>46324</v>
      </c>
      <c r="F84" t="inlineStr">
        <is>
          <t>VÄSTRA GÖTALANDS LÄN</t>
        </is>
      </c>
      <c r="G84" t="inlineStr">
        <is>
          <t>UDDEVALLA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46324</v>
      </c>
      <c r="F85" t="inlineStr">
        <is>
          <t>VÄSTRA GÖTALANDS LÄN</t>
        </is>
      </c>
      <c r="G85" t="inlineStr">
        <is>
          <t>UDDEVALLA</t>
        </is>
      </c>
      <c r="H85" t="inlineStr">
        <is>
          <t>Kyrkan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46324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40297-2024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45554</v>
      </c>
      <c r="E87" s="1" t="n">
        <v>46324</v>
      </c>
      <c r="F87" t="inlineStr">
        <is>
          <t>VÄSTRA GÖTALANDS LÄN</t>
        </is>
      </c>
      <c r="G87" t="inlineStr">
        <is>
          <t>UDDEVALLA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44924</v>
      </c>
      <c r="E88" s="1" t="n">
        <v>46324</v>
      </c>
      <c r="F88" t="inlineStr">
        <is>
          <t>VÄSTRA GÖTALANDS LÄN</t>
        </is>
      </c>
      <c r="G88" t="inlineStr">
        <is>
          <t>UDDEVALLA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46324</v>
      </c>
      <c r="F89" t="inlineStr">
        <is>
          <t>VÄSTRA GÖTALANDS LÄN</t>
        </is>
      </c>
      <c r="G89" t="inlineStr">
        <is>
          <t>UDDEVALLA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46324</v>
      </c>
      <c r="F90" t="inlineStr">
        <is>
          <t>VÄSTRA GÖTALANDS LÄN</t>
        </is>
      </c>
      <c r="G90" t="inlineStr">
        <is>
          <t>UDDEVALLA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45551</v>
      </c>
      <c r="E91" s="1" t="n">
        <v>46324</v>
      </c>
      <c r="F91" t="inlineStr">
        <is>
          <t>VÄSTRA GÖTALANDS LÄN</t>
        </is>
      </c>
      <c r="G91" t="inlineStr">
        <is>
          <t>UDDEVALLA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46324</v>
      </c>
      <c r="F92" t="inlineStr">
        <is>
          <t>VÄSTRA GÖTALANDS LÄN</t>
        </is>
      </c>
      <c r="G92" t="inlineStr">
        <is>
          <t>UDDEVALLA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45723</v>
      </c>
      <c r="E93" s="1" t="n">
        <v>46324</v>
      </c>
      <c r="F93" t="inlineStr">
        <is>
          <t>VÄSTRA GÖTALANDS LÄN</t>
        </is>
      </c>
      <c r="G93" t="inlineStr">
        <is>
          <t>UDDEVALLA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73437-2021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46324</v>
      </c>
      <c r="F94" t="inlineStr">
        <is>
          <t>VÄSTRA GÖTALANDS LÄN</t>
        </is>
      </c>
      <c r="G94" t="inlineStr">
        <is>
          <t>UDDEVALLA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46324</v>
      </c>
      <c r="F95" t="inlineStr">
        <is>
          <t>VÄSTRA GÖTALANDS LÄN</t>
        </is>
      </c>
      <c r="G95" t="inlineStr">
        <is>
          <t>UDDEVALLA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45699</v>
      </c>
      <c r="E96" s="1" t="n">
        <v>46324</v>
      </c>
      <c r="F96" t="inlineStr">
        <is>
          <t>VÄSTRA GÖTALANDS LÄN</t>
        </is>
      </c>
      <c r="G96" t="inlineStr">
        <is>
          <t>UDDEVALLA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46324</v>
      </c>
      <c r="F97" t="inlineStr">
        <is>
          <t>VÄSTRA GÖTALANDS LÄN</t>
        </is>
      </c>
      <c r="G97" t="inlineStr">
        <is>
          <t>UDDEVALLA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45133</v>
      </c>
      <c r="E98" s="1" t="n">
        <v>46324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45895</v>
      </c>
      <c r="E99" s="1" t="n">
        <v>46324</v>
      </c>
      <c r="F99" t="inlineStr">
        <is>
          <t>VÄSTRA GÖTALANDS LÄN</t>
        </is>
      </c>
      <c r="G99" t="inlineStr">
        <is>
          <t>UDDEVALLA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8893-2024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45355</v>
      </c>
      <c r="E100" s="1" t="n">
        <v>46324</v>
      </c>
      <c r="F100" t="inlineStr">
        <is>
          <t>VÄSTRA GÖTALANDS LÄN</t>
        </is>
      </c>
      <c r="G100" t="inlineStr">
        <is>
          <t>UDDEVALLA</t>
        </is>
      </c>
      <c r="H100" t="inlineStr">
        <is>
          <t>Kyrkan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45826</v>
      </c>
      <c r="E101" s="1" t="n">
        <v>46324</v>
      </c>
      <c r="F101" t="inlineStr">
        <is>
          <t>VÄSTRA GÖTALANDS LÄN</t>
        </is>
      </c>
      <c r="G101" t="inlineStr">
        <is>
          <t>UDDEVALLA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46324</v>
      </c>
      <c r="F102" t="inlineStr">
        <is>
          <t>VÄSTRA GÖTALANDS LÄN</t>
        </is>
      </c>
      <c r="G102" t="inlineStr">
        <is>
          <t>UDDEVALLA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45826</v>
      </c>
      <c r="E103" s="1" t="n">
        <v>46324</v>
      </c>
      <c r="F103" t="inlineStr">
        <is>
          <t>VÄSTRA GÖTALANDS LÄN</t>
        </is>
      </c>
      <c r="G103" t="inlineStr">
        <is>
          <t>UDDEVALLA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46324</v>
      </c>
      <c r="F104" t="inlineStr">
        <is>
          <t>VÄSTRA GÖTALANDS LÄN</t>
        </is>
      </c>
      <c r="G104" t="inlineStr">
        <is>
          <t>UDDEVALLA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41576-2025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46324</v>
      </c>
      <c r="F105" t="inlineStr">
        <is>
          <t>VÄSTRA GÖTALANDS LÄN</t>
        </is>
      </c>
      <c r="G105" t="inlineStr">
        <is>
          <t>UDDEVALLA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44578</v>
      </c>
      <c r="E106" s="1" t="n">
        <v>46324</v>
      </c>
      <c r="F106" t="inlineStr">
        <is>
          <t>VÄSTRA GÖTALANDS LÄN</t>
        </is>
      </c>
      <c r="G106" t="inlineStr">
        <is>
          <t>UDDEVALLA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46324</v>
      </c>
      <c r="F107" t="inlineStr">
        <is>
          <t>VÄSTRA GÖTALANDS LÄN</t>
        </is>
      </c>
      <c r="G107" t="inlineStr">
        <is>
          <t>UDDEVALLA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46324</v>
      </c>
      <c r="F108" t="inlineStr">
        <is>
          <t>VÄSTRA GÖTALANDS LÄN</t>
        </is>
      </c>
      <c r="G108" t="inlineStr">
        <is>
          <t>UDDEVALLA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25469-2024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46324</v>
      </c>
      <c r="F109" t="inlineStr">
        <is>
          <t>VÄSTRA GÖTALANDS LÄN</t>
        </is>
      </c>
      <c r="G109" t="inlineStr">
        <is>
          <t>UDDEVALLA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45914</v>
      </c>
      <c r="E110" s="1" t="n">
        <v>46324</v>
      </c>
      <c r="F110" t="inlineStr">
        <is>
          <t>VÄSTRA GÖTALANDS LÄN</t>
        </is>
      </c>
      <c r="G110" t="inlineStr">
        <is>
          <t>UDDEVALLA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45914</v>
      </c>
      <c r="E111" s="1" t="n">
        <v>46324</v>
      </c>
      <c r="F111" t="inlineStr">
        <is>
          <t>VÄSTRA GÖTALANDS LÄN</t>
        </is>
      </c>
      <c r="G111" t="inlineStr">
        <is>
          <t>UDDEVALLA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43271-2023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45183</v>
      </c>
      <c r="E112" s="1" t="n">
        <v>46324</v>
      </c>
      <c r="F112" t="inlineStr">
        <is>
          <t>VÄSTRA GÖTALANDS LÄN</t>
        </is>
      </c>
      <c r="G112" t="inlineStr">
        <is>
          <t>UDDEVALLA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46324</v>
      </c>
      <c r="F113" t="inlineStr">
        <is>
          <t>VÄSTRA GÖTALANDS LÄN</t>
        </is>
      </c>
      <c r="G113" t="inlineStr">
        <is>
          <t>UDDEVALLA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46324</v>
      </c>
      <c r="F114" t="inlineStr">
        <is>
          <t>VÄSTRA GÖTALANDS LÄN</t>
        </is>
      </c>
      <c r="G114" t="inlineStr">
        <is>
          <t>UDDEVALLA</t>
        </is>
      </c>
      <c r="I114" t="n">
        <v>19.4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25519-2023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45089</v>
      </c>
      <c r="E115" s="1" t="n">
        <v>46324</v>
      </c>
      <c r="F115" t="inlineStr">
        <is>
          <t>VÄSTRA GÖTALANDS LÄN</t>
        </is>
      </c>
      <c r="G115" t="inlineStr">
        <is>
          <t>UDDEVALLA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46324</v>
      </c>
      <c r="F116" t="inlineStr">
        <is>
          <t>VÄSTRA GÖTALANDS LÄN</t>
        </is>
      </c>
      <c r="G116" t="inlineStr">
        <is>
          <t>UDDEVALLA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70491-2021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44536</v>
      </c>
      <c r="E117" s="1" t="n">
        <v>46324</v>
      </c>
      <c r="F117" t="inlineStr">
        <is>
          <t>VÄSTRA GÖTALANDS LÄN</t>
        </is>
      </c>
      <c r="G117" t="inlineStr">
        <is>
          <t>UDDEVALLA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46324</v>
      </c>
      <c r="F118" t="inlineStr">
        <is>
          <t>VÄSTRA GÖTALANDS LÄN</t>
        </is>
      </c>
      <c r="G118" t="inlineStr">
        <is>
          <t>UDDEVALLA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33996-2025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45843</v>
      </c>
      <c r="E119" s="1" t="n">
        <v>46324</v>
      </c>
      <c r="F119" t="inlineStr">
        <is>
          <t>VÄSTRA GÖTALANDS LÄN</t>
        </is>
      </c>
      <c r="G119" t="inlineStr">
        <is>
          <t>UDDEVALLA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46324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45548</v>
      </c>
      <c r="E121" s="1" t="n">
        <v>46324</v>
      </c>
      <c r="F121" t="inlineStr">
        <is>
          <t>VÄSTRA GÖTALANDS LÄN</t>
        </is>
      </c>
      <c r="G121" t="inlineStr">
        <is>
          <t>UDDEVALLA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47083-2025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46324</v>
      </c>
      <c r="F122" t="inlineStr">
        <is>
          <t>VÄSTRA GÖTALANDS LÄN</t>
        </is>
      </c>
      <c r="G122" t="inlineStr">
        <is>
          <t>UDDEVALLA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7726-2024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45349</v>
      </c>
      <c r="E123" s="1" t="n">
        <v>46324</v>
      </c>
      <c r="F123" t="inlineStr">
        <is>
          <t>VÄSTRA GÖTALANDS LÄN</t>
        </is>
      </c>
      <c r="G123" t="inlineStr">
        <is>
          <t>UDDEVALLA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46324</v>
      </c>
      <c r="F124" t="inlineStr">
        <is>
          <t>VÄSTRA GÖTALANDS LÄN</t>
        </is>
      </c>
      <c r="G124" t="inlineStr">
        <is>
          <t>UDDEVALLA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46324</v>
      </c>
      <c r="F125" t="inlineStr">
        <is>
          <t>VÄSTRA GÖTALANDS LÄN</t>
        </is>
      </c>
      <c r="G125" t="inlineStr">
        <is>
          <t>UDDEVALLA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45656</v>
      </c>
      <c r="E126" s="1" t="n">
        <v>46324</v>
      </c>
      <c r="F126" t="inlineStr">
        <is>
          <t>VÄSTRA GÖTALANDS LÄN</t>
        </is>
      </c>
      <c r="G126" t="inlineStr">
        <is>
          <t>UDDEVALLA</t>
        </is>
      </c>
      <c r="H126" t="inlineStr">
        <is>
          <t>Kommuner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46324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46324</v>
      </c>
      <c r="F128" t="inlineStr">
        <is>
          <t>VÄSTRA GÖTALANDS LÄN</t>
        </is>
      </c>
      <c r="G128" t="inlineStr">
        <is>
          <t>UDDEVALLA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46324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46324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46324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61629-2024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45646</v>
      </c>
      <c r="E132" s="1" t="n">
        <v>46324</v>
      </c>
      <c r="F132" t="inlineStr">
        <is>
          <t>VÄSTRA GÖTALANDS LÄN</t>
        </is>
      </c>
      <c r="G132" t="inlineStr">
        <is>
          <t>UDDEVALLA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45642</v>
      </c>
      <c r="E133" s="1" t="n">
        <v>46324</v>
      </c>
      <c r="F133" t="inlineStr">
        <is>
          <t>VÄSTRA GÖTALANDS LÄN</t>
        </is>
      </c>
      <c r="G133" t="inlineStr">
        <is>
          <t>UDDEVALLA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46324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46324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46324</v>
      </c>
      <c r="F136" t="inlineStr">
        <is>
          <t>VÄSTRA GÖTALANDS LÄN</t>
        </is>
      </c>
      <c r="G136" t="inlineStr">
        <is>
          <t>UDDEVALLA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46324</v>
      </c>
      <c r="F137" t="inlineStr">
        <is>
          <t>VÄSTRA GÖTALANDS LÄN</t>
        </is>
      </c>
      <c r="G137" t="inlineStr">
        <is>
          <t>UDDEVALLA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46324</v>
      </c>
      <c r="F138" t="inlineStr">
        <is>
          <t>VÄSTRA GÖTALANDS LÄN</t>
        </is>
      </c>
      <c r="G138" t="inlineStr">
        <is>
          <t>UDDEVALLA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45455</v>
      </c>
      <c r="E139" s="1" t="n">
        <v>46324</v>
      </c>
      <c r="F139" t="inlineStr">
        <is>
          <t>VÄSTRA GÖTALANDS LÄN</t>
        </is>
      </c>
      <c r="G139" t="inlineStr">
        <is>
          <t>UDDEVALLA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45097</v>
      </c>
      <c r="E140" s="1" t="n">
        <v>46324</v>
      </c>
      <c r="F140" t="inlineStr">
        <is>
          <t>VÄSTRA GÖTALANDS LÄN</t>
        </is>
      </c>
      <c r="G140" t="inlineStr">
        <is>
          <t>UDDEVALLA</t>
        </is>
      </c>
      <c r="I140" t="n">
        <v>9.699999999999999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46324</v>
      </c>
      <c r="F141" t="inlineStr">
        <is>
          <t>VÄSTRA GÖTALANDS LÄN</t>
        </is>
      </c>
      <c r="G141" t="inlineStr">
        <is>
          <t>UDDEVALLA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46324</v>
      </c>
      <c r="F142" t="inlineStr">
        <is>
          <t>VÄSTRA GÖTALANDS LÄN</t>
        </is>
      </c>
      <c r="G142" t="inlineStr">
        <is>
          <t>UDDEVALLA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46324</v>
      </c>
      <c r="F143" t="inlineStr">
        <is>
          <t>VÄSTRA GÖTALANDS LÄN</t>
        </is>
      </c>
      <c r="G143" t="inlineStr">
        <is>
          <t>UDDEVALLA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46324</v>
      </c>
      <c r="F144" t="inlineStr">
        <is>
          <t>VÄSTRA GÖTALANDS LÄN</t>
        </is>
      </c>
      <c r="G144" t="inlineStr">
        <is>
          <t>UDDEVALLA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46324</v>
      </c>
      <c r="F145" t="inlineStr">
        <is>
          <t>VÄSTRA GÖTALANDS LÄN</t>
        </is>
      </c>
      <c r="G145" t="inlineStr">
        <is>
          <t>UDDEVALLA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46324</v>
      </c>
      <c r="F146" t="inlineStr">
        <is>
          <t>VÄSTRA GÖTALANDS LÄN</t>
        </is>
      </c>
      <c r="G146" t="inlineStr">
        <is>
          <t>UDDEVALLA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46324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46324</v>
      </c>
      <c r="F148" t="inlineStr">
        <is>
          <t>VÄSTRA GÖTALANDS LÄN</t>
        </is>
      </c>
      <c r="G148" t="inlineStr">
        <is>
          <t>UDDEVALLA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46324</v>
      </c>
      <c r="F149" t="inlineStr">
        <is>
          <t>VÄSTRA GÖTALANDS LÄN</t>
        </is>
      </c>
      <c r="G149" t="inlineStr">
        <is>
          <t>UDDEVALLA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46324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46324</v>
      </c>
      <c r="F151" t="inlineStr">
        <is>
          <t>VÄSTRA GÖTALANDS LÄN</t>
        </is>
      </c>
      <c r="G151" t="inlineStr">
        <is>
          <t>UDDEVALLA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38133-2025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45882</v>
      </c>
      <c r="E152" s="1" t="n">
        <v>46324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45672</v>
      </c>
      <c r="E153" s="1" t="n">
        <v>46324</v>
      </c>
      <c r="F153" t="inlineStr">
        <is>
          <t>VÄSTRA GÖTALANDS LÄN</t>
        </is>
      </c>
      <c r="G153" t="inlineStr">
        <is>
          <t>UDDEVALLA</t>
        </is>
      </c>
      <c r="I153" t="n">
        <v>14.1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45940</v>
      </c>
      <c r="E154" s="1" t="n">
        <v>46324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46324</v>
      </c>
      <c r="F155" t="inlineStr">
        <is>
          <t>VÄSTRA GÖTALANDS LÄN</t>
        </is>
      </c>
      <c r="G155" t="inlineStr">
        <is>
          <t>UDDEVALLA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33092-2024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45517</v>
      </c>
      <c r="E156" s="1" t="n">
        <v>46324</v>
      </c>
      <c r="F156" t="inlineStr">
        <is>
          <t>VÄSTRA GÖTALANDS LÄN</t>
        </is>
      </c>
      <c r="G156" t="inlineStr">
        <is>
          <t>UDDEVALLA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46324</v>
      </c>
      <c r="F157" t="inlineStr">
        <is>
          <t>VÄSTRA GÖTALANDS LÄN</t>
        </is>
      </c>
      <c r="G157" t="inlineStr">
        <is>
          <t>UDDEVALLA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45882</v>
      </c>
      <c r="E158" s="1" t="n">
        <v>46324</v>
      </c>
      <c r="F158" t="inlineStr">
        <is>
          <t>VÄSTRA GÖTALANDS LÄN</t>
        </is>
      </c>
      <c r="G158" t="inlineStr">
        <is>
          <t>UDDEVALLA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44572</v>
      </c>
      <c r="E159" s="1" t="n">
        <v>46324</v>
      </c>
      <c r="F159" t="inlineStr">
        <is>
          <t>VÄSTRA GÖTALANDS LÄN</t>
        </is>
      </c>
      <c r="G159" t="inlineStr">
        <is>
          <t>UDDEVALLA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73007-2021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44550</v>
      </c>
      <c r="E160" s="1" t="n">
        <v>46324</v>
      </c>
      <c r="F160" t="inlineStr">
        <is>
          <t>VÄSTRA GÖTALANDS LÄN</t>
        </is>
      </c>
      <c r="G160" t="inlineStr">
        <is>
          <t>UDDEVALLA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46324</v>
      </c>
      <c r="F161" t="inlineStr">
        <is>
          <t>VÄSTRA GÖTALANDS LÄN</t>
        </is>
      </c>
      <c r="G161" t="inlineStr">
        <is>
          <t>UDDEVALLA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46324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63878-2021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44509</v>
      </c>
      <c r="E163" s="1" t="n">
        <v>46324</v>
      </c>
      <c r="F163" t="inlineStr">
        <is>
          <t>VÄSTRA GÖTALANDS LÄN</t>
        </is>
      </c>
      <c r="G163" t="inlineStr">
        <is>
          <t>UDDEVALLA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46324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45975</v>
      </c>
      <c r="E165" s="1" t="n">
        <v>46324</v>
      </c>
      <c r="F165" t="inlineStr">
        <is>
          <t>VÄSTRA GÖTALANDS LÄN</t>
        </is>
      </c>
      <c r="G165" t="inlineStr">
        <is>
          <t>UDDEVALLA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46324</v>
      </c>
      <c r="F166" t="inlineStr">
        <is>
          <t>VÄSTRA GÖTALANDS LÄN</t>
        </is>
      </c>
      <c r="G166" t="inlineStr">
        <is>
          <t>UDDEVALLA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46324</v>
      </c>
      <c r="F167" t="inlineStr">
        <is>
          <t>VÄSTRA GÖTALANDS LÄN</t>
        </is>
      </c>
      <c r="G167" t="inlineStr">
        <is>
          <t>UDDEVALLA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58563-2025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46324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45309</v>
      </c>
      <c r="E169" s="1" t="n">
        <v>46324</v>
      </c>
      <c r="F169" t="inlineStr">
        <is>
          <t>VÄSTRA GÖTALANDS LÄN</t>
        </is>
      </c>
      <c r="G169" t="inlineStr">
        <is>
          <t>UDDEVALLA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46324</v>
      </c>
      <c r="F170" t="inlineStr">
        <is>
          <t>VÄSTRA GÖTALANDS LÄN</t>
        </is>
      </c>
      <c r="G170" t="inlineStr">
        <is>
          <t>UDDEVALLA</t>
        </is>
      </c>
      <c r="I170" t="n">
        <v>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44634</v>
      </c>
      <c r="E171" s="1" t="n">
        <v>46324</v>
      </c>
      <c r="F171" t="inlineStr">
        <is>
          <t>VÄSTRA GÖTALANDS LÄN</t>
        </is>
      </c>
      <c r="G171" t="inlineStr">
        <is>
          <t>UDDEVALLA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45992</v>
      </c>
      <c r="E172" s="1" t="n">
        <v>46324</v>
      </c>
      <c r="F172" t="inlineStr">
        <is>
          <t>VÄSTRA GÖTALANDS LÄN</t>
        </is>
      </c>
      <c r="G172" t="inlineStr">
        <is>
          <t>UDDEVALLA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46324</v>
      </c>
      <c r="F173" t="inlineStr">
        <is>
          <t>VÄSTRA GÖTALANDS LÄN</t>
        </is>
      </c>
      <c r="G173" t="inlineStr">
        <is>
          <t>UDDEVALLA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46324</v>
      </c>
      <c r="F174" t="inlineStr">
        <is>
          <t>VÄSTRA GÖTALANDS LÄN</t>
        </is>
      </c>
      <c r="G174" t="inlineStr">
        <is>
          <t>UDDEVALLA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46324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Övriga statliga verk och myndigheter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46324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46324</v>
      </c>
      <c r="F177" t="inlineStr">
        <is>
          <t>VÄSTRA GÖTALANDS LÄN</t>
        </is>
      </c>
      <c r="G177" t="inlineStr">
        <is>
          <t>UDDEVALLA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46324</v>
      </c>
      <c r="F178" t="inlineStr">
        <is>
          <t>VÄSTRA GÖTALANDS LÄN</t>
        </is>
      </c>
      <c r="G178" t="inlineStr">
        <is>
          <t>UDDEVALLA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46324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45994</v>
      </c>
      <c r="E180" s="1" t="n">
        <v>46324</v>
      </c>
      <c r="F180" t="inlineStr">
        <is>
          <t>VÄSTRA GÖTALANDS LÄN</t>
        </is>
      </c>
      <c r="G180" t="inlineStr">
        <is>
          <t>UDDEVALLA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46324</v>
      </c>
      <c r="F181" t="inlineStr">
        <is>
          <t>VÄSTRA GÖTALANDS LÄN</t>
        </is>
      </c>
      <c r="G181" t="inlineStr">
        <is>
          <t>UDDEVALLA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46324</v>
      </c>
      <c r="F182" t="inlineStr">
        <is>
          <t>VÄSTRA GÖTALANDS LÄN</t>
        </is>
      </c>
      <c r="G182" t="inlineStr">
        <is>
          <t>UDDEVALLA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46324</v>
      </c>
      <c r="F183" t="inlineStr">
        <is>
          <t>VÄSTRA GÖTALANDS LÄN</t>
        </is>
      </c>
      <c r="G183" t="inlineStr">
        <is>
          <t>UDDEVALLA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17058-2025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45754</v>
      </c>
      <c r="E184" s="1" t="n">
        <v>46324</v>
      </c>
      <c r="F184" t="inlineStr">
        <is>
          <t>VÄSTRA GÖTALANDS LÄN</t>
        </is>
      </c>
      <c r="G184" t="inlineStr">
        <is>
          <t>UDDEVALLA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58625-2024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45635</v>
      </c>
      <c r="E185" s="1" t="n">
        <v>46324</v>
      </c>
      <c r="F185" t="inlineStr">
        <is>
          <t>VÄSTRA GÖTALANDS LÄN</t>
        </is>
      </c>
      <c r="G185" t="inlineStr">
        <is>
          <t>UDDEVALLA</t>
        </is>
      </c>
      <c r="I185" t="n">
        <v>14.9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62365-2025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46324</v>
      </c>
      <c r="F186" t="inlineStr">
        <is>
          <t>VÄSTRA GÖTALANDS LÄN</t>
        </is>
      </c>
      <c r="G186" t="inlineStr">
        <is>
          <t>UDDEVALLA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45758</v>
      </c>
      <c r="E187" s="1" t="n">
        <v>46324</v>
      </c>
      <c r="F187" t="inlineStr">
        <is>
          <t>VÄSTRA GÖTALANDS LÄN</t>
        </is>
      </c>
      <c r="G187" t="inlineStr">
        <is>
          <t>UDDEVALLA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30639-2024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45495</v>
      </c>
      <c r="E188" s="1" t="n">
        <v>46324</v>
      </c>
      <c r="F188" t="inlineStr">
        <is>
          <t>VÄSTRA GÖTALANDS LÄN</t>
        </is>
      </c>
      <c r="G188" t="inlineStr">
        <is>
          <t>UDDEVALLA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46324</v>
      </c>
      <c r="F189" t="inlineStr">
        <is>
          <t>VÄSTRA GÖTALANDS LÄN</t>
        </is>
      </c>
      <c r="G189" t="inlineStr">
        <is>
          <t>UDDEVALLA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46324</v>
      </c>
      <c r="F190" t="inlineStr">
        <is>
          <t>VÄSTRA GÖTALANDS LÄN</t>
        </is>
      </c>
      <c r="G190" t="inlineStr">
        <is>
          <t>UDDEVALLA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46324</v>
      </c>
      <c r="F191" t="inlineStr">
        <is>
          <t>VÄSTRA GÖTALANDS LÄN</t>
        </is>
      </c>
      <c r="G191" t="inlineStr">
        <is>
          <t>UDDEVALLA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46324</v>
      </c>
      <c r="F192" t="inlineStr">
        <is>
          <t>VÄSTRA GÖTALANDS LÄN</t>
        </is>
      </c>
      <c r="G192" t="inlineStr">
        <is>
          <t>UDDEVALLA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46324</v>
      </c>
      <c r="F193" t="inlineStr">
        <is>
          <t>VÄSTRA GÖTALANDS LÄN</t>
        </is>
      </c>
      <c r="G193" t="inlineStr">
        <is>
          <t>UDDEVALLA</t>
        </is>
      </c>
      <c r="H193" t="inlineStr">
        <is>
          <t>Kyrkan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46026</v>
      </c>
      <c r="E194" s="1" t="n">
        <v>46324</v>
      </c>
      <c r="F194" t="inlineStr">
        <is>
          <t>VÄSTRA GÖTALANDS LÄN</t>
        </is>
      </c>
      <c r="G194" t="inlineStr">
        <is>
          <t>UDDEVALLA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46027</v>
      </c>
      <c r="E195" s="1" t="n">
        <v>46324</v>
      </c>
      <c r="F195" t="inlineStr">
        <is>
          <t>VÄSTRA GÖTALANDS LÄN</t>
        </is>
      </c>
      <c r="G195" t="inlineStr">
        <is>
          <t>UDDEVALLA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46324</v>
      </c>
      <c r="F196" t="inlineStr">
        <is>
          <t>VÄSTRA GÖTALANDS LÄN</t>
        </is>
      </c>
      <c r="G196" t="inlineStr">
        <is>
          <t>UDDEVALLA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46324</v>
      </c>
      <c r="F197" t="inlineStr">
        <is>
          <t>VÄSTRA GÖTALANDS LÄN</t>
        </is>
      </c>
      <c r="G197" t="inlineStr">
        <is>
          <t>UDDEVALLA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46324</v>
      </c>
      <c r="F198" t="inlineStr">
        <is>
          <t>VÄSTRA GÖTALANDS LÄN</t>
        </is>
      </c>
      <c r="G198" t="inlineStr">
        <is>
          <t>UDDEVALLA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45771</v>
      </c>
      <c r="E199" s="1" t="n">
        <v>46324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46177</v>
      </c>
      <c r="E200" s="1" t="n">
        <v>46324</v>
      </c>
      <c r="F200" t="inlineStr">
        <is>
          <t>VÄSTRA GÖTALANDS LÄN</t>
        </is>
      </c>
      <c r="G200" t="inlineStr">
        <is>
          <t>UDDEVALLA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23395-2023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45076</v>
      </c>
      <c r="E201" s="1" t="n">
        <v>46324</v>
      </c>
      <c r="F201" t="inlineStr">
        <is>
          <t>VÄSTRA GÖTALANDS LÄN</t>
        </is>
      </c>
      <c r="G201" t="inlineStr">
        <is>
          <t>UDDEVALLA</t>
        </is>
      </c>
      <c r="I201" t="n">
        <v>12.2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9797-2023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44984</v>
      </c>
      <c r="E202" s="1" t="n">
        <v>46324</v>
      </c>
      <c r="F202" t="inlineStr">
        <is>
          <t>VÄSTRA GÖTALANDS LÄN</t>
        </is>
      </c>
      <c r="G202" t="inlineStr">
        <is>
          <t>UDDEVALLA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46324</v>
      </c>
      <c r="F203" t="inlineStr">
        <is>
          <t>VÄSTRA GÖTALANDS LÄN</t>
        </is>
      </c>
      <c r="G203" t="inlineStr">
        <is>
          <t>UDDEVALLA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46324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46324</v>
      </c>
      <c r="F205" t="inlineStr">
        <is>
          <t>VÄSTRA GÖTALANDS LÄN</t>
        </is>
      </c>
      <c r="G205" t="inlineStr">
        <is>
          <t>UDDEVALLA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46324</v>
      </c>
      <c r="F206" t="inlineStr">
        <is>
          <t>VÄSTRA GÖTALANDS LÄN</t>
        </is>
      </c>
      <c r="G206" t="inlineStr">
        <is>
          <t>UDDEVALLA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46324</v>
      </c>
      <c r="F207" t="inlineStr">
        <is>
          <t>VÄSTRA GÖTALANDS LÄN</t>
        </is>
      </c>
      <c r="G207" t="inlineStr">
        <is>
          <t>UDDEVALLA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46324</v>
      </c>
      <c r="F208" t="inlineStr">
        <is>
          <t>VÄSTRA GÖTALANDS LÄN</t>
        </is>
      </c>
      <c r="G208" t="inlineStr">
        <is>
          <t>UDDEVALLA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46324</v>
      </c>
      <c r="F209" t="inlineStr">
        <is>
          <t>VÄSTRA GÖTALANDS LÄN</t>
        </is>
      </c>
      <c r="G209" t="inlineStr">
        <is>
          <t>UDDEVALLA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46324</v>
      </c>
      <c r="F210" t="inlineStr">
        <is>
          <t>VÄSTRA GÖTALANDS LÄN</t>
        </is>
      </c>
      <c r="G210" t="inlineStr">
        <is>
          <t>UDDEVALLA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46324</v>
      </c>
      <c r="F211" t="inlineStr">
        <is>
          <t>VÄSTRA GÖTALANDS LÄN</t>
        </is>
      </c>
      <c r="G211" t="inlineStr">
        <is>
          <t>UDDEVALLA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46324</v>
      </c>
      <c r="F212" t="inlineStr">
        <is>
          <t>VÄSTRA GÖTALANDS LÄN</t>
        </is>
      </c>
      <c r="G212" t="inlineStr">
        <is>
          <t>UDDEVALLA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69198-2021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46324</v>
      </c>
      <c r="F213" t="inlineStr">
        <is>
          <t>VÄSTRA GÖTALANDS LÄN</t>
        </is>
      </c>
      <c r="G213" t="inlineStr">
        <is>
          <t>UDDEVALLA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46324</v>
      </c>
      <c r="F214" t="inlineStr">
        <is>
          <t>VÄSTRA GÖTALANDS LÄN</t>
        </is>
      </c>
      <c r="G214" t="inlineStr">
        <is>
          <t>UDDEVALLA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45554</v>
      </c>
      <c r="E215" s="1" t="n">
        <v>46324</v>
      </c>
      <c r="F215" t="inlineStr">
        <is>
          <t>VÄSTRA GÖTALANDS LÄN</t>
        </is>
      </c>
      <c r="G215" t="inlineStr">
        <is>
          <t>UDDEVALLA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46324</v>
      </c>
      <c r="F216" t="inlineStr">
        <is>
          <t>VÄSTRA GÖTALANDS LÄN</t>
        </is>
      </c>
      <c r="G216" t="inlineStr">
        <is>
          <t>UDDEVALLA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59674-2023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45255</v>
      </c>
      <c r="E217" s="1" t="n">
        <v>46324</v>
      </c>
      <c r="F217" t="inlineStr">
        <is>
          <t>VÄSTRA GÖTALANDS LÄN</t>
        </is>
      </c>
      <c r="G217" t="inlineStr">
        <is>
          <t>UDDEVALLA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45121</v>
      </c>
      <c r="E218" s="1" t="n">
        <v>46324</v>
      </c>
      <c r="F218" t="inlineStr">
        <is>
          <t>VÄSTRA GÖTALANDS LÄN</t>
        </is>
      </c>
      <c r="G218" t="inlineStr">
        <is>
          <t>UDDEVALLA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45366</v>
      </c>
      <c r="E219" s="1" t="n">
        <v>46324</v>
      </c>
      <c r="F219" t="inlineStr">
        <is>
          <t>VÄSTRA GÖTALANDS LÄN</t>
        </is>
      </c>
      <c r="G219" t="inlineStr">
        <is>
          <t>UDDEVALLA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48132-2023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45205</v>
      </c>
      <c r="E220" s="1" t="n">
        <v>46324</v>
      </c>
      <c r="F220" t="inlineStr">
        <is>
          <t>VÄSTRA GÖTALANDS LÄN</t>
        </is>
      </c>
      <c r="G220" t="inlineStr">
        <is>
          <t>UDDEVALLA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18806-2024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45426</v>
      </c>
      <c r="E221" s="1" t="n">
        <v>46324</v>
      </c>
      <c r="F221" t="inlineStr">
        <is>
          <t>VÄSTRA GÖTALANDS LÄN</t>
        </is>
      </c>
      <c r="G221" t="inlineStr">
        <is>
          <t>UDDEVALLA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46324</v>
      </c>
      <c r="F222" t="inlineStr">
        <is>
          <t>VÄSTRA GÖTALANDS LÄN</t>
        </is>
      </c>
      <c r="G222" t="inlineStr">
        <is>
          <t>UDDEVALLA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46324</v>
      </c>
      <c r="F223" t="inlineStr">
        <is>
          <t>VÄSTRA GÖTALANDS LÄN</t>
        </is>
      </c>
      <c r="G223" t="inlineStr">
        <is>
          <t>UDDEVALLA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45484</v>
      </c>
      <c r="E224" s="1" t="n">
        <v>46324</v>
      </c>
      <c r="F224" t="inlineStr">
        <is>
          <t>VÄSTRA GÖTALANDS LÄN</t>
        </is>
      </c>
      <c r="G224" t="inlineStr">
        <is>
          <t>UDDEVALLA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46324</v>
      </c>
      <c r="F225" t="inlineStr">
        <is>
          <t>VÄSTRA GÖTALANDS LÄN</t>
        </is>
      </c>
      <c r="G225" t="inlineStr">
        <is>
          <t>UDDEVALLA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46324</v>
      </c>
      <c r="F226" t="inlineStr">
        <is>
          <t>VÄSTRA GÖTALANDS LÄN</t>
        </is>
      </c>
      <c r="G226" t="inlineStr">
        <is>
          <t>UDDEVALLA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45455</v>
      </c>
      <c r="E227" s="1" t="n">
        <v>46324</v>
      </c>
      <c r="F227" t="inlineStr">
        <is>
          <t>VÄSTRA GÖTALANDS LÄN</t>
        </is>
      </c>
      <c r="G227" t="inlineStr">
        <is>
          <t>UDDEVALLA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46324</v>
      </c>
      <c r="F228" t="inlineStr">
        <is>
          <t>VÄSTRA GÖTALANDS LÄN</t>
        </is>
      </c>
      <c r="G228" t="inlineStr">
        <is>
          <t>UDDEVALLA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44967</v>
      </c>
      <c r="E229" s="1" t="n">
        <v>46324</v>
      </c>
      <c r="F229" t="inlineStr">
        <is>
          <t>VÄSTRA GÖTALANDS LÄN</t>
        </is>
      </c>
      <c r="G229" t="inlineStr">
        <is>
          <t>UDDEVALLA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4639-2022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44592</v>
      </c>
      <c r="E230" s="1" t="n">
        <v>46324</v>
      </c>
      <c r="F230" t="inlineStr">
        <is>
          <t>VÄSTRA GÖTALANDS LÄN</t>
        </is>
      </c>
      <c r="G230" t="inlineStr">
        <is>
          <t>UDDEVALLA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10436-2026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46076</v>
      </c>
      <c r="E231" s="1" t="n">
        <v>46324</v>
      </c>
      <c r="F231" t="inlineStr">
        <is>
          <t>VÄSTRA GÖTALANDS LÄN</t>
        </is>
      </c>
      <c r="G231" t="inlineStr">
        <is>
          <t>UDDEVALLA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46324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Kyrkan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44794</v>
      </c>
      <c r="E233" s="1" t="n">
        <v>46324</v>
      </c>
      <c r="F233" t="inlineStr">
        <is>
          <t>VÄSTRA GÖTALANDS LÄN</t>
        </is>
      </c>
      <c r="G233" t="inlineStr">
        <is>
          <t>UDDEVALLA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45426</v>
      </c>
      <c r="E234" s="1" t="n">
        <v>46324</v>
      </c>
      <c r="F234" t="inlineStr">
        <is>
          <t>VÄSTRA GÖTALANDS LÄN</t>
        </is>
      </c>
      <c r="G234" t="inlineStr">
        <is>
          <t>UDDEVALLA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46324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46324</v>
      </c>
      <c r="F236" t="inlineStr">
        <is>
          <t>VÄSTRA GÖTALANDS LÄN</t>
        </is>
      </c>
      <c r="G236" t="inlineStr">
        <is>
          <t>UDDEVALLA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46324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46324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46324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46324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46324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45748</v>
      </c>
      <c r="E242" s="1" t="n">
        <v>46324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46324</v>
      </c>
      <c r="F243" t="inlineStr">
        <is>
          <t>VÄSTRA GÖTALANDS LÄN</t>
        </is>
      </c>
      <c r="G243" t="inlineStr">
        <is>
          <t>UDDEVALLA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44325-2023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45188</v>
      </c>
      <c r="E244" s="1" t="n">
        <v>46324</v>
      </c>
      <c r="F244" t="inlineStr">
        <is>
          <t>VÄSTRA GÖTALANDS LÄN</t>
        </is>
      </c>
      <c r="G244" t="inlineStr">
        <is>
          <t>UDDEVALLA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46324</v>
      </c>
      <c r="F245" t="inlineStr">
        <is>
          <t>VÄSTRA GÖTALANDS LÄN</t>
        </is>
      </c>
      <c r="G245" t="inlineStr">
        <is>
          <t>UDDEVALLA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45631</v>
      </c>
      <c r="E246" s="1" t="n">
        <v>46324</v>
      </c>
      <c r="F246" t="inlineStr">
        <is>
          <t>VÄSTRA GÖTALANDS LÄN</t>
        </is>
      </c>
      <c r="G246" t="inlineStr">
        <is>
          <t>UDDEVALLA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44582</v>
      </c>
      <c r="E247" s="1" t="n">
        <v>46324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45484</v>
      </c>
      <c r="E248" s="1" t="n">
        <v>46324</v>
      </c>
      <c r="F248" t="inlineStr">
        <is>
          <t>VÄSTRA GÖTALANDS LÄN</t>
        </is>
      </c>
      <c r="G248" t="inlineStr">
        <is>
          <t>UDDEVALLA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44981</v>
      </c>
      <c r="E249" s="1" t="n">
        <v>46324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46324</v>
      </c>
      <c r="F250" t="inlineStr">
        <is>
          <t>VÄSTRA GÖTALANDS LÄN</t>
        </is>
      </c>
      <c r="G250" t="inlineStr">
        <is>
          <t>UDDEVALLA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39991-2022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44820</v>
      </c>
      <c r="E251" s="1" t="n">
        <v>46324</v>
      </c>
      <c r="F251" t="inlineStr">
        <is>
          <t>VÄSTRA GÖTALANDS LÄN</t>
        </is>
      </c>
      <c r="G251" t="inlineStr">
        <is>
          <t>UDDEVALLA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45387</v>
      </c>
      <c r="E252" s="1" t="n">
        <v>46324</v>
      </c>
      <c r="F252" t="inlineStr">
        <is>
          <t>VÄSTRA GÖTALANDS LÄN</t>
        </is>
      </c>
      <c r="G252" t="inlineStr">
        <is>
          <t>UDDEVALLA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45453</v>
      </c>
      <c r="E253" s="1" t="n">
        <v>46324</v>
      </c>
      <c r="F253" t="inlineStr">
        <is>
          <t>VÄSTRA GÖTALANDS LÄN</t>
        </is>
      </c>
      <c r="G253" t="inlineStr">
        <is>
          <t>UDDEVALLA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45771</v>
      </c>
      <c r="E254" s="1" t="n">
        <v>46324</v>
      </c>
      <c r="F254" t="inlineStr">
        <is>
          <t>VÄSTRA GÖTALANDS LÄN</t>
        </is>
      </c>
      <c r="G254" t="inlineStr">
        <is>
          <t>UDDEVALLA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44133-2024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45572</v>
      </c>
      <c r="E255" s="1" t="n">
        <v>46324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46324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46210</v>
      </c>
      <c r="E257" s="1" t="n">
        <v>46324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46324</v>
      </c>
      <c r="F258" t="inlineStr">
        <is>
          <t>VÄSTRA GÖTALANDS LÄN</t>
        </is>
      </c>
      <c r="G258" t="inlineStr">
        <is>
          <t>UDDEVALLA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46212</v>
      </c>
      <c r="E259" s="1" t="n">
        <v>46324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Kyrkan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46324</v>
      </c>
      <c r="F260" t="inlineStr">
        <is>
          <t>VÄSTRA GÖTALANDS LÄN</t>
        </is>
      </c>
      <c r="G260" t="inlineStr">
        <is>
          <t>UDDEVALLA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40571-2022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44823</v>
      </c>
      <c r="E261" s="1" t="n">
        <v>46324</v>
      </c>
      <c r="F261" t="inlineStr">
        <is>
          <t>VÄSTRA GÖTALANDS LÄN</t>
        </is>
      </c>
      <c r="G261" t="inlineStr">
        <is>
          <t>UDDEVALLA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46324</v>
      </c>
      <c r="F262" t="inlineStr">
        <is>
          <t>VÄSTRA GÖTALANDS LÄN</t>
        </is>
      </c>
      <c r="G262" t="inlineStr">
        <is>
          <t>UDDEVALLA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46324</v>
      </c>
      <c r="F263" t="inlineStr">
        <is>
          <t>VÄSTRA GÖTALANDS LÄN</t>
        </is>
      </c>
      <c r="G263" t="inlineStr">
        <is>
          <t>UDDEVALLA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45777</v>
      </c>
      <c r="E264" s="1" t="n">
        <v>46324</v>
      </c>
      <c r="F264" t="inlineStr">
        <is>
          <t>VÄSTRA GÖTALANDS LÄN</t>
        </is>
      </c>
      <c r="G264" t="inlineStr">
        <is>
          <t>UDDEVALLA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16819-2026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46113</v>
      </c>
      <c r="E265" s="1" t="n">
        <v>46324</v>
      </c>
      <c r="F265" t="inlineStr">
        <is>
          <t>VÄSTRA GÖTALANDS LÄN</t>
        </is>
      </c>
      <c r="G265" t="inlineStr">
        <is>
          <t>UDDEVALLA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44991</v>
      </c>
      <c r="E266" s="1" t="n">
        <v>46324</v>
      </c>
      <c r="F266" t="inlineStr">
        <is>
          <t>VÄSTRA GÖTALANDS LÄN</t>
        </is>
      </c>
      <c r="G266" t="inlineStr">
        <is>
          <t>UDDEVALLA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45700</v>
      </c>
      <c r="E267" s="1" t="n">
        <v>46324</v>
      </c>
      <c r="F267" t="inlineStr">
        <is>
          <t>VÄSTRA GÖTALANDS LÄN</t>
        </is>
      </c>
      <c r="G267" t="inlineStr">
        <is>
          <t>UDDEVALLA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46324</v>
      </c>
      <c r="F268" t="inlineStr">
        <is>
          <t>VÄSTRA GÖTALANDS LÄN</t>
        </is>
      </c>
      <c r="G268" t="inlineStr">
        <is>
          <t>UDDEVALLA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46324</v>
      </c>
      <c r="F269" t="inlineStr">
        <is>
          <t>VÄSTRA GÖTALANDS LÄN</t>
        </is>
      </c>
      <c r="G269" t="inlineStr">
        <is>
          <t>UDDEVALLA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46324</v>
      </c>
      <c r="F270" t="inlineStr">
        <is>
          <t>VÄSTRA GÖTALANDS LÄN</t>
        </is>
      </c>
      <c r="G270" t="inlineStr">
        <is>
          <t>UDDEVALLA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46324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Kommuner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31481-2026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46222</v>
      </c>
      <c r="E272" s="1" t="n">
        <v>46324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18207-2026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46324</v>
      </c>
      <c r="F273" t="inlineStr">
        <is>
          <t>VÄSTRA GÖTALANDS LÄN</t>
        </is>
      </c>
      <c r="G273" t="inlineStr">
        <is>
          <t>UDDEVALLA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45847</v>
      </c>
      <c r="E274" s="1" t="n">
        <v>46324</v>
      </c>
      <c r="F274" t="inlineStr">
        <is>
          <t>VÄSTRA GÖTALANDS LÄN</t>
        </is>
      </c>
      <c r="G274" t="inlineStr">
        <is>
          <t>UDDEVALLA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46324</v>
      </c>
      <c r="F275" t="inlineStr">
        <is>
          <t>VÄSTRA GÖTALANDS LÄN</t>
        </is>
      </c>
      <c r="G275" t="inlineStr">
        <is>
          <t>UDDEVALLA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46324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45594</v>
      </c>
      <c r="E277" s="1" t="n">
        <v>46324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45740</v>
      </c>
      <c r="E278" s="1" t="n">
        <v>46324</v>
      </c>
      <c r="F278" t="inlineStr">
        <is>
          <t>VÄSTRA GÖTALANDS LÄN</t>
        </is>
      </c>
      <c r="G278" t="inlineStr">
        <is>
          <t>UDDEVALLA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46324</v>
      </c>
      <c r="F279" t="inlineStr">
        <is>
          <t>VÄSTRA GÖTALANDS LÄN</t>
        </is>
      </c>
      <c r="G279" t="inlineStr">
        <is>
          <t>UDDEVALLA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46324</v>
      </c>
      <c r="F280" t="inlineStr">
        <is>
          <t>VÄSTRA GÖTALANDS LÄN</t>
        </is>
      </c>
      <c r="G280" t="inlineStr">
        <is>
          <t>UDDEVALLA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42658-2025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45907</v>
      </c>
      <c r="E281" s="1" t="n">
        <v>46324</v>
      </c>
      <c r="F281" t="inlineStr">
        <is>
          <t>VÄSTRA GÖTALANDS LÄN</t>
        </is>
      </c>
      <c r="G281" t="inlineStr">
        <is>
          <t>UDDEVALLA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46324</v>
      </c>
      <c r="F282" t="inlineStr">
        <is>
          <t>VÄSTRA GÖTALANDS LÄN</t>
        </is>
      </c>
      <c r="G282" t="inlineStr">
        <is>
          <t>UDDEVALLA</t>
        </is>
      </c>
      <c r="I282" t="n">
        <v>8.6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46324</v>
      </c>
      <c r="F283" t="inlineStr">
        <is>
          <t>VÄSTRA GÖTALANDS LÄN</t>
        </is>
      </c>
      <c r="G283" t="inlineStr">
        <is>
          <t>UDDEVALLA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45656</v>
      </c>
      <c r="E284" s="1" t="n">
        <v>46324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Kommuner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46324</v>
      </c>
      <c r="F285" t="inlineStr">
        <is>
          <t>VÄSTRA GÖTALANDS LÄN</t>
        </is>
      </c>
      <c r="G285" t="inlineStr">
        <is>
          <t>UDDEVALLA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46324</v>
      </c>
      <c r="F286" t="inlineStr">
        <is>
          <t>VÄSTRA GÖTALANDS LÄN</t>
        </is>
      </c>
      <c r="G286" t="inlineStr">
        <is>
          <t>UDDEVALLA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46324</v>
      </c>
      <c r="F287" t="inlineStr">
        <is>
          <t>VÄSTRA GÖTALANDS LÄN</t>
        </is>
      </c>
      <c r="G287" t="inlineStr">
        <is>
          <t>UDDEVALLA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46324</v>
      </c>
      <c r="F288" t="inlineStr">
        <is>
          <t>VÄSTRA GÖTALANDS LÄN</t>
        </is>
      </c>
      <c r="G288" t="inlineStr">
        <is>
          <t>UDDEVALLA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46288</v>
      </c>
      <c r="E289" s="1" t="n">
        <v>46324</v>
      </c>
      <c r="F289" t="inlineStr">
        <is>
          <t>VÄSTRA GÖTALANDS LÄN</t>
        </is>
      </c>
      <c r="G289" t="inlineStr">
        <is>
          <t>UDDEVALLA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1147-2024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45302</v>
      </c>
      <c r="E290" s="1" t="n">
        <v>46324</v>
      </c>
      <c r="F290" t="inlineStr">
        <is>
          <t>VÄSTRA GÖTALANDS LÄN</t>
        </is>
      </c>
      <c r="G290" t="inlineStr">
        <is>
          <t>UDDEVALLA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46324</v>
      </c>
      <c r="F291" t="inlineStr">
        <is>
          <t>VÄSTRA GÖTALANDS LÄN</t>
        </is>
      </c>
      <c r="G291" t="inlineStr">
        <is>
          <t>UDDEVALLA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46324</v>
      </c>
      <c r="F292" t="inlineStr">
        <is>
          <t>VÄSTRA GÖTALANDS LÄN</t>
        </is>
      </c>
      <c r="G292" t="inlineStr">
        <is>
          <t>UDDEVALLA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20401-2026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46139</v>
      </c>
      <c r="E293" s="1" t="n">
        <v>46324</v>
      </c>
      <c r="F293" t="inlineStr">
        <is>
          <t>VÄSTRA GÖTALANDS LÄN</t>
        </is>
      </c>
      <c r="G293" t="inlineStr">
        <is>
          <t>UDDEVALLA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45772</v>
      </c>
      <c r="E294" s="1" t="n">
        <v>46324</v>
      </c>
      <c r="F294" t="inlineStr">
        <is>
          <t>VÄSTRA GÖTALANDS LÄN</t>
        </is>
      </c>
      <c r="G294" t="inlineStr">
        <is>
          <t>UDDEVALLA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45226</v>
      </c>
      <c r="E295" s="1" t="n">
        <v>46324</v>
      </c>
      <c r="F295" t="inlineStr">
        <is>
          <t>VÄSTRA GÖTALANDS LÄN</t>
        </is>
      </c>
      <c r="G295" t="inlineStr">
        <is>
          <t>UDDEVALLA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46293</v>
      </c>
      <c r="E296" s="1" t="n">
        <v>46324</v>
      </c>
      <c r="F296" t="inlineStr">
        <is>
          <t>VÄSTRA GÖTALANDS LÄN</t>
        </is>
      </c>
      <c r="G296" t="inlineStr">
        <is>
          <t>UDDEVALLA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63397-2021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46324</v>
      </c>
      <c r="F297" t="inlineStr">
        <is>
          <t>VÄSTRA GÖTALANDS LÄN</t>
        </is>
      </c>
      <c r="G297" t="inlineStr">
        <is>
          <t>UDDEVALLA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45150</v>
      </c>
      <c r="E298" s="1" t="n">
        <v>46324</v>
      </c>
      <c r="F298" t="inlineStr">
        <is>
          <t>VÄSTRA GÖTALANDS LÄN</t>
        </is>
      </c>
      <c r="G298" t="inlineStr">
        <is>
          <t>UDDEVALLA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45127</v>
      </c>
      <c r="E299" s="1" t="n">
        <v>46324</v>
      </c>
      <c r="F299" t="inlineStr">
        <is>
          <t>VÄSTRA GÖTALANDS LÄN</t>
        </is>
      </c>
      <c r="G299" t="inlineStr">
        <is>
          <t>UDDEVALLA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46324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46324</v>
      </c>
      <c r="F301" t="inlineStr">
        <is>
          <t>VÄSTRA GÖTALANDS LÄN</t>
        </is>
      </c>
      <c r="G301" t="inlineStr">
        <is>
          <t>UDDEVALLA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46324</v>
      </c>
      <c r="F302" t="inlineStr">
        <is>
          <t>VÄSTRA GÖTALANDS LÄN</t>
        </is>
      </c>
      <c r="G302" t="inlineStr">
        <is>
          <t>UDDEVALLA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44834</v>
      </c>
      <c r="E303" s="1" t="n">
        <v>46324</v>
      </c>
      <c r="F303" t="inlineStr">
        <is>
          <t>VÄSTRA GÖTALANDS LÄN</t>
        </is>
      </c>
      <c r="G303" t="inlineStr">
        <is>
          <t>UDDEVALLA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46302</v>
      </c>
      <c r="E304" s="1" t="n">
        <v>46324</v>
      </c>
      <c r="F304" t="inlineStr">
        <is>
          <t>VÄSTRA GÖTALANDS LÄN</t>
        </is>
      </c>
      <c r="G304" t="inlineStr">
        <is>
          <t>UDDEVALLA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46324</v>
      </c>
      <c r="F305" t="inlineStr">
        <is>
          <t>VÄSTRA GÖTALANDS LÄN</t>
        </is>
      </c>
      <c r="G305" t="inlineStr">
        <is>
          <t>UDDEVALLA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41806-2026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46303</v>
      </c>
      <c r="E306" s="1" t="n">
        <v>46324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45112</v>
      </c>
      <c r="E307" s="1" t="n">
        <v>46324</v>
      </c>
      <c r="F307" t="inlineStr">
        <is>
          <t>VÄSTRA GÖTALANDS LÄN</t>
        </is>
      </c>
      <c r="G307" t="inlineStr">
        <is>
          <t>UDDEVALLA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22923-2022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44715</v>
      </c>
      <c r="E308" s="1" t="n">
        <v>46324</v>
      </c>
      <c r="F308" t="inlineStr">
        <is>
          <t>VÄSTRA GÖTALANDS LÄN</t>
        </is>
      </c>
      <c r="G308" t="inlineStr">
        <is>
          <t>UDDEVALLA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44998</v>
      </c>
      <c r="E309" s="1" t="n">
        <v>46324</v>
      </c>
      <c r="F309" t="inlineStr">
        <is>
          <t>VÄSTRA GÖTALANDS LÄN</t>
        </is>
      </c>
      <c r="G309" t="inlineStr">
        <is>
          <t>UDDEVALLA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46324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59513-2024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46324</v>
      </c>
      <c r="F311" t="inlineStr">
        <is>
          <t>VÄSTRA GÖTALANDS LÄN</t>
        </is>
      </c>
      <c r="G311" t="inlineStr">
        <is>
          <t>UDDEVALLA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46267</v>
      </c>
      <c r="E312" s="1" t="n">
        <v>46324</v>
      </c>
      <c r="F312" t="inlineStr">
        <is>
          <t>VÄSTRA GÖTALANDS LÄN</t>
        </is>
      </c>
      <c r="G312" t="inlineStr">
        <is>
          <t>UDDEVALLA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46324</v>
      </c>
      <c r="F313" t="inlineStr">
        <is>
          <t>VÄSTRA GÖTALANDS LÄN</t>
        </is>
      </c>
      <c r="G313" t="inlineStr">
        <is>
          <t>UDDEVALLA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43067-2026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46311</v>
      </c>
      <c r="E314" s="1" t="n">
        <v>46324</v>
      </c>
      <c r="F314" t="inlineStr">
        <is>
          <t>VÄSTRA GÖTALANDS LÄN</t>
        </is>
      </c>
      <c r="G314" t="inlineStr">
        <is>
          <t>UDDEVALLA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46324</v>
      </c>
      <c r="F315" t="inlineStr">
        <is>
          <t>VÄSTRA GÖTALANDS LÄN</t>
        </is>
      </c>
      <c r="G315" t="inlineStr">
        <is>
          <t>UDDEVALLA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46324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Kyrkan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46324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46324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46324</v>
      </c>
      <c r="F319" t="inlineStr">
        <is>
          <t>VÄSTRA GÖTALANDS LÄN</t>
        </is>
      </c>
      <c r="G319" t="inlineStr">
        <is>
          <t>UDDEVALLA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46324</v>
      </c>
      <c r="F320" t="inlineStr">
        <is>
          <t>VÄSTRA GÖTALANDS LÄN</t>
        </is>
      </c>
      <c r="G320" t="inlineStr">
        <is>
          <t>UDDEVALLA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46324</v>
      </c>
      <c r="F321" t="inlineStr">
        <is>
          <t>VÄSTRA GÖTALANDS LÄN</t>
        </is>
      </c>
      <c r="G321" t="inlineStr">
        <is>
          <t>UDDEVALLA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35947-2026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46266</v>
      </c>
      <c r="E322" s="1" t="n">
        <v>46324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43845-2026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46316</v>
      </c>
      <c r="E323" s="1" t="n">
        <v>46324</v>
      </c>
      <c r="F323" t="inlineStr">
        <is>
          <t>VÄSTRA GÖTALANDS LÄN</t>
        </is>
      </c>
      <c r="G323" t="inlineStr">
        <is>
          <t>UDDEVALLA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45257</v>
      </c>
      <c r="E324" s="1" t="n">
        <v>46324</v>
      </c>
      <c r="F324" t="inlineStr">
        <is>
          <t>VÄSTRA GÖTALANDS LÄN</t>
        </is>
      </c>
      <c r="G324" t="inlineStr">
        <is>
          <t>UDDEVALLA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46324</v>
      </c>
      <c r="F325" t="inlineStr">
        <is>
          <t>VÄSTRA GÖTALANDS LÄN</t>
        </is>
      </c>
      <c r="G325" t="inlineStr">
        <is>
          <t>UDDEVALLA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44683</v>
      </c>
      <c r="E326" s="1" t="n">
        <v>46324</v>
      </c>
      <c r="F326" t="inlineStr">
        <is>
          <t>VÄSTRA GÖTALANDS LÄN</t>
        </is>
      </c>
      <c r="G326" t="inlineStr">
        <is>
          <t>UDDEVALLA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46324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25060-2026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46324</v>
      </c>
      <c r="F328" t="inlineStr">
        <is>
          <t>VÄSTRA GÖTALANDS LÄN</t>
        </is>
      </c>
      <c r="G328" t="inlineStr">
        <is>
          <t>UDDEVALLA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46324</v>
      </c>
      <c r="F329" t="inlineStr">
        <is>
          <t>VÄSTRA GÖTALANDS LÄN</t>
        </is>
      </c>
      <c r="G329" t="inlineStr">
        <is>
          <t>UDDEVALLA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46323</v>
      </c>
      <c r="E330" s="1" t="n">
        <v>46324</v>
      </c>
      <c r="F330" t="inlineStr">
        <is>
          <t>VÄSTRA GÖTALANDS LÄN</t>
        </is>
      </c>
      <c r="G330" t="inlineStr">
        <is>
          <t>UDDEVALLA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44358-2026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46321</v>
      </c>
      <c r="E331" s="1" t="n">
        <v>46324</v>
      </c>
      <c r="F331" t="inlineStr">
        <is>
          <t>VÄSTRA GÖTALANDS LÄN</t>
        </is>
      </c>
      <c r="G331" t="inlineStr">
        <is>
          <t>UDDEVALLA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45167</v>
      </c>
      <c r="E332" s="1" t="n">
        <v>46324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44807-2026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46318</v>
      </c>
      <c r="E333" s="1" t="n">
        <v>46324</v>
      </c>
      <c r="F333" t="inlineStr">
        <is>
          <t>VÄSTRA GÖTALANDS LÄN</t>
        </is>
      </c>
      <c r="G333" t="inlineStr">
        <is>
          <t>UDDEVALLA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45672</v>
      </c>
      <c r="E334" s="1" t="n">
        <v>46324</v>
      </c>
      <c r="F334" t="inlineStr">
        <is>
          <t>VÄSTRA GÖTALANDS LÄN</t>
        </is>
      </c>
      <c r="G334" t="inlineStr">
        <is>
          <t>UDDEVALLA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46318</v>
      </c>
      <c r="E335" s="1" t="n">
        <v>46324</v>
      </c>
      <c r="F335" t="inlineStr">
        <is>
          <t>VÄSTRA GÖTALANDS LÄN</t>
        </is>
      </c>
      <c r="G335" t="inlineStr">
        <is>
          <t>UDDEVALLA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46324</v>
      </c>
      <c r="F336" t="inlineStr">
        <is>
          <t>VÄSTRA GÖTALANDS LÄN</t>
        </is>
      </c>
      <c r="G336" t="inlineStr">
        <is>
          <t>UDDEVALLA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46324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46324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46324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2026-10-29T03:13:10Z</dcterms:created>
  <dcterms:modified xmlns:dcterms="http://purl.org/dc/terms/" xmlns:xsi="http://www.w3.org/2001/XMLSchema-instance" xsi:type="dcterms:W3CDTF">2026-10-29T03:13:10Z</dcterms:modified>
</cp:coreProperties>
</file>