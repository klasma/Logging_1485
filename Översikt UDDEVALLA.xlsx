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46293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46293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46293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46293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46293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46293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46293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46293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46293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46293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46293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46293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46293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46293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46293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46293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46293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46293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46293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46293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46293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46293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46293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46293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46293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46293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46293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32528-2024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46293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32528-2024 artfynd.xlsx", "A 32528-2024")</f>
        <v/>
      </c>
      <c r="X30">
        <f>HYPERLINK("https://klasma.github.io/Logging_1485/kartor/A 32528-2024 karta.png", "A 32528-2024")</f>
        <v/>
      </c>
      <c r="Y30">
        <f>HYPERLINK("https://klasma.github.io/Logging_1485/kartor_geotiff/A 32528-2024 georefererad karta.tif", "A 32528-2024")</f>
        <v/>
      </c>
      <c r="AA30">
        <f>HYPERLINK("https://klasma.github.io/Logging_1485/klagomål/A 32528-2024 FSC-klagomål.docx", "A 32528-2024")</f>
        <v/>
      </c>
      <c r="AB30">
        <f>HYPERLINK("https://klasma.github.io/Logging_1485/klagomålsmail/A 32528-2024 FSC-klagomål mail.docx", "A 32528-2024")</f>
        <v/>
      </c>
      <c r="AC30">
        <f>HYPERLINK("https://klasma.github.io/Logging_1485/tillsyn/A 32528-2024 tillsynsbegäran.docx", "A 32528-2024")</f>
        <v/>
      </c>
      <c r="AD30">
        <f>HYPERLINK("https://klasma.github.io/Logging_1485/tillsynsmail/A 32528-2024 tillsynsbegäran mail.docx", "A 32528-2024")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46293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46293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46293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46293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34058-2023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45135</v>
      </c>
      <c r="E35" s="1" t="n">
        <v>46293</v>
      </c>
      <c r="F35" t="inlineStr">
        <is>
          <t>VÄSTRA GÖTALANDS LÄN</t>
        </is>
      </c>
      <c r="G35" t="inlineStr">
        <is>
          <t>UDDEVALLA</t>
        </is>
      </c>
      <c r="I35" t="n">
        <v>1.3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Lundvaxskivling</t>
        </is>
      </c>
      <c r="W35">
        <f>HYPERLINK("https://klasma.github.io/Logging_1485/artfynd/A 34058-2023 artfynd.xlsx", "A 34058-2023")</f>
        <v/>
      </c>
      <c r="X35">
        <f>HYPERLINK("https://klasma.github.io/Logging_1485/kartor/A 34058-2023 karta.png", "A 34058-2023")</f>
        <v/>
      </c>
      <c r="Y35">
        <f>HYPERLINK("https://klasma.github.io/Logging_1485/kartor_geotiff/A 34058-2023 georefererad karta.tif", "A 34058-2023")</f>
        <v/>
      </c>
      <c r="AA35">
        <f>HYPERLINK("https://klasma.github.io/Logging_1485/klagomål/A 34058-2023 FSC-klagomål.docx", "A 34058-2023")</f>
        <v/>
      </c>
      <c r="AB35">
        <f>HYPERLINK("https://klasma.github.io/Logging_1485/klagomålsmail/A 34058-2023 FSC-klagomål mail.docx", "A 34058-2023")</f>
        <v/>
      </c>
      <c r="AC35">
        <f>HYPERLINK("https://klasma.github.io/Logging_1485/tillsyn/A 34058-2023 tillsynsbegäran.docx", "A 34058-2023")</f>
        <v/>
      </c>
      <c r="AD35">
        <f>HYPERLINK("https://klasma.github.io/Logging_1485/tillsynsmail/A 34058-2023 tillsynsbegäran mail.docx", "A 34058-2023")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46293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46293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46293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46293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46293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46293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46293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22603-2023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46293</v>
      </c>
      <c r="F43" t="inlineStr">
        <is>
          <t>VÄSTRA GÖTALANDS LÄN</t>
        </is>
      </c>
      <c r="G43" t="inlineStr">
        <is>
          <t>UDDEVALLA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HYPERLINK("https://klasma.github.io/Logging_1485/artfynd/A 22603-2023 artfynd.xlsx", "A 22603-2023")</f>
        <v/>
      </c>
      <c r="X43">
        <f>HYPERLINK("https://klasma.github.io/Logging_1485/kartor/A 22603-2023 karta.png", "A 22603-2023")</f>
        <v/>
      </c>
      <c r="Y43">
        <f>HYPERLINK("https://klasma.github.io/Logging_1485/kartor_geotiff/A 22603-2023 georefererad karta.tif", "A 22603-2023")</f>
        <v/>
      </c>
      <c r="AA43">
        <f>HYPERLINK("https://klasma.github.io/Logging_1485/klagomål/A 22603-2023 FSC-klagomål.docx", "A 22603-2023")</f>
        <v/>
      </c>
      <c r="AB43">
        <f>HYPERLINK("https://klasma.github.io/Logging_1485/klagomålsmail/A 22603-2023 FSC-klagomål mail.docx", "A 22603-2023")</f>
        <v/>
      </c>
      <c r="AC43">
        <f>HYPERLINK("https://klasma.github.io/Logging_1485/tillsyn/A 22603-2023 tillsynsbegäran.docx", "A 22603-2023")</f>
        <v/>
      </c>
      <c r="AD43">
        <f>HYPERLINK("https://klasma.github.io/Logging_1485/tillsynsmail/A 22603-2023 tillsynsbegäran mail.docx", "A 22603-2023")</f>
        <v/>
      </c>
    </row>
    <row r="44" ht="15" customHeight="1">
      <c r="A44" t="inlineStr">
        <is>
          <t>A 33812-2026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46293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2.8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Skogsbräsma</t>
        </is>
      </c>
      <c r="W44">
        <f>HYPERLINK("https://klasma.github.io/Logging_1485/artfynd/A 33812-2026 artfynd.xlsx", "A 33812-2026")</f>
        <v/>
      </c>
      <c r="X44">
        <f>HYPERLINK("https://klasma.github.io/Logging_1485/kartor/A 33812-2026 karta.png", "A 33812-2026")</f>
        <v/>
      </c>
      <c r="Y44">
        <f>HYPERLINK("https://klasma.github.io/Logging_1485/kartor_geotiff/A 33812-2026 georefererad karta.tif", "A 33812-2026")</f>
        <v/>
      </c>
      <c r="AA44">
        <f>HYPERLINK("https://klasma.github.io/Logging_1485/klagomål/A 33812-2026 FSC-klagomål.docx", "A 33812-2026")</f>
        <v/>
      </c>
      <c r="AB44">
        <f>HYPERLINK("https://klasma.github.io/Logging_1485/klagomålsmail/A 33812-2026 FSC-klagomål mail.docx", "A 33812-2026")</f>
        <v/>
      </c>
      <c r="AC44">
        <f>HYPERLINK("https://klasma.github.io/Logging_1485/tillsyn/A 33812-2026 tillsynsbegäran.docx", "A 33812-2026")</f>
        <v/>
      </c>
      <c r="AD44">
        <f>HYPERLINK("https://klasma.github.io/Logging_1485/tillsynsmail/A 33812-2026 tillsynsbegäran mail.docx", "A 33812-2026")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46293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55288-2023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46293</v>
      </c>
      <c r="F46" t="inlineStr">
        <is>
          <t>VÄSTRA GÖTALANDS LÄN</t>
        </is>
      </c>
      <c r="G46" t="inlineStr">
        <is>
          <t>UDDEVALLA</t>
        </is>
      </c>
      <c r="I46" t="n">
        <v>5.2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55288-2023 artfynd.xlsx", "A 55288-2023")</f>
        <v/>
      </c>
      <c r="X46">
        <f>HYPERLINK("https://klasma.github.io/Logging_1485/kartor/A 55288-2023 karta.png", "A 55288-2023")</f>
        <v/>
      </c>
      <c r="Y46">
        <f>HYPERLINK("https://klasma.github.io/Logging_1485/kartor_geotiff/A 55288-2023 georefererad karta.tif", "A 55288-2023")</f>
        <v/>
      </c>
      <c r="AA46">
        <f>HYPERLINK("https://klasma.github.io/Logging_1485/klagomål/A 55288-2023 FSC-klagomål.docx", "A 55288-2023")</f>
        <v/>
      </c>
      <c r="AB46">
        <f>HYPERLINK("https://klasma.github.io/Logging_1485/klagomålsmail/A 55288-2023 FSC-klagomål mail.docx", "A 55288-2023")</f>
        <v/>
      </c>
      <c r="AC46">
        <f>HYPERLINK("https://klasma.github.io/Logging_1485/tillsyn/A 55288-2023 tillsynsbegäran.docx", "A 55288-2023")</f>
        <v/>
      </c>
      <c r="AD46">
        <f>HYPERLINK("https://klasma.github.io/Logging_1485/tillsynsmail/A 55288-2023 tillsynsbegäran mail.docx", "A 55288-2023")</f>
        <v/>
      </c>
    </row>
    <row r="47" ht="15" customHeight="1">
      <c r="A47" t="inlineStr">
        <is>
          <t>A 9424-2026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46293</v>
      </c>
      <c r="F47" t="inlineStr">
        <is>
          <t>VÄSTRA GÖTALANDS LÄN</t>
        </is>
      </c>
      <c r="G47" t="inlineStr">
        <is>
          <t>UDDEVALLA</t>
        </is>
      </c>
      <c r="I47" t="n">
        <v>4.3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Flotagräs</t>
        </is>
      </c>
      <c r="W47">
        <f>HYPERLINK("https://klasma.github.io/Logging_1485/artfynd/A 9424-2026 artfynd.xlsx", "A 9424-2026")</f>
        <v/>
      </c>
      <c r="X47">
        <f>HYPERLINK("https://klasma.github.io/Logging_1485/kartor/A 9424-2026 karta.png", "A 9424-2026")</f>
        <v/>
      </c>
      <c r="Y47">
        <f>HYPERLINK("https://klasma.github.io/Logging_1485/kartor_geotiff/A 9424-2026 georefererad karta.tif", "A 9424-2026")</f>
        <v/>
      </c>
      <c r="AA47">
        <f>HYPERLINK("https://klasma.github.io/Logging_1485/klagomål/A 9424-2026 FSC-klagomål.docx", "A 9424-2026")</f>
        <v/>
      </c>
      <c r="AB47">
        <f>HYPERLINK("https://klasma.github.io/Logging_1485/klagomålsmail/A 9424-2026 FSC-klagomål mail.docx", "A 9424-2026")</f>
        <v/>
      </c>
      <c r="AC47">
        <f>HYPERLINK("https://klasma.github.io/Logging_1485/tillsyn/A 9424-2026 tillsynsbegäran.docx", "A 9424-2026")</f>
        <v/>
      </c>
      <c r="AD47">
        <f>HYPERLINK("https://klasma.github.io/Logging_1485/tillsynsmail/A 9424-2026 tillsynsbegäran mail.docx", "A 9424-2026")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46293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46293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46293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46293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46293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46293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46293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46293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46293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46293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46293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46293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46293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46293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46293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46293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46293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46293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46293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46293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46293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44834</v>
      </c>
      <c r="E69" s="1" t="n">
        <v>46293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46293</v>
      </c>
      <c r="F70" t="inlineStr">
        <is>
          <t>VÄSTRA GÖTALANDS LÄN</t>
        </is>
      </c>
      <c r="G70" t="inlineStr">
        <is>
          <t>UDDEVALLA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46293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46293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46293</v>
      </c>
      <c r="F73" t="inlineStr">
        <is>
          <t>VÄSTRA GÖTALANDS LÄN</t>
        </is>
      </c>
      <c r="G73" t="inlineStr">
        <is>
          <t>UDDEVALLA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46293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45374</v>
      </c>
      <c r="E75" s="1" t="n">
        <v>46293</v>
      </c>
      <c r="F75" t="inlineStr">
        <is>
          <t>VÄSTRA GÖTALANDS LÄN</t>
        </is>
      </c>
      <c r="G75" t="inlineStr">
        <is>
          <t>UDDEVALLA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46293</v>
      </c>
      <c r="F76" t="inlineStr">
        <is>
          <t>VÄSTRA GÖTALANDS LÄN</t>
        </is>
      </c>
      <c r="G76" t="inlineStr">
        <is>
          <t>UDDEVALLA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46293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46293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46293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45672</v>
      </c>
      <c r="E80" s="1" t="n">
        <v>46293</v>
      </c>
      <c r="F80" t="inlineStr">
        <is>
          <t>VÄSTRA GÖTALANDS LÄN</t>
        </is>
      </c>
      <c r="G80" t="inlineStr">
        <is>
          <t>UDDEVALLA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45537</v>
      </c>
      <c r="E81" s="1" t="n">
        <v>46293</v>
      </c>
      <c r="F81" t="inlineStr">
        <is>
          <t>VÄSTRA GÖTALANDS LÄN</t>
        </is>
      </c>
      <c r="G81" t="inlineStr">
        <is>
          <t>UDDEVALLA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46293</v>
      </c>
      <c r="F82" t="inlineStr">
        <is>
          <t>VÄSTRA GÖTALANDS LÄN</t>
        </is>
      </c>
      <c r="G82" t="inlineStr">
        <is>
          <t>UDDEVALLA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46293</v>
      </c>
      <c r="F83" t="inlineStr">
        <is>
          <t>VÄSTRA GÖTALANDS LÄN</t>
        </is>
      </c>
      <c r="G83" t="inlineStr">
        <is>
          <t>UDDEVALLA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46026</v>
      </c>
      <c r="E84" s="1" t="n">
        <v>46293</v>
      </c>
      <c r="F84" t="inlineStr">
        <is>
          <t>VÄSTRA GÖTALANDS LÄN</t>
        </is>
      </c>
      <c r="G84" t="inlineStr">
        <is>
          <t>UDDEVALLA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46293</v>
      </c>
      <c r="F85" t="inlineStr">
        <is>
          <t>VÄSTRA GÖTALANDS LÄN</t>
        </is>
      </c>
      <c r="G85" t="inlineStr">
        <is>
          <t>UDDEVALLA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46293</v>
      </c>
      <c r="F86" t="inlineStr">
        <is>
          <t>VÄSTRA GÖTALANDS LÄN</t>
        </is>
      </c>
      <c r="G86" t="inlineStr">
        <is>
          <t>UDDEVALLA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45484</v>
      </c>
      <c r="E87" s="1" t="n">
        <v>46293</v>
      </c>
      <c r="F87" t="inlineStr">
        <is>
          <t>VÄSTRA GÖTALANDS LÄN</t>
        </is>
      </c>
      <c r="G87" t="inlineStr">
        <is>
          <t>UDDEVALLA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45840</v>
      </c>
      <c r="E88" s="1" t="n">
        <v>46293</v>
      </c>
      <c r="F88" t="inlineStr">
        <is>
          <t>VÄSTRA GÖTALANDS LÄN</t>
        </is>
      </c>
      <c r="G88" t="inlineStr">
        <is>
          <t>UDDEVALLA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46293</v>
      </c>
      <c r="F89" t="inlineStr">
        <is>
          <t>VÄSTRA GÖTALANDS LÄN</t>
        </is>
      </c>
      <c r="G89" t="inlineStr">
        <is>
          <t>UDDEVALLA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46293</v>
      </c>
      <c r="F90" t="inlineStr">
        <is>
          <t>VÄSTRA GÖTALANDS LÄN</t>
        </is>
      </c>
      <c r="G90" t="inlineStr">
        <is>
          <t>UDDEVALLA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46293</v>
      </c>
      <c r="F91" t="inlineStr">
        <is>
          <t>VÄSTRA GÖTALANDS LÄN</t>
        </is>
      </c>
      <c r="G91" t="inlineStr">
        <is>
          <t>UDDEVALLA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46293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45034</v>
      </c>
      <c r="E93" s="1" t="n">
        <v>46293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45035</v>
      </c>
      <c r="E94" s="1" t="n">
        <v>46293</v>
      </c>
      <c r="F94" t="inlineStr">
        <is>
          <t>VÄSTRA GÖTALANDS LÄN</t>
        </is>
      </c>
      <c r="G94" t="inlineStr">
        <is>
          <t>UDDEVALLA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45035</v>
      </c>
      <c r="E95" s="1" t="n">
        <v>46293</v>
      </c>
      <c r="F95" t="inlineStr">
        <is>
          <t>VÄSTRA GÖTALANDS LÄN</t>
        </is>
      </c>
      <c r="G95" t="inlineStr">
        <is>
          <t>UDDEVALLA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46293</v>
      </c>
      <c r="F96" t="inlineStr">
        <is>
          <t>VÄSTRA GÖTALANDS LÄN</t>
        </is>
      </c>
      <c r="G96" t="inlineStr">
        <is>
          <t>UDDEVALLA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46293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46293</v>
      </c>
      <c r="F98" t="inlineStr">
        <is>
          <t>VÄSTRA GÖTALANDS LÄN</t>
        </is>
      </c>
      <c r="G98" t="inlineStr">
        <is>
          <t>UDDEVALLA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46293</v>
      </c>
      <c r="F99" t="inlineStr">
        <is>
          <t>VÄSTRA GÖTALANDS LÄN</t>
        </is>
      </c>
      <c r="G99" t="inlineStr">
        <is>
          <t>UDDEVALLA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46293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45517</v>
      </c>
      <c r="E101" s="1" t="n">
        <v>46293</v>
      </c>
      <c r="F101" t="inlineStr">
        <is>
          <t>VÄSTRA GÖTALANDS LÄN</t>
        </is>
      </c>
      <c r="G101" t="inlineStr">
        <is>
          <t>UDDEVALLA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46293</v>
      </c>
      <c r="F102" t="inlineStr">
        <is>
          <t>VÄSTRA GÖTALANDS LÄN</t>
        </is>
      </c>
      <c r="G102" t="inlineStr">
        <is>
          <t>UDDEVALLA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46293</v>
      </c>
      <c r="F103" t="inlineStr">
        <is>
          <t>VÄSTRA GÖTALANDS LÄN</t>
        </is>
      </c>
      <c r="G103" t="inlineStr">
        <is>
          <t>UDDEVALLA</t>
        </is>
      </c>
      <c r="I103" t="n">
        <v>9.699999999999999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46293</v>
      </c>
      <c r="F104" t="inlineStr">
        <is>
          <t>VÄSTRA GÖTALANDS LÄN</t>
        </is>
      </c>
      <c r="G104" t="inlineStr">
        <is>
          <t>UDDEVALLA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46293</v>
      </c>
      <c r="F105" t="inlineStr">
        <is>
          <t>VÄSTRA GÖTALANDS LÄN</t>
        </is>
      </c>
      <c r="G105" t="inlineStr">
        <is>
          <t>UDDEVALLA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46293</v>
      </c>
      <c r="F106" t="inlineStr">
        <is>
          <t>VÄSTRA GÖTALANDS LÄN</t>
        </is>
      </c>
      <c r="G106" t="inlineStr">
        <is>
          <t>UDDEVALLA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44137-2025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45914</v>
      </c>
      <c r="E107" s="1" t="n">
        <v>46293</v>
      </c>
      <c r="F107" t="inlineStr">
        <is>
          <t>VÄSTRA GÖTALANDS LÄN</t>
        </is>
      </c>
      <c r="G107" t="inlineStr">
        <is>
          <t>UDDEVALLA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46293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46293</v>
      </c>
      <c r="F109" t="inlineStr">
        <is>
          <t>VÄSTRA GÖTALANDS LÄN</t>
        </is>
      </c>
      <c r="G109" t="inlineStr">
        <is>
          <t>UDDEVALLA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46293</v>
      </c>
      <c r="F110" t="inlineStr">
        <is>
          <t>VÄSTRA GÖTALANDS LÄN</t>
        </is>
      </c>
      <c r="G110" t="inlineStr">
        <is>
          <t>UDDEVALLA</t>
        </is>
      </c>
      <c r="I110" t="n">
        <v>19.4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46293</v>
      </c>
      <c r="F111" t="inlineStr">
        <is>
          <t>VÄSTRA GÖTALANDS LÄN</t>
        </is>
      </c>
      <c r="G111" t="inlineStr">
        <is>
          <t>UDDEVALLA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46293</v>
      </c>
      <c r="F112" t="inlineStr">
        <is>
          <t>VÄSTRA GÖTALANDS LÄN</t>
        </is>
      </c>
      <c r="G112" t="inlineStr">
        <is>
          <t>UDDEVALLA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46293</v>
      </c>
      <c r="F113" t="inlineStr">
        <is>
          <t>VÄSTRA GÖTALANDS LÄN</t>
        </is>
      </c>
      <c r="G113" t="inlineStr">
        <is>
          <t>UDDEVALLA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46293</v>
      </c>
      <c r="F114" t="inlineStr">
        <is>
          <t>VÄSTRA GÖTALANDS LÄN</t>
        </is>
      </c>
      <c r="G114" t="inlineStr">
        <is>
          <t>UDDEVALLA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46293</v>
      </c>
      <c r="F115" t="inlineStr">
        <is>
          <t>VÄSTRA GÖTALANDS LÄN</t>
        </is>
      </c>
      <c r="G115" t="inlineStr">
        <is>
          <t>UDDEVALLA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46293</v>
      </c>
      <c r="F116" t="inlineStr">
        <is>
          <t>VÄSTRA GÖTALANDS LÄN</t>
        </is>
      </c>
      <c r="G116" t="inlineStr">
        <is>
          <t>UDDEVALLA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10436-2026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46076</v>
      </c>
      <c r="E117" s="1" t="n">
        <v>46293</v>
      </c>
      <c r="F117" t="inlineStr">
        <is>
          <t>VÄSTRA GÖTALANDS LÄN</t>
        </is>
      </c>
      <c r="G117" t="inlineStr">
        <is>
          <t>UDDEVALLA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46293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46293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46293</v>
      </c>
      <c r="F120" t="inlineStr">
        <is>
          <t>VÄSTRA GÖTALANDS LÄN</t>
        </is>
      </c>
      <c r="G120" t="inlineStr">
        <is>
          <t>UDDEVALLA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44592</v>
      </c>
      <c r="E121" s="1" t="n">
        <v>46293</v>
      </c>
      <c r="F121" t="inlineStr">
        <is>
          <t>VÄSTRA GÖTALANDS LÄN</t>
        </is>
      </c>
      <c r="G121" t="inlineStr">
        <is>
          <t>UDDEVALLA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46083</v>
      </c>
      <c r="E122" s="1" t="n">
        <v>46293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46293</v>
      </c>
      <c r="F123" t="inlineStr">
        <is>
          <t>VÄSTRA GÖTALANDS LÄN</t>
        </is>
      </c>
      <c r="G123" t="inlineStr">
        <is>
          <t>UDDEVALLA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45633</v>
      </c>
      <c r="E124" s="1" t="n">
        <v>46293</v>
      </c>
      <c r="F124" t="inlineStr">
        <is>
          <t>VÄSTRA GÖTALANDS LÄN</t>
        </is>
      </c>
      <c r="G124" t="inlineStr">
        <is>
          <t>UDDEVALLA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46293</v>
      </c>
      <c r="F125" t="inlineStr">
        <is>
          <t>VÄSTRA GÖTALANDS LÄN</t>
        </is>
      </c>
      <c r="G125" t="inlineStr">
        <is>
          <t>UDDEVALLA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46293</v>
      </c>
      <c r="F126" t="inlineStr">
        <is>
          <t>VÄSTRA GÖTALANDS LÄN</t>
        </is>
      </c>
      <c r="G126" t="inlineStr">
        <is>
          <t>UDDEVALLA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46293</v>
      </c>
      <c r="F127" t="inlineStr">
        <is>
          <t>VÄSTRA GÖTALANDS LÄN</t>
        </is>
      </c>
      <c r="G127" t="inlineStr">
        <is>
          <t>UDDEVALLA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46293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60241-2024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45642</v>
      </c>
      <c r="E129" s="1" t="n">
        <v>46293</v>
      </c>
      <c r="F129" t="inlineStr">
        <is>
          <t>VÄSTRA GÖTALANDS LÄN</t>
        </is>
      </c>
      <c r="G129" t="inlineStr">
        <is>
          <t>UDDEVALLA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46293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Kyrkan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46293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16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46293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Kyrkan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46293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46293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45722</v>
      </c>
      <c r="E135" s="1" t="n">
        <v>46293</v>
      </c>
      <c r="F135" t="inlineStr">
        <is>
          <t>VÄSTRA GÖTALANDS LÄN</t>
        </is>
      </c>
      <c r="G135" t="inlineStr">
        <is>
          <t>UDDEVALLA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46293</v>
      </c>
      <c r="F136" t="inlineStr">
        <is>
          <t>VÄSTRA GÖTALANDS LÄN</t>
        </is>
      </c>
      <c r="G136" t="inlineStr">
        <is>
          <t>UDDEVALLA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46293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Kyrkan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46293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46293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46293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46090</v>
      </c>
      <c r="E141" s="1" t="n">
        <v>46293</v>
      </c>
      <c r="F141" t="inlineStr">
        <is>
          <t>VÄSTRA GÖTALANDS LÄN</t>
        </is>
      </c>
      <c r="G141" t="inlineStr">
        <is>
          <t>UDDEVALLA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46293</v>
      </c>
      <c r="F142" t="inlineStr">
        <is>
          <t>VÄSTRA GÖTALANDS LÄN</t>
        </is>
      </c>
      <c r="G142" t="inlineStr">
        <is>
          <t>UDDEVALLA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46293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46293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46293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46293</v>
      </c>
      <c r="F146" t="inlineStr">
        <is>
          <t>VÄSTRA GÖTALANDS LÄN</t>
        </is>
      </c>
      <c r="G146" t="inlineStr">
        <is>
          <t>UDDEVALLA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46293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46293</v>
      </c>
      <c r="F148" t="inlineStr">
        <is>
          <t>VÄSTRA GÖTALANDS LÄN</t>
        </is>
      </c>
      <c r="G148" t="inlineStr">
        <is>
          <t>UDDEVALLA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46293</v>
      </c>
      <c r="F149" t="inlineStr">
        <is>
          <t>VÄSTRA GÖTALANDS LÄN</t>
        </is>
      </c>
      <c r="G149" t="inlineStr">
        <is>
          <t>UDDEVALLA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46293</v>
      </c>
      <c r="F150" t="inlineStr">
        <is>
          <t>VÄSTRA GÖTALANDS LÄN</t>
        </is>
      </c>
      <c r="G150" t="inlineStr">
        <is>
          <t>UDDEVALLA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46293</v>
      </c>
      <c r="F151" t="inlineStr">
        <is>
          <t>VÄSTRA GÖTALANDS LÄN</t>
        </is>
      </c>
      <c r="G151" t="inlineStr">
        <is>
          <t>UDDEVALLA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46293</v>
      </c>
      <c r="F152" t="inlineStr">
        <is>
          <t>VÄSTRA GÖTALANDS LÄN</t>
        </is>
      </c>
      <c r="G152" t="inlineStr">
        <is>
          <t>UDDEVALLA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46293</v>
      </c>
      <c r="F153" t="inlineStr">
        <is>
          <t>VÄSTRA GÖTALANDS LÄN</t>
        </is>
      </c>
      <c r="G153" t="inlineStr">
        <is>
          <t>UDDEVALLA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51747-2025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45950</v>
      </c>
      <c r="E154" s="1" t="n">
        <v>46293</v>
      </c>
      <c r="F154" t="inlineStr">
        <is>
          <t>VÄSTRA GÖTALANDS LÄN</t>
        </is>
      </c>
      <c r="G154" t="inlineStr">
        <is>
          <t>UDDEVALLA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46293</v>
      </c>
      <c r="F155" t="inlineStr">
        <is>
          <t>VÄSTRA GÖTALANDS LÄN</t>
        </is>
      </c>
      <c r="G155" t="inlineStr">
        <is>
          <t>UDDEVALLA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46293</v>
      </c>
      <c r="F156" t="inlineStr">
        <is>
          <t>VÄSTRA GÖTALANDS LÄN</t>
        </is>
      </c>
      <c r="G156" t="inlineStr">
        <is>
          <t>UDDEVALLA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46293</v>
      </c>
      <c r="F157" t="inlineStr">
        <is>
          <t>VÄSTRA GÖTALANDS LÄN</t>
        </is>
      </c>
      <c r="G157" t="inlineStr">
        <is>
          <t>UDDEVALLA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16819-2026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46113</v>
      </c>
      <c r="E158" s="1" t="n">
        <v>46293</v>
      </c>
      <c r="F158" t="inlineStr">
        <is>
          <t>VÄSTRA GÖTALANDS LÄN</t>
        </is>
      </c>
      <c r="G158" t="inlineStr">
        <is>
          <t>UDDEVALLA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44634</v>
      </c>
      <c r="E159" s="1" t="n">
        <v>46293</v>
      </c>
      <c r="F159" t="inlineStr">
        <is>
          <t>VÄSTRA GÖTALANDS LÄN</t>
        </is>
      </c>
      <c r="G159" t="inlineStr">
        <is>
          <t>UDDEVALLA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59674-2023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45255</v>
      </c>
      <c r="E160" s="1" t="n">
        <v>46293</v>
      </c>
      <c r="F160" t="inlineStr">
        <is>
          <t>VÄSTRA GÖTALANDS LÄN</t>
        </is>
      </c>
      <c r="G160" t="inlineStr">
        <is>
          <t>UDDEVALLA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46293</v>
      </c>
      <c r="F161" t="inlineStr">
        <is>
          <t>VÄSTRA GÖTALANDS LÄN</t>
        </is>
      </c>
      <c r="G161" t="inlineStr">
        <is>
          <t>UDDEVALLA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46293</v>
      </c>
      <c r="F162" t="inlineStr">
        <is>
          <t>VÄSTRA GÖTALANDS LÄN</t>
        </is>
      </c>
      <c r="G162" t="inlineStr">
        <is>
          <t>UDDEVALLA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46293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46293</v>
      </c>
      <c r="F164" t="inlineStr">
        <is>
          <t>VÄSTRA GÖTALANDS LÄN</t>
        </is>
      </c>
      <c r="G164" t="inlineStr">
        <is>
          <t>UDDEVALLA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46293</v>
      </c>
      <c r="F165" t="inlineStr">
        <is>
          <t>VÄSTRA GÖTALANDS LÄN</t>
        </is>
      </c>
      <c r="G165" t="inlineStr">
        <is>
          <t>UDDEVALLA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46293</v>
      </c>
      <c r="F166" t="inlineStr">
        <is>
          <t>VÄSTRA GÖTALANDS LÄN</t>
        </is>
      </c>
      <c r="G166" t="inlineStr">
        <is>
          <t>UDDEVALLA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46125</v>
      </c>
      <c r="E167" s="1" t="n">
        <v>46293</v>
      </c>
      <c r="F167" t="inlineStr">
        <is>
          <t>VÄSTRA GÖTALANDS LÄN</t>
        </is>
      </c>
      <c r="G167" t="inlineStr">
        <is>
          <t>UDDEVALLA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46293</v>
      </c>
      <c r="F168" t="inlineStr">
        <is>
          <t>VÄSTRA GÖTALANDS LÄN</t>
        </is>
      </c>
      <c r="G168" t="inlineStr">
        <is>
          <t>UDDEVALLA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46293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45723</v>
      </c>
      <c r="E170" s="1" t="n">
        <v>46293</v>
      </c>
      <c r="F170" t="inlineStr">
        <is>
          <t>VÄSTRA GÖTALANDS LÄN</t>
        </is>
      </c>
      <c r="G170" t="inlineStr">
        <is>
          <t>UDDEVALLA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46293</v>
      </c>
      <c r="F171" t="inlineStr">
        <is>
          <t>VÄSTRA GÖTALANDS LÄN</t>
        </is>
      </c>
      <c r="G171" t="inlineStr">
        <is>
          <t>UDDEVALLA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46293</v>
      </c>
      <c r="F172" t="inlineStr">
        <is>
          <t>VÄSTRA GÖTALANDS LÄN</t>
        </is>
      </c>
      <c r="G172" t="inlineStr">
        <is>
          <t>UDDEVALLA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46293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46293</v>
      </c>
      <c r="F174" t="inlineStr">
        <is>
          <t>VÄSTRA GÖTALANDS LÄN</t>
        </is>
      </c>
      <c r="G174" t="inlineStr">
        <is>
          <t>UDDEVALLA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46293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46293</v>
      </c>
      <c r="F176" t="inlineStr">
        <is>
          <t>VÄSTRA GÖTALANDS LÄN</t>
        </is>
      </c>
      <c r="G176" t="inlineStr">
        <is>
          <t>UDDEVALLA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46293</v>
      </c>
      <c r="F177" t="inlineStr">
        <is>
          <t>VÄSTRA GÖTALANDS LÄN</t>
        </is>
      </c>
      <c r="G177" t="inlineStr">
        <is>
          <t>UDDEVALLA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45302</v>
      </c>
      <c r="E178" s="1" t="n">
        <v>46293</v>
      </c>
      <c r="F178" t="inlineStr">
        <is>
          <t>VÄSTRA GÖTALANDS LÄN</t>
        </is>
      </c>
      <c r="G178" t="inlineStr">
        <is>
          <t>UDDEVALLA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46293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45121</v>
      </c>
      <c r="E180" s="1" t="n">
        <v>46293</v>
      </c>
      <c r="F180" t="inlineStr">
        <is>
          <t>VÄSTRA GÖTALANDS LÄN</t>
        </is>
      </c>
      <c r="G180" t="inlineStr">
        <is>
          <t>UDDEVALLA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46293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46293</v>
      </c>
      <c r="F182" t="inlineStr">
        <is>
          <t>VÄSTRA GÖTALANDS LÄN</t>
        </is>
      </c>
      <c r="G182" t="inlineStr">
        <is>
          <t>UDDEVALLA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46293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Kommuner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45907</v>
      </c>
      <c r="E184" s="1" t="n">
        <v>46293</v>
      </c>
      <c r="F184" t="inlineStr">
        <is>
          <t>VÄSTRA GÖTALANDS LÄN</t>
        </is>
      </c>
      <c r="G184" t="inlineStr">
        <is>
          <t>UDDEVALLA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46293</v>
      </c>
      <c r="F185" t="inlineStr">
        <is>
          <t>VÄSTRA GÖTALANDS LÄN</t>
        </is>
      </c>
      <c r="G185" t="inlineStr">
        <is>
          <t>UDDEVALLA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46293</v>
      </c>
      <c r="F186" t="inlineStr">
        <is>
          <t>VÄSTRA GÖTALANDS LÄN</t>
        </is>
      </c>
      <c r="G186" t="inlineStr">
        <is>
          <t>UDDEVALLA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46293</v>
      </c>
      <c r="F187" t="inlineStr">
        <is>
          <t>VÄSTRA GÖTALANDS LÄN</t>
        </is>
      </c>
      <c r="G187" t="inlineStr">
        <is>
          <t>UDDEVALLA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46293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46293</v>
      </c>
      <c r="F189" t="inlineStr">
        <is>
          <t>VÄSTRA GÖTALANDS LÄN</t>
        </is>
      </c>
      <c r="G189" t="inlineStr">
        <is>
          <t>UDDEVALLA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20401-2026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46139</v>
      </c>
      <c r="E190" s="1" t="n">
        <v>46293</v>
      </c>
      <c r="F190" t="inlineStr">
        <is>
          <t>VÄSTRA GÖTALANDS LÄN</t>
        </is>
      </c>
      <c r="G190" t="inlineStr">
        <is>
          <t>UDDEVALLA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62365-2025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46293</v>
      </c>
      <c r="F191" t="inlineStr">
        <is>
          <t>VÄSTRA GÖTALANDS LÄN</t>
        </is>
      </c>
      <c r="G191" t="inlineStr">
        <is>
          <t>UDDEVALLA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46293</v>
      </c>
      <c r="F192" t="inlineStr">
        <is>
          <t>VÄSTRA GÖTALANDS LÄN</t>
        </is>
      </c>
      <c r="G192" t="inlineStr">
        <is>
          <t>UDDEVALLA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46293</v>
      </c>
      <c r="F193" t="inlineStr">
        <is>
          <t>VÄSTRA GÖTALANDS LÄN</t>
        </is>
      </c>
      <c r="G193" t="inlineStr">
        <is>
          <t>UDDEVALLA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44823</v>
      </c>
      <c r="E194" s="1" t="n">
        <v>46293</v>
      </c>
      <c r="F194" t="inlineStr">
        <is>
          <t>VÄSTRA GÖTALANDS LÄN</t>
        </is>
      </c>
      <c r="G194" t="inlineStr">
        <is>
          <t>UDDEVALLA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46293</v>
      </c>
      <c r="F195" t="inlineStr">
        <is>
          <t>VÄSTRA GÖTALANDS LÄN</t>
        </is>
      </c>
      <c r="G195" t="inlineStr">
        <is>
          <t>UDDEVALLA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46293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46293</v>
      </c>
      <c r="F197" t="inlineStr">
        <is>
          <t>VÄSTRA GÖTALANDS LÄN</t>
        </is>
      </c>
      <c r="G197" t="inlineStr">
        <is>
          <t>UDDEVALLA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46293</v>
      </c>
      <c r="F198" t="inlineStr">
        <is>
          <t>VÄSTRA GÖTALANDS LÄN</t>
        </is>
      </c>
      <c r="G198" t="inlineStr">
        <is>
          <t>UDDEVALLA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46293</v>
      </c>
      <c r="F199" t="inlineStr">
        <is>
          <t>VÄSTRA GÖTALANDS LÄN</t>
        </is>
      </c>
      <c r="G199" t="inlineStr">
        <is>
          <t>UDDEVALLA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46293</v>
      </c>
      <c r="F200" t="inlineStr">
        <is>
          <t>VÄSTRA GÖTALANDS LÄN</t>
        </is>
      </c>
      <c r="G200" t="inlineStr">
        <is>
          <t>UDDEVALLA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46293</v>
      </c>
      <c r="F201" t="inlineStr">
        <is>
          <t>VÄSTRA GÖTALANDS LÄN</t>
        </is>
      </c>
      <c r="G201" t="inlineStr">
        <is>
          <t>UDDEVALLA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46293</v>
      </c>
      <c r="F202" t="inlineStr">
        <is>
          <t>VÄSTRA GÖTALANDS LÄN</t>
        </is>
      </c>
      <c r="G202" t="inlineStr">
        <is>
          <t>UDDEVALLA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46293</v>
      </c>
      <c r="F203" t="inlineStr">
        <is>
          <t>VÄSTRA GÖTALANDS LÄN</t>
        </is>
      </c>
      <c r="G203" t="inlineStr">
        <is>
          <t>UDDEVALLA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46293</v>
      </c>
      <c r="F204" t="inlineStr">
        <is>
          <t>VÄSTRA GÖTALANDS LÄN</t>
        </is>
      </c>
      <c r="G204" t="inlineStr">
        <is>
          <t>UDDEVALLA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46293</v>
      </c>
      <c r="F205" t="inlineStr">
        <is>
          <t>VÄSTRA GÖTALANDS LÄN</t>
        </is>
      </c>
      <c r="G205" t="inlineStr">
        <is>
          <t>UDDEVALLA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46293</v>
      </c>
      <c r="F206" t="inlineStr">
        <is>
          <t>VÄSTRA GÖTALANDS LÄN</t>
        </is>
      </c>
      <c r="G206" t="inlineStr">
        <is>
          <t>UDDEVALLA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45238</v>
      </c>
      <c r="E207" s="1" t="n">
        <v>46293</v>
      </c>
      <c r="F207" t="inlineStr">
        <is>
          <t>VÄSTRA GÖTALANDS LÄN</t>
        </is>
      </c>
      <c r="G207" t="inlineStr">
        <is>
          <t>UDDEVALLA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73007-2021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46293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46293</v>
      </c>
      <c r="F209" t="inlineStr">
        <is>
          <t>VÄSTRA GÖTALANDS LÄN</t>
        </is>
      </c>
      <c r="G209" t="inlineStr">
        <is>
          <t>UDDEVALLA</t>
        </is>
      </c>
      <c r="I209" t="n">
        <v>12.2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45754</v>
      </c>
      <c r="E210" s="1" t="n">
        <v>46293</v>
      </c>
      <c r="F210" t="inlineStr">
        <is>
          <t>VÄSTRA GÖTALANDS LÄN</t>
        </is>
      </c>
      <c r="G210" t="inlineStr">
        <is>
          <t>UDDEVALLA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45551</v>
      </c>
      <c r="E211" s="1" t="n">
        <v>46293</v>
      </c>
      <c r="F211" t="inlineStr">
        <is>
          <t>VÄSTRA GÖTALANDS LÄN</t>
        </is>
      </c>
      <c r="G211" t="inlineStr">
        <is>
          <t>UDDEVALLA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46293</v>
      </c>
      <c r="F212" t="inlineStr">
        <is>
          <t>VÄSTRA GÖTALANDS LÄN</t>
        </is>
      </c>
      <c r="G212" t="inlineStr">
        <is>
          <t>UDDEVALLA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46147</v>
      </c>
      <c r="E213" s="1" t="n">
        <v>46293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46293</v>
      </c>
      <c r="F214" t="inlineStr">
        <is>
          <t>VÄSTRA GÖTALANDS LÄN</t>
        </is>
      </c>
      <c r="G214" t="inlineStr">
        <is>
          <t>UDDEVALLA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46293</v>
      </c>
      <c r="F215" t="inlineStr">
        <is>
          <t>VÄSTRA GÖTALANDS LÄN</t>
        </is>
      </c>
      <c r="G215" t="inlineStr">
        <is>
          <t>UDDEVALLA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46293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46293</v>
      </c>
      <c r="F217" t="inlineStr">
        <is>
          <t>VÄSTRA GÖTALANDS LÄN</t>
        </is>
      </c>
      <c r="G217" t="inlineStr">
        <is>
          <t>UDDEVALLA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46293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46293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46293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Övriga statliga verk och myndigheter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45843</v>
      </c>
      <c r="E221" s="1" t="n">
        <v>46293</v>
      </c>
      <c r="F221" t="inlineStr">
        <is>
          <t>VÄSTRA GÖTALANDS LÄN</t>
        </is>
      </c>
      <c r="G221" t="inlineStr">
        <is>
          <t>UDDEVALLA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63397-2021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46293</v>
      </c>
      <c r="F222" t="inlineStr">
        <is>
          <t>VÄSTRA GÖTALANDS LÄN</t>
        </is>
      </c>
      <c r="G222" t="inlineStr">
        <is>
          <t>UDDEVALLA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46293</v>
      </c>
      <c r="F223" t="inlineStr">
        <is>
          <t>VÄSTRA GÖTALANDS LÄN</t>
        </is>
      </c>
      <c r="G223" t="inlineStr">
        <is>
          <t>UDDEVALLA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46293</v>
      </c>
      <c r="F224" t="inlineStr">
        <is>
          <t>VÄSTRA GÖTALANDS LÄN</t>
        </is>
      </c>
      <c r="G224" t="inlineStr">
        <is>
          <t>UDDEVALLA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69198-2021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46293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46293</v>
      </c>
      <c r="F226" t="inlineStr">
        <is>
          <t>VÄSTRA GÖTALANDS LÄN</t>
        </is>
      </c>
      <c r="G226" t="inlineStr">
        <is>
          <t>UDDEVALLA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45495</v>
      </c>
      <c r="E227" s="1" t="n">
        <v>46293</v>
      </c>
      <c r="F227" t="inlineStr">
        <is>
          <t>VÄSTRA GÖTALANDS LÄN</t>
        </is>
      </c>
      <c r="G227" t="inlineStr">
        <is>
          <t>UDDEVALLA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46293</v>
      </c>
      <c r="F228" t="inlineStr">
        <is>
          <t>VÄSTRA GÖTALANDS LÄN</t>
        </is>
      </c>
      <c r="G228" t="inlineStr">
        <is>
          <t>UDDEVALLA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45455</v>
      </c>
      <c r="E229" s="1" t="n">
        <v>46293</v>
      </c>
      <c r="F229" t="inlineStr">
        <is>
          <t>VÄSTRA GÖTALANDS LÄN</t>
        </is>
      </c>
      <c r="G229" t="inlineStr">
        <is>
          <t>UDDEVALLA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46293</v>
      </c>
      <c r="F230" t="inlineStr">
        <is>
          <t>VÄSTRA GÖTALANDS LÄN</t>
        </is>
      </c>
      <c r="G230" t="inlineStr">
        <is>
          <t>UDDEVALLA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45150</v>
      </c>
      <c r="E231" s="1" t="n">
        <v>46293</v>
      </c>
      <c r="F231" t="inlineStr">
        <is>
          <t>VÄSTRA GÖTALANDS LÄN</t>
        </is>
      </c>
      <c r="G231" t="inlineStr">
        <is>
          <t>UDDEVALLA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45133</v>
      </c>
      <c r="E232" s="1" t="n">
        <v>46293</v>
      </c>
      <c r="F232" t="inlineStr">
        <is>
          <t>VÄSTRA GÖTALANDS LÄN</t>
        </is>
      </c>
      <c r="G232" t="inlineStr">
        <is>
          <t>UDDEVALLA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46293</v>
      </c>
      <c r="F233" t="inlineStr">
        <is>
          <t>VÄSTRA GÖTALANDS LÄN</t>
        </is>
      </c>
      <c r="G233" t="inlineStr">
        <is>
          <t>UDDEVALLA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46293</v>
      </c>
      <c r="F234" t="inlineStr">
        <is>
          <t>VÄSTRA GÖTALANDS LÄN</t>
        </is>
      </c>
      <c r="G234" t="inlineStr">
        <is>
          <t>UDDEVALLA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46293</v>
      </c>
      <c r="F235" t="inlineStr">
        <is>
          <t>VÄSTRA GÖTALANDS LÄN</t>
        </is>
      </c>
      <c r="G235" t="inlineStr">
        <is>
          <t>UDDEVALLA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46293</v>
      </c>
      <c r="F236" t="inlineStr">
        <is>
          <t>VÄSTRA GÖTALANDS LÄN</t>
        </is>
      </c>
      <c r="G236" t="inlineStr">
        <is>
          <t>UDDEVALLA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25611-2026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46293</v>
      </c>
      <c r="F237" t="inlineStr">
        <is>
          <t>VÄSTRA GÖTALANDS LÄN</t>
        </is>
      </c>
      <c r="G237" t="inlineStr">
        <is>
          <t>UDDEVALLA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46293</v>
      </c>
      <c r="F238" t="inlineStr">
        <is>
          <t>VÄSTRA GÖTALANDS LÄN</t>
        </is>
      </c>
      <c r="G238" t="inlineStr">
        <is>
          <t>UDDEVALLA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45387</v>
      </c>
      <c r="E239" s="1" t="n">
        <v>46293</v>
      </c>
      <c r="F239" t="inlineStr">
        <is>
          <t>VÄSTRA GÖTALANDS LÄN</t>
        </is>
      </c>
      <c r="G239" t="inlineStr">
        <is>
          <t>UDDEVALLA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46293</v>
      </c>
      <c r="F240" t="inlineStr">
        <is>
          <t>VÄSTRA GÖTALANDS LÄN</t>
        </is>
      </c>
      <c r="G240" t="inlineStr">
        <is>
          <t>UDDEVALLA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44572</v>
      </c>
      <c r="E241" s="1" t="n">
        <v>46293</v>
      </c>
      <c r="F241" t="inlineStr">
        <is>
          <t>VÄSTRA GÖTALANDS LÄN</t>
        </is>
      </c>
      <c r="G241" t="inlineStr">
        <is>
          <t>UDDEVALLA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46293</v>
      </c>
      <c r="F242" t="inlineStr">
        <is>
          <t>VÄSTRA GÖTALANDS LÄN</t>
        </is>
      </c>
      <c r="G242" t="inlineStr">
        <is>
          <t>UDDEVALLA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46293</v>
      </c>
      <c r="F243" t="inlineStr">
        <is>
          <t>VÄSTRA GÖTALANDS LÄN</t>
        </is>
      </c>
      <c r="G243" t="inlineStr">
        <is>
          <t>UDDEVALLA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58958-2021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44489</v>
      </c>
      <c r="E244" s="1" t="n">
        <v>46293</v>
      </c>
      <c r="F244" t="inlineStr">
        <is>
          <t>VÄSTRA GÖTALANDS LÄN</t>
        </is>
      </c>
      <c r="G244" t="inlineStr">
        <is>
          <t>UDDEVALLA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46293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39621-2023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46293</v>
      </c>
      <c r="F246" t="inlineStr">
        <is>
          <t>VÄSTRA GÖTALANDS LÄN</t>
        </is>
      </c>
      <c r="G246" t="inlineStr">
        <is>
          <t>UDDEVALLA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46293</v>
      </c>
      <c r="F247" t="inlineStr">
        <is>
          <t>VÄSTRA GÖTALANDS LÄN</t>
        </is>
      </c>
      <c r="G247" t="inlineStr">
        <is>
          <t>UDDEVALLA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46293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46293</v>
      </c>
      <c r="F249" t="inlineStr">
        <is>
          <t>VÄSTRA GÖTALANDS LÄN</t>
        </is>
      </c>
      <c r="G249" t="inlineStr">
        <is>
          <t>UDDEVALLA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45349</v>
      </c>
      <c r="E250" s="1" t="n">
        <v>46293</v>
      </c>
      <c r="F250" t="inlineStr">
        <is>
          <t>VÄSTRA GÖTALANDS LÄN</t>
        </is>
      </c>
      <c r="G250" t="inlineStr">
        <is>
          <t>UDDEVALLA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44582</v>
      </c>
      <c r="E251" s="1" t="n">
        <v>46293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46293</v>
      </c>
      <c r="F252" t="inlineStr">
        <is>
          <t>VÄSTRA GÖTALANDS LÄN</t>
        </is>
      </c>
      <c r="G252" t="inlineStr">
        <is>
          <t>UDDEVALLA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2306-2022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44578</v>
      </c>
      <c r="E253" s="1" t="n">
        <v>46293</v>
      </c>
      <c r="F253" t="inlineStr">
        <is>
          <t>VÄSTRA GÖTALANDS LÄN</t>
        </is>
      </c>
      <c r="G253" t="inlineStr">
        <is>
          <t>UDDEVALLA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46293</v>
      </c>
      <c r="F254" t="inlineStr">
        <is>
          <t>VÄSTRA GÖTALANDS LÄN</t>
        </is>
      </c>
      <c r="G254" t="inlineStr">
        <is>
          <t>UDDEVALLA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46293</v>
      </c>
      <c r="F255" t="inlineStr">
        <is>
          <t>VÄSTRA GÖTALANDS LÄN</t>
        </is>
      </c>
      <c r="G255" t="inlineStr">
        <is>
          <t>UDDEVALLA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6875-2022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44602</v>
      </c>
      <c r="E256" s="1" t="n">
        <v>46293</v>
      </c>
      <c r="F256" t="inlineStr">
        <is>
          <t>VÄSTRA GÖTALANDS LÄN</t>
        </is>
      </c>
      <c r="G256" t="inlineStr">
        <is>
          <t>UDDEVALLA</t>
        </is>
      </c>
      <c r="I256" t="n">
        <v>9.6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46293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46293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46293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46293</v>
      </c>
      <c r="F260" t="inlineStr">
        <is>
          <t>VÄSTRA GÖTALANDS LÄN</t>
        </is>
      </c>
      <c r="G260" t="inlineStr">
        <is>
          <t>UDDEVALLA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46293</v>
      </c>
      <c r="F261" t="inlineStr">
        <is>
          <t>VÄSTRA GÖTALANDS LÄN</t>
        </is>
      </c>
      <c r="G261" t="inlineStr">
        <is>
          <t>UDDEVALLA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46293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46293</v>
      </c>
      <c r="F263" t="inlineStr">
        <is>
          <t>VÄSTRA GÖTALANDS LÄN</t>
        </is>
      </c>
      <c r="G263" t="inlineStr">
        <is>
          <t>UDDEVALLA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46293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Kommuner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46211</v>
      </c>
      <c r="E265" s="1" t="n">
        <v>46293</v>
      </c>
      <c r="F265" t="inlineStr">
        <is>
          <t>VÄSTRA GÖTALANDS LÄN</t>
        </is>
      </c>
      <c r="G265" t="inlineStr">
        <is>
          <t>UDDEVALLA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46293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46212</v>
      </c>
      <c r="E267" s="1" t="n">
        <v>46293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45127</v>
      </c>
      <c r="E268" s="1" t="n">
        <v>46293</v>
      </c>
      <c r="F268" t="inlineStr">
        <is>
          <t>VÄSTRA GÖTALANDS LÄN</t>
        </is>
      </c>
      <c r="G268" t="inlineStr">
        <is>
          <t>UDDEVALLA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46293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45572</v>
      </c>
      <c r="E270" s="1" t="n">
        <v>46293</v>
      </c>
      <c r="F270" t="inlineStr">
        <is>
          <t>VÄSTRA GÖTALANDS LÄN</t>
        </is>
      </c>
      <c r="G270" t="inlineStr">
        <is>
          <t>UDDEVALLA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46293</v>
      </c>
      <c r="F271" t="inlineStr">
        <is>
          <t>VÄSTRA GÖTALANDS LÄN</t>
        </is>
      </c>
      <c r="G271" t="inlineStr">
        <is>
          <t>UDDEVALLA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46293</v>
      </c>
      <c r="F272" t="inlineStr">
        <is>
          <t>VÄSTRA GÖTALANDS LÄN</t>
        </is>
      </c>
      <c r="G272" t="inlineStr">
        <is>
          <t>UDDEVALLA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44733</v>
      </c>
      <c r="E273" s="1" t="n">
        <v>46293</v>
      </c>
      <c r="F273" t="inlineStr">
        <is>
          <t>VÄSTRA GÖTALANDS LÄN</t>
        </is>
      </c>
      <c r="G273" t="inlineStr">
        <is>
          <t>UDDEVALLA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44715</v>
      </c>
      <c r="E274" s="1" t="n">
        <v>46293</v>
      </c>
      <c r="F274" t="inlineStr">
        <is>
          <t>VÄSTRA GÖTALANDS LÄN</t>
        </is>
      </c>
      <c r="G274" t="inlineStr">
        <is>
          <t>UDDEVALLA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46293</v>
      </c>
      <c r="F275" t="inlineStr">
        <is>
          <t>VÄSTRA GÖTALANDS LÄN</t>
        </is>
      </c>
      <c r="G275" t="inlineStr">
        <is>
          <t>UDDEVALLA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44820</v>
      </c>
      <c r="E276" s="1" t="n">
        <v>46293</v>
      </c>
      <c r="F276" t="inlineStr">
        <is>
          <t>VÄSTRA GÖTALANDS LÄN</t>
        </is>
      </c>
      <c r="G276" t="inlineStr">
        <is>
          <t>UDDEVALLA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46293</v>
      </c>
      <c r="F277" t="inlineStr">
        <is>
          <t>VÄSTRA GÖTALANDS LÄN</t>
        </is>
      </c>
      <c r="G277" t="inlineStr">
        <is>
          <t>UDDEVALLA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46222</v>
      </c>
      <c r="E278" s="1" t="n">
        <v>46293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46266</v>
      </c>
      <c r="E279" s="1" t="n">
        <v>46293</v>
      </c>
      <c r="F279" t="inlineStr">
        <is>
          <t>VÄSTRA GÖTALANDS LÄN</t>
        </is>
      </c>
      <c r="G279" t="inlineStr">
        <is>
          <t>UDDEVALLA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46293</v>
      </c>
      <c r="F280" t="inlineStr">
        <is>
          <t>VÄSTRA GÖTALANDS LÄN</t>
        </is>
      </c>
      <c r="G280" t="inlineStr">
        <is>
          <t>UDDEVALLA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46293</v>
      </c>
      <c r="F281" t="inlineStr">
        <is>
          <t>VÄSTRA GÖTALANDS LÄN</t>
        </is>
      </c>
      <c r="G281" t="inlineStr">
        <is>
          <t>UDDEVALLA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46267</v>
      </c>
      <c r="E282" s="1" t="n">
        <v>46293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Kyrkan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46267</v>
      </c>
      <c r="E283" s="1" t="n">
        <v>46293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46293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46267</v>
      </c>
      <c r="E285" s="1" t="n">
        <v>46293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46293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45847</v>
      </c>
      <c r="E287" s="1" t="n">
        <v>46293</v>
      </c>
      <c r="F287" t="inlineStr">
        <is>
          <t>VÄSTRA GÖTALANDS LÄN</t>
        </is>
      </c>
      <c r="G287" t="inlineStr">
        <is>
          <t>UDDEVALLA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46293</v>
      </c>
      <c r="F288" t="inlineStr">
        <is>
          <t>VÄSTRA GÖTALANDS LÄN</t>
        </is>
      </c>
      <c r="G288" t="inlineStr">
        <is>
          <t>UDDEVALLA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44984</v>
      </c>
      <c r="E289" s="1" t="n">
        <v>46293</v>
      </c>
      <c r="F289" t="inlineStr">
        <is>
          <t>VÄSTRA GÖTALANDS LÄN</t>
        </is>
      </c>
      <c r="G289" t="inlineStr">
        <is>
          <t>UDDEVALLA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44683</v>
      </c>
      <c r="E290" s="1" t="n">
        <v>46293</v>
      </c>
      <c r="F290" t="inlineStr">
        <is>
          <t>VÄSTRA GÖTALANDS LÄN</t>
        </is>
      </c>
      <c r="G290" t="inlineStr">
        <is>
          <t>UDDEVALLA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46293</v>
      </c>
      <c r="F291" t="inlineStr">
        <is>
          <t>VÄSTRA GÖTALANDS LÄN</t>
        </is>
      </c>
      <c r="G291" t="inlineStr">
        <is>
          <t>UDDEVALLA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46293</v>
      </c>
      <c r="F292" t="inlineStr">
        <is>
          <t>VÄSTRA GÖTALANDS LÄN</t>
        </is>
      </c>
      <c r="G292" t="inlineStr">
        <is>
          <t>UDDEVALLA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46293</v>
      </c>
      <c r="F293" t="inlineStr">
        <is>
          <t>VÄSTRA GÖTALANDS LÄN</t>
        </is>
      </c>
      <c r="G293" t="inlineStr">
        <is>
          <t>UDDEVALLA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46293</v>
      </c>
      <c r="F294" t="inlineStr">
        <is>
          <t>VÄSTRA GÖTALANDS LÄN</t>
        </is>
      </c>
      <c r="G294" t="inlineStr">
        <is>
          <t>UDDEVALLA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70491-2021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44536</v>
      </c>
      <c r="E295" s="1" t="n">
        <v>46293</v>
      </c>
      <c r="F295" t="inlineStr">
        <is>
          <t>VÄSTRA GÖTALANDS LÄN</t>
        </is>
      </c>
      <c r="G295" t="inlineStr">
        <is>
          <t>UDDEVALLA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46293</v>
      </c>
      <c r="F296" t="inlineStr">
        <is>
          <t>VÄSTRA GÖTALANDS LÄN</t>
        </is>
      </c>
      <c r="G296" t="inlineStr">
        <is>
          <t>UDDEVALLA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46293</v>
      </c>
      <c r="F297" t="inlineStr">
        <is>
          <t>VÄSTRA GÖTALANDS LÄN</t>
        </is>
      </c>
      <c r="G297" t="inlineStr">
        <is>
          <t>UDDEVALLA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46293</v>
      </c>
      <c r="F298" t="inlineStr">
        <is>
          <t>VÄSTRA GÖTALANDS LÄN</t>
        </is>
      </c>
      <c r="G298" t="inlineStr">
        <is>
          <t>UDDEVALLA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44959</v>
      </c>
      <c r="E299" s="1" t="n">
        <v>46293</v>
      </c>
      <c r="F299" t="inlineStr">
        <is>
          <t>VÄSTRA GÖTALANDS LÄN</t>
        </is>
      </c>
      <c r="G299" t="inlineStr">
        <is>
          <t>UDDEVALLA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45028</v>
      </c>
      <c r="E300" s="1" t="n">
        <v>46293</v>
      </c>
      <c r="F300" t="inlineStr">
        <is>
          <t>VÄSTRA GÖTALANDS LÄN</t>
        </is>
      </c>
      <c r="G300" t="inlineStr">
        <is>
          <t>UDDEVALLA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45237</v>
      </c>
      <c r="E301" s="1" t="n">
        <v>46293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46293</v>
      </c>
      <c r="F302" t="inlineStr">
        <is>
          <t>VÄSTRA GÖTALANDS LÄN</t>
        </is>
      </c>
      <c r="G302" t="inlineStr">
        <is>
          <t>UDDEVALLA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46293</v>
      </c>
      <c r="F303" t="inlineStr">
        <is>
          <t>VÄSTRA GÖTALANDS LÄN</t>
        </is>
      </c>
      <c r="G303" t="inlineStr">
        <is>
          <t>UDDEVALLA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8893-2024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45355</v>
      </c>
      <c r="E304" s="1" t="n">
        <v>46293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46293</v>
      </c>
      <c r="F305" t="inlineStr">
        <is>
          <t>VÄSTRA GÖTALANDS LÄN</t>
        </is>
      </c>
      <c r="G305" t="inlineStr">
        <is>
          <t>UDDEVALLA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46293</v>
      </c>
      <c r="F306" t="inlineStr">
        <is>
          <t>VÄSTRA GÖTALANDS LÄN</t>
        </is>
      </c>
      <c r="G306" t="inlineStr">
        <is>
          <t>UDDEVALLA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45667</v>
      </c>
      <c r="E307" s="1" t="n">
        <v>46293</v>
      </c>
      <c r="F307" t="inlineStr">
        <is>
          <t>VÄSTRA GÖTALANDS LÄN</t>
        </is>
      </c>
      <c r="G307" t="inlineStr">
        <is>
          <t>UDDEVALLA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46293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45205</v>
      </c>
      <c r="E309" s="1" t="n">
        <v>46293</v>
      </c>
      <c r="F309" t="inlineStr">
        <is>
          <t>VÄSTRA GÖTALANDS LÄN</t>
        </is>
      </c>
      <c r="G309" t="inlineStr">
        <is>
          <t>UDDEVALLA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46293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46293</v>
      </c>
      <c r="F311" t="inlineStr">
        <is>
          <t>VÄSTRA GÖTALANDS LÄN</t>
        </is>
      </c>
      <c r="G311" t="inlineStr">
        <is>
          <t>UDDEVALLA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46293</v>
      </c>
      <c r="F312" t="inlineStr">
        <is>
          <t>VÄSTRA GÖTALANDS LÄN</t>
        </is>
      </c>
      <c r="G312" t="inlineStr">
        <is>
          <t>UDDEVALLA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46293</v>
      </c>
      <c r="F313" t="inlineStr">
        <is>
          <t>VÄSTRA GÖTALANDS LÄN</t>
        </is>
      </c>
      <c r="G313" t="inlineStr">
        <is>
          <t>UDDEVALLA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58625-2024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45635</v>
      </c>
      <c r="E314" s="1" t="n">
        <v>46293</v>
      </c>
      <c r="F314" t="inlineStr">
        <is>
          <t>VÄSTRA GÖTALANDS LÄN</t>
        </is>
      </c>
      <c r="G314" t="inlineStr">
        <is>
          <t>UDDEVALLA</t>
        </is>
      </c>
      <c r="I314" t="n">
        <v>14.9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46293</v>
      </c>
      <c r="F315" t="inlineStr">
        <is>
          <t>VÄSTRA GÖTALANDS LÄN</t>
        </is>
      </c>
      <c r="G315" t="inlineStr">
        <is>
          <t>UDDEVALLA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45684</v>
      </c>
      <c r="E316" s="1" t="n">
        <v>46293</v>
      </c>
      <c r="F316" t="inlineStr">
        <is>
          <t>VÄSTRA GÖTALANDS LÄN</t>
        </is>
      </c>
      <c r="G316" t="inlineStr">
        <is>
          <t>UDDEVALLA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46293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45251</v>
      </c>
      <c r="E318" s="1" t="n">
        <v>46293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46293</v>
      </c>
      <c r="F319" t="inlineStr">
        <is>
          <t>VÄSTRA GÖTALANDS LÄN</t>
        </is>
      </c>
      <c r="G319" t="inlineStr">
        <is>
          <t>UDDEVALLA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45426</v>
      </c>
      <c r="E320" s="1" t="n">
        <v>46293</v>
      </c>
      <c r="F320" t="inlineStr">
        <is>
          <t>VÄSTRA GÖTALANDS LÄN</t>
        </is>
      </c>
      <c r="G320" t="inlineStr">
        <is>
          <t>UDDEVALLA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46293</v>
      </c>
      <c r="F321" t="inlineStr">
        <is>
          <t>VÄSTRA GÖTALANDS LÄN</t>
        </is>
      </c>
      <c r="G321" t="inlineStr">
        <is>
          <t>UDDEVALLA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46293</v>
      </c>
      <c r="F322" t="inlineStr">
        <is>
          <t>VÄSTRA GÖTALANDS LÄN</t>
        </is>
      </c>
      <c r="G322" t="inlineStr">
        <is>
          <t>UDDEVALLA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45644</v>
      </c>
      <c r="E323" s="1" t="n">
        <v>46293</v>
      </c>
      <c r="F323" t="inlineStr">
        <is>
          <t>VÄSTRA GÖTALANDS LÄN</t>
        </is>
      </c>
      <c r="G323" t="inlineStr">
        <is>
          <t>UDDEVALLA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46293</v>
      </c>
      <c r="F324" t="inlineStr">
        <is>
          <t>VÄSTRA GÖTALANDS LÄN</t>
        </is>
      </c>
      <c r="G324" t="inlineStr">
        <is>
          <t>UDDEVALLA</t>
        </is>
      </c>
      <c r="I324" t="n">
        <v>12.9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46293</v>
      </c>
      <c r="F325" t="inlineStr">
        <is>
          <t>VÄSTRA GÖTALANDS LÄN</t>
        </is>
      </c>
      <c r="G325" t="inlineStr">
        <is>
          <t>UDDEVALLA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46293</v>
      </c>
      <c r="F326" t="inlineStr">
        <is>
          <t>VÄSTRA GÖTALANDS LÄN</t>
        </is>
      </c>
      <c r="G326" t="inlineStr">
        <is>
          <t>UDDEVALLA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46293</v>
      </c>
      <c r="F327" t="inlineStr">
        <is>
          <t>VÄSTRA GÖTALANDS LÄN</t>
        </is>
      </c>
      <c r="G327" t="inlineStr">
        <is>
          <t>UDDEVALLA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342-2024</t>
        </is>
      </c>
      <c r="B328" t="inlineStr">
        <is>
          <t>samrådsanmälan</t>
        </is>
      </c>
      <c r="C328" t="inlineStr">
        <is>
          <t>Stubbskörd</t>
        </is>
      </c>
      <c r="D328" s="1" t="n">
        <v>45328</v>
      </c>
      <c r="E328" s="1" t="n">
        <v>46293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3240-2024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45526</v>
      </c>
      <c r="E329" s="1" t="n">
        <v>46293</v>
      </c>
      <c r="F329" t="inlineStr">
        <is>
          <t>VÄSTRA GÖTALANDS LÄN</t>
        </is>
      </c>
      <c r="G329" t="inlineStr">
        <is>
          <t>UDDEVALLA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7618-2021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44473</v>
      </c>
      <c r="E330" s="1" t="n">
        <v>46293</v>
      </c>
      <c r="F330" t="inlineStr">
        <is>
          <t>VÄSTRA GÖTALANDS LÄN</t>
        </is>
      </c>
      <c r="G330" t="inlineStr">
        <is>
          <t>UDDEVALLA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1088-2026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46129</v>
      </c>
      <c r="E331" s="1" t="n">
        <v>46293</v>
      </c>
      <c r="F331" t="inlineStr">
        <is>
          <t>VÄSTRA GÖTALANDS LÄN</t>
        </is>
      </c>
      <c r="G331" t="inlineStr">
        <is>
          <t>UDDEVALLA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2026-09-28T02:00:45Z</dcterms:created>
  <dcterms:modified xmlns:dcterms="http://purl.org/dc/terms/" xmlns:xsi="http://www.w3.org/2001/XMLSchema-instance" xsi:type="dcterms:W3CDTF">2026-09-28T02:00:46Z</dcterms:modified>
</cp:coreProperties>
</file>