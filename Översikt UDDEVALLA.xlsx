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46258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46258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46258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46258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46258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46258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46258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46258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46258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46258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46258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46258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46258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46258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46258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46258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46258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46258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46258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Grönhjon
Granbarkgnagare</t>
        </is>
      </c>
      <c r="W20">
        <f>HYPERLINK("https://klasma.github.io/Logging_1485/artfynd/A 32528-2024 artfynd.xlsx", "A 32528-2024")</f>
        <v/>
      </c>
      <c r="X20">
        <f>HYPERLINK("https://klasma.github.io/Logging_1485/kartor/A 32528-2024 karta.png", "A 32528-2024")</f>
        <v/>
      </c>
      <c r="Y20">
        <f>HYPERLINK("https://klasma.github.io/Logging_1485/kartor_geotiff/A 32528-2024 georefererad karta.tif", "A 32528-2024")</f>
        <v/>
      </c>
      <c r="AA20">
        <f>HYPERLINK("https://klasma.github.io/Logging_1485/klagomål/A 32528-2024 FSC-klagomål.docx", "A 32528-2024")</f>
        <v/>
      </c>
      <c r="AB20">
        <f>HYPERLINK("https://klasma.github.io/Logging_1485/klagomålsmail/A 32528-2024 FSC-klagomål mail.docx", "A 32528-2024")</f>
        <v/>
      </c>
      <c r="AC20">
        <f>HYPERLINK("https://klasma.github.io/Logging_1485/tillsyn/A 32528-2024 tillsynsbegäran.docx", "A 32528-2024")</f>
        <v/>
      </c>
      <c r="AD20">
        <f>HYPERLINK("https://klasma.github.io/Logging_1485/tillsynsmail/A 32528-2024 tillsynsbegäran mail.docx", "A 32528-2024")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46258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46258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46258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46258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46258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46258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46258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46258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46258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46258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46258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46258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46258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55288-2023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46258</v>
      </c>
      <c r="F34" t="inlineStr">
        <is>
          <t>VÄSTRA GÖTALANDS LÄN</t>
        </is>
      </c>
      <c r="G34" t="inlineStr">
        <is>
          <t>UDDEVALLA</t>
        </is>
      </c>
      <c r="I34" t="n">
        <v>5.2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HYPERLINK("https://klasma.github.io/Logging_1485/artfynd/A 55288-2023 artfynd.xlsx", "A 55288-2023")</f>
        <v/>
      </c>
      <c r="X34">
        <f>HYPERLINK("https://klasma.github.io/Logging_1485/kartor/A 55288-2023 karta.png", "A 55288-2023")</f>
        <v/>
      </c>
      <c r="Y34">
        <f>HYPERLINK("https://klasma.github.io/Logging_1485/kartor_geotiff/A 55288-2023 georefererad karta.tif", "A 55288-2023")</f>
        <v/>
      </c>
      <c r="AA34">
        <f>HYPERLINK("https://klasma.github.io/Logging_1485/klagomål/A 55288-2023 FSC-klagomål.docx", "A 55288-2023")</f>
        <v/>
      </c>
      <c r="AB34">
        <f>HYPERLINK("https://klasma.github.io/Logging_1485/klagomålsmail/A 55288-2023 FSC-klagomål mail.docx", "A 55288-2023")</f>
        <v/>
      </c>
      <c r="AC34">
        <f>HYPERLINK("https://klasma.github.io/Logging_1485/tillsyn/A 55288-2023 tillsynsbegäran.docx", "A 55288-2023")</f>
        <v/>
      </c>
      <c r="AD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46258</v>
      </c>
      <c r="F35" t="inlineStr">
        <is>
          <t>VÄSTRA GÖTALANDS LÄN</t>
        </is>
      </c>
      <c r="G35" t="inlineStr">
        <is>
          <t>UDDEVALLA</t>
        </is>
      </c>
      <c r="I35" t="n">
        <v>3.3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Vedticka</t>
        </is>
      </c>
      <c r="W35">
        <f>HYPERLINK("https://klasma.github.io/Logging_1485/artfynd/A 23401-2023 artfynd.xlsx", "A 23401-2023")</f>
        <v/>
      </c>
      <c r="X35">
        <f>HYPERLINK("https://klasma.github.io/Logging_1485/kartor/A 23401-2023 karta.png", "A 23401-2023")</f>
        <v/>
      </c>
      <c r="Y35">
        <f>HYPERLINK("https://klasma.github.io/Logging_1485/kartor_geotiff/A 23401-2023 georefererad karta.tif", "A 23401-2023")</f>
        <v/>
      </c>
      <c r="AA35">
        <f>HYPERLINK("https://klasma.github.io/Logging_1485/klagomål/A 23401-2023 FSC-klagomål.docx", "A 23401-2023")</f>
        <v/>
      </c>
      <c r="AB35">
        <f>HYPERLINK("https://klasma.github.io/Logging_1485/klagomålsmail/A 23401-2023 FSC-klagomål mail.docx", "A 23401-2023")</f>
        <v/>
      </c>
      <c r="AC35">
        <f>HYPERLINK("https://klasma.github.io/Logging_1485/tillsyn/A 23401-2023 tillsynsbegäran.docx", "A 23401-2023")</f>
        <v/>
      </c>
      <c r="AD35">
        <f>HYPERLINK("https://klasma.github.io/Logging_1485/tillsynsmail/A 23401-2023 tillsynsbegäran mail.docx", "A 23401-2023")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46258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46258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1293-2024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45303</v>
      </c>
      <c r="E38" s="1" t="n">
        <v>46258</v>
      </c>
      <c r="F38" t="inlineStr">
        <is>
          <t>VÄSTRA GÖTALANDS LÄN</t>
        </is>
      </c>
      <c r="G38" t="inlineStr">
        <is>
          <t>UDDEVALLA</t>
        </is>
      </c>
      <c r="I38" t="n">
        <v>2.2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Tornseglare</t>
        </is>
      </c>
      <c r="W38">
        <f>HYPERLINK("https://klasma.github.io/Logging_1485/artfynd/A 1293-2024 artfynd.xlsx", "A 1293-2024")</f>
        <v/>
      </c>
      <c r="X38">
        <f>HYPERLINK("https://klasma.github.io/Logging_1485/kartor/A 1293-2024 karta.png", "A 1293-2024")</f>
        <v/>
      </c>
      <c r="Y38">
        <f>HYPERLINK("https://klasma.github.io/Logging_1485/kartor_geotiff/A 1293-2024 georefererad karta.tif", "A 1293-2024")</f>
        <v/>
      </c>
      <c r="AA38">
        <f>HYPERLINK("https://klasma.github.io/Logging_1485/klagomål/A 1293-2024 FSC-klagomål.docx", "A 1293-2024")</f>
        <v/>
      </c>
      <c r="AB38">
        <f>HYPERLINK("https://klasma.github.io/Logging_1485/klagomålsmail/A 1293-2024 FSC-klagomål mail.docx", "A 1293-2024")</f>
        <v/>
      </c>
      <c r="AC38">
        <f>HYPERLINK("https://klasma.github.io/Logging_1485/tillsyn/A 1293-2024 tillsynsbegäran.docx", "A 1293-2024")</f>
        <v/>
      </c>
      <c r="AD38">
        <f>HYPERLINK("https://klasma.github.io/Logging_1485/tillsynsmail/A 1293-2024 tillsynsbegäran mail.docx", "A 1293-2024")</f>
        <v/>
      </c>
      <c r="AE38">
        <f>HYPERLINK("https://klasma.github.io/Logging_1485/fåglar/A 1293-2024 prioriterade fågelarter.docx", "A 1293-2024")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46258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46258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46258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Lundvaxskivling</t>
        </is>
      </c>
      <c r="W41">
        <f>HYPERLINK("https://klasma.github.io/Logging_1485/artfynd/A 34058-2023 artfynd.xlsx", "A 34058-2023")</f>
        <v/>
      </c>
      <c r="X41">
        <f>HYPERLINK("https://klasma.github.io/Logging_1485/kartor/A 34058-2023 karta.png", "A 34058-2023")</f>
        <v/>
      </c>
      <c r="Y41">
        <f>HYPERLINK("https://klasma.github.io/Logging_1485/kartor_geotiff/A 34058-2023 georefererad karta.tif", "A 34058-2023")</f>
        <v/>
      </c>
      <c r="AA41">
        <f>HYPERLINK("https://klasma.github.io/Logging_1485/klagomål/A 34058-2023 FSC-klagomål.docx", "A 34058-2023")</f>
        <v/>
      </c>
      <c r="AB41">
        <f>HYPERLINK("https://klasma.github.io/Logging_1485/klagomålsmail/A 34058-2023 FSC-klagomål mail.docx", "A 34058-2023")</f>
        <v/>
      </c>
      <c r="AC41">
        <f>HYPERLINK("https://klasma.github.io/Logging_1485/tillsyn/A 34058-2023 tillsynsbegäran.docx", "A 34058-2023")</f>
        <v/>
      </c>
      <c r="AD41">
        <f>HYPERLINK("https://klasma.github.io/Logging_1485/tillsynsmail/A 34058-2023 tillsynsbegäran mail.docx", "A 34058-2023")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46258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46258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46258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9424-2026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46258</v>
      </c>
      <c r="F45" t="inlineStr">
        <is>
          <t>VÄSTRA GÖTALANDS LÄN</t>
        </is>
      </c>
      <c r="G45" t="inlineStr">
        <is>
          <t>UDDEVALLA</t>
        </is>
      </c>
      <c r="I45" t="n">
        <v>4.3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Flotagräs</t>
        </is>
      </c>
      <c r="W45">
        <f>HYPERLINK("https://klasma.github.io/Logging_1485/artfynd/A 9424-2026 artfynd.xlsx", "A 9424-2026")</f>
        <v/>
      </c>
      <c r="X45">
        <f>HYPERLINK("https://klasma.github.io/Logging_1485/kartor/A 9424-2026 karta.png", "A 9424-2026")</f>
        <v/>
      </c>
      <c r="Y45">
        <f>HYPERLINK("https://klasma.github.io/Logging_1485/kartor_geotiff/A 9424-2026 georefererad karta.tif", "A 9424-2026")</f>
        <v/>
      </c>
      <c r="AA45">
        <f>HYPERLINK("https://klasma.github.io/Logging_1485/klagomål/A 9424-2026 FSC-klagomål.docx", "A 9424-2026")</f>
        <v/>
      </c>
      <c r="AB45">
        <f>HYPERLINK("https://klasma.github.io/Logging_1485/klagomålsmail/A 9424-2026 FSC-klagomål mail.docx", "A 9424-2026")</f>
        <v/>
      </c>
      <c r="AC45">
        <f>HYPERLINK("https://klasma.github.io/Logging_1485/tillsyn/A 9424-2026 tillsynsbegäran.docx", "A 9424-2026")</f>
        <v/>
      </c>
      <c r="AD45">
        <f>HYPERLINK("https://klasma.github.io/Logging_1485/tillsynsmail/A 9424-2026 tillsynsbegäran mail.docx", "A 9424-2026")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46258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46258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46258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46258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46258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46258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46258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46258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46258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46258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46258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46258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46258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46258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46258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46258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46258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46258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46258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46258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46258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46258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46258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46258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46258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44834</v>
      </c>
      <c r="E71" s="1" t="n">
        <v>46258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46258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46258</v>
      </c>
      <c r="F73" t="inlineStr">
        <is>
          <t>VÄSTRA GÖTALANDS LÄN</t>
        </is>
      </c>
      <c r="G73" t="inlineStr">
        <is>
          <t>UDDEVALLA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46258</v>
      </c>
      <c r="F74" t="inlineStr">
        <is>
          <t>VÄSTRA GÖTALANDS LÄN</t>
        </is>
      </c>
      <c r="G74" t="inlineStr">
        <is>
          <t>UDDEVALLA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45722</v>
      </c>
      <c r="E75" s="1" t="n">
        <v>46258</v>
      </c>
      <c r="F75" t="inlineStr">
        <is>
          <t>VÄSTRA GÖTALANDS LÄN</t>
        </is>
      </c>
      <c r="G75" t="inlineStr">
        <is>
          <t>UDDEVALLA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46258</v>
      </c>
      <c r="F76" t="inlineStr">
        <is>
          <t>VÄSTRA GÖTALANDS LÄN</t>
        </is>
      </c>
      <c r="G76" t="inlineStr">
        <is>
          <t>UDDEVALLA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46258</v>
      </c>
      <c r="F77" t="inlineStr">
        <is>
          <t>VÄSTRA GÖTALANDS LÄN</t>
        </is>
      </c>
      <c r="G77" t="inlineStr">
        <is>
          <t>UDDEVALLA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46258</v>
      </c>
      <c r="F78" t="inlineStr">
        <is>
          <t>VÄSTRA GÖTALANDS LÄN</t>
        </is>
      </c>
      <c r="G78" t="inlineStr">
        <is>
          <t>UDDEVALLA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46258</v>
      </c>
      <c r="F79" t="inlineStr">
        <is>
          <t>VÄSTRA GÖTALANDS LÄN</t>
        </is>
      </c>
      <c r="G79" t="inlineStr">
        <is>
          <t>UDDEVALLA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44551</v>
      </c>
      <c r="E80" s="1" t="n">
        <v>46258</v>
      </c>
      <c r="F80" t="inlineStr">
        <is>
          <t>VÄSTRA GÖTALANDS LÄN</t>
        </is>
      </c>
      <c r="G80" t="inlineStr">
        <is>
          <t>UDDEVALLA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46258</v>
      </c>
      <c r="F81" t="inlineStr">
        <is>
          <t>VÄSTRA GÖTALANDS LÄN</t>
        </is>
      </c>
      <c r="G81" t="inlineStr">
        <is>
          <t>UDDEVALLA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46258</v>
      </c>
      <c r="F82" t="inlineStr">
        <is>
          <t>VÄSTRA GÖTALANDS LÄN</t>
        </is>
      </c>
      <c r="G82" t="inlineStr">
        <is>
          <t>UDDEVALLA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44715</v>
      </c>
      <c r="E83" s="1" t="n">
        <v>46258</v>
      </c>
      <c r="F83" t="inlineStr">
        <is>
          <t>VÄSTRA GÖTALANDS LÄN</t>
        </is>
      </c>
      <c r="G83" t="inlineStr">
        <is>
          <t>UDDEVALLA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45633</v>
      </c>
      <c r="E84" s="1" t="n">
        <v>46258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46258</v>
      </c>
      <c r="F85" t="inlineStr">
        <is>
          <t>VÄSTRA GÖTALANDS LÄN</t>
        </is>
      </c>
      <c r="G85" t="inlineStr">
        <is>
          <t>UDDEVALLA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46258</v>
      </c>
      <c r="F86" t="inlineStr">
        <is>
          <t>VÄSTRA GÖTALANDS LÄN</t>
        </is>
      </c>
      <c r="G86" t="inlineStr">
        <is>
          <t>UDDEVALLA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46258</v>
      </c>
      <c r="F87" t="inlineStr">
        <is>
          <t>VÄSTRA GÖTALANDS LÄN</t>
        </is>
      </c>
      <c r="G87" t="inlineStr">
        <is>
          <t>UDDEVALLA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46258</v>
      </c>
      <c r="F88" t="inlineStr">
        <is>
          <t>VÄSTRA GÖTALANDS LÄN</t>
        </is>
      </c>
      <c r="G88" t="inlineStr">
        <is>
          <t>UDDEVALLA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46258</v>
      </c>
      <c r="F89" t="inlineStr">
        <is>
          <t>VÄSTRA GÖTALANDS LÄN</t>
        </is>
      </c>
      <c r="G89" t="inlineStr">
        <is>
          <t>UDDEVALLA</t>
        </is>
      </c>
      <c r="H89" t="inlineStr">
        <is>
          <t>Kyrkan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46258</v>
      </c>
      <c r="F90" t="inlineStr">
        <is>
          <t>VÄSTRA GÖTALANDS LÄN</t>
        </is>
      </c>
      <c r="G90" t="inlineStr">
        <is>
          <t>UDDEVALLA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46258</v>
      </c>
      <c r="F91" t="inlineStr">
        <is>
          <t>VÄSTRA GÖTALANDS LÄN</t>
        </is>
      </c>
      <c r="G91" t="inlineStr">
        <is>
          <t>UDDEVALLA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46258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46258</v>
      </c>
      <c r="F93" t="inlineStr">
        <is>
          <t>VÄSTRA GÖTALANDS LÄN</t>
        </is>
      </c>
      <c r="G93" t="inlineStr">
        <is>
          <t>UDDEVALLA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46258</v>
      </c>
      <c r="F94" t="inlineStr">
        <is>
          <t>VÄSTRA GÖTALANDS LÄN</t>
        </is>
      </c>
      <c r="G94" t="inlineStr">
        <is>
          <t>UDDEVALLA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46258</v>
      </c>
      <c r="F95" t="inlineStr">
        <is>
          <t>VÄSTRA GÖTALANDS LÄN</t>
        </is>
      </c>
      <c r="G95" t="inlineStr">
        <is>
          <t>UDDEVALLA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46258</v>
      </c>
      <c r="F96" t="inlineStr">
        <is>
          <t>VÄSTRA GÖTALANDS LÄN</t>
        </is>
      </c>
      <c r="G96" t="inlineStr">
        <is>
          <t>UDDEVALLA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46258</v>
      </c>
      <c r="F97" t="inlineStr">
        <is>
          <t>VÄSTRA GÖTALANDS LÄN</t>
        </is>
      </c>
      <c r="G97" t="inlineStr">
        <is>
          <t>UDDEVALLA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46258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46258</v>
      </c>
      <c r="F99" t="inlineStr">
        <is>
          <t>VÄSTRA GÖTALANDS LÄN</t>
        </is>
      </c>
      <c r="G99" t="inlineStr">
        <is>
          <t>UDDEVALLA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46258</v>
      </c>
      <c r="F100" t="inlineStr">
        <is>
          <t>VÄSTRA GÖTALANDS LÄN</t>
        </is>
      </c>
      <c r="G100" t="inlineStr">
        <is>
          <t>UDDEVALLA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46258</v>
      </c>
      <c r="F101" t="inlineStr">
        <is>
          <t>VÄSTRA GÖTALANDS LÄN</t>
        </is>
      </c>
      <c r="G101" t="inlineStr">
        <is>
          <t>UDDEVALLA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46258</v>
      </c>
      <c r="F102" t="inlineStr">
        <is>
          <t>VÄSTRA GÖTALANDS LÄN</t>
        </is>
      </c>
      <c r="G102" t="inlineStr">
        <is>
          <t>UDDEVALLA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45553</v>
      </c>
      <c r="E103" s="1" t="n">
        <v>46258</v>
      </c>
      <c r="F103" t="inlineStr">
        <is>
          <t>VÄSTRA GÖTALANDS LÄN</t>
        </is>
      </c>
      <c r="G103" t="inlineStr">
        <is>
          <t>UDDEVALLA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45914</v>
      </c>
      <c r="E104" s="1" t="n">
        <v>46258</v>
      </c>
      <c r="F104" t="inlineStr">
        <is>
          <t>VÄSTRA GÖTALANDS LÄN</t>
        </is>
      </c>
      <c r="G104" t="inlineStr">
        <is>
          <t>UDDEVALLA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46258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46258</v>
      </c>
      <c r="F106" t="inlineStr">
        <is>
          <t>VÄSTRA GÖTALANDS LÄN</t>
        </is>
      </c>
      <c r="G106" t="inlineStr">
        <is>
          <t>UDDEVALLA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46258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70491-2021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46258</v>
      </c>
      <c r="F108" t="inlineStr">
        <is>
          <t>VÄSTRA GÖTALANDS LÄN</t>
        </is>
      </c>
      <c r="G108" t="inlineStr">
        <is>
          <t>UDDEVALLA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46258</v>
      </c>
      <c r="F109" t="inlineStr">
        <is>
          <t>VÄSTRA GÖTALANDS LÄN</t>
        </is>
      </c>
      <c r="G109" t="inlineStr">
        <is>
          <t>UDDEVALLA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46258</v>
      </c>
      <c r="F110" t="inlineStr">
        <is>
          <t>VÄSTRA GÖTALANDS LÄN</t>
        </is>
      </c>
      <c r="G110" t="inlineStr">
        <is>
          <t>UDDEVALLA</t>
        </is>
      </c>
      <c r="I110" t="n">
        <v>19.4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44960</v>
      </c>
      <c r="E111" s="1" t="n">
        <v>46258</v>
      </c>
      <c r="F111" t="inlineStr">
        <is>
          <t>VÄSTRA GÖTALANDS LÄN</t>
        </is>
      </c>
      <c r="G111" t="inlineStr">
        <is>
          <t>UDDEVALLA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46258</v>
      </c>
      <c r="F112" t="inlineStr">
        <is>
          <t>VÄSTRA GÖTALANDS LÄN</t>
        </is>
      </c>
      <c r="G112" t="inlineStr">
        <is>
          <t>UDDEVALLA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46258</v>
      </c>
      <c r="F113" t="inlineStr">
        <is>
          <t>VÄSTRA GÖTALANDS LÄN</t>
        </is>
      </c>
      <c r="G113" t="inlineStr">
        <is>
          <t>UDDEVALLA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46258</v>
      </c>
      <c r="F114" t="inlineStr">
        <is>
          <t>VÄSTRA GÖTALANDS LÄN</t>
        </is>
      </c>
      <c r="G114" t="inlineStr">
        <is>
          <t>UDDEVALLA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46258</v>
      </c>
      <c r="F115" t="inlineStr">
        <is>
          <t>VÄSTRA GÖTALANDS LÄN</t>
        </is>
      </c>
      <c r="G115" t="inlineStr">
        <is>
          <t>UDDEVALLA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46258</v>
      </c>
      <c r="F116" t="inlineStr">
        <is>
          <t>VÄSTRA GÖTALANDS LÄN</t>
        </is>
      </c>
      <c r="G116" t="inlineStr">
        <is>
          <t>UDDEVALLA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46258</v>
      </c>
      <c r="F117" t="inlineStr">
        <is>
          <t>VÄSTRA GÖTALANDS LÄN</t>
        </is>
      </c>
      <c r="G117" t="inlineStr">
        <is>
          <t>UDDEVALLA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46258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46258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46258</v>
      </c>
      <c r="F120" t="inlineStr">
        <is>
          <t>VÄSTRA GÖTALANDS LÄN</t>
        </is>
      </c>
      <c r="G120" t="inlineStr">
        <is>
          <t>UDDEVALLA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46258</v>
      </c>
      <c r="F121" t="inlineStr">
        <is>
          <t>VÄSTRA GÖTALANDS LÄN</t>
        </is>
      </c>
      <c r="G121" t="inlineStr">
        <is>
          <t>UDDEVALLA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46258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46258</v>
      </c>
      <c r="F123" t="inlineStr">
        <is>
          <t>VÄSTRA GÖTALANDS LÄN</t>
        </is>
      </c>
      <c r="G123" t="inlineStr">
        <is>
          <t>UDDEVALLA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46258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45656</v>
      </c>
      <c r="E125" s="1" t="n">
        <v>46258</v>
      </c>
      <c r="F125" t="inlineStr">
        <is>
          <t>VÄSTRA GÖTALANDS LÄN</t>
        </is>
      </c>
      <c r="G125" t="inlineStr">
        <is>
          <t>UDDEVALLA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46258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46258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46258</v>
      </c>
      <c r="F128" t="inlineStr">
        <is>
          <t>VÄSTRA GÖTALANDS LÄN</t>
        </is>
      </c>
      <c r="G128" t="inlineStr">
        <is>
          <t>UDDEVALLA</t>
        </is>
      </c>
      <c r="I128" t="n">
        <v>12.2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45440</v>
      </c>
      <c r="E129" s="1" t="n">
        <v>46258</v>
      </c>
      <c r="F129" t="inlineStr">
        <is>
          <t>VÄSTRA GÖTALANDS LÄN</t>
        </is>
      </c>
      <c r="G129" t="inlineStr">
        <is>
          <t>UDDEVALLA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46258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46258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46258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46258</v>
      </c>
      <c r="F133" t="inlineStr">
        <is>
          <t>VÄSTRA GÖTALANDS LÄN</t>
        </is>
      </c>
      <c r="G133" t="inlineStr">
        <is>
          <t>UDDEVALLA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46258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46258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46258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46258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46258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45596</v>
      </c>
      <c r="E139" s="1" t="n">
        <v>46258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46258</v>
      </c>
      <c r="F140" t="inlineStr">
        <is>
          <t>VÄSTRA GÖTALANDS LÄN</t>
        </is>
      </c>
      <c r="G140" t="inlineStr">
        <is>
          <t>UDDEVALLA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46258</v>
      </c>
      <c r="F141" t="inlineStr">
        <is>
          <t>VÄSTRA GÖTALANDS LÄN</t>
        </is>
      </c>
      <c r="G141" t="inlineStr">
        <is>
          <t>UDDEVALLA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46258</v>
      </c>
      <c r="F142" t="inlineStr">
        <is>
          <t>VÄSTRA GÖTALANDS LÄN</t>
        </is>
      </c>
      <c r="G142" t="inlineStr">
        <is>
          <t>UDDEVALLA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46258</v>
      </c>
      <c r="F143" t="inlineStr">
        <is>
          <t>VÄSTRA GÖTALANDS LÄN</t>
        </is>
      </c>
      <c r="G143" t="inlineStr">
        <is>
          <t>UDDEVALLA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46258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46258</v>
      </c>
      <c r="F145" t="inlineStr">
        <is>
          <t>VÄSTRA GÖTALANDS LÄN</t>
        </is>
      </c>
      <c r="G145" t="inlineStr">
        <is>
          <t>UDDEVALLA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46258</v>
      </c>
      <c r="F146" t="inlineStr">
        <is>
          <t>VÄSTRA GÖTALANDS LÄN</t>
        </is>
      </c>
      <c r="G146" t="inlineStr">
        <is>
          <t>UDDEVALLA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46258</v>
      </c>
      <c r="F147" t="inlineStr">
        <is>
          <t>VÄSTRA GÖTALANDS LÄN</t>
        </is>
      </c>
      <c r="G147" t="inlineStr">
        <is>
          <t>UDDEVALLA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46258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45672</v>
      </c>
      <c r="E149" s="1" t="n">
        <v>46258</v>
      </c>
      <c r="F149" t="inlineStr">
        <is>
          <t>VÄSTRA GÖTALANDS LÄN</t>
        </is>
      </c>
      <c r="G149" t="inlineStr">
        <is>
          <t>UDDEVALLA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46258</v>
      </c>
      <c r="F150" t="inlineStr">
        <is>
          <t>VÄSTRA GÖTALANDS LÄN</t>
        </is>
      </c>
      <c r="G150" t="inlineStr">
        <is>
          <t>UDDEVALLA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45950</v>
      </c>
      <c r="E151" s="1" t="n">
        <v>46258</v>
      </c>
      <c r="F151" t="inlineStr">
        <is>
          <t>VÄSTRA GÖTALANDS LÄN</t>
        </is>
      </c>
      <c r="G151" t="inlineStr">
        <is>
          <t>UDDEVALLA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46258</v>
      </c>
      <c r="F152" t="inlineStr">
        <is>
          <t>VÄSTRA GÖTALANDS LÄN</t>
        </is>
      </c>
      <c r="G152" t="inlineStr">
        <is>
          <t>UDDEVALLA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46258</v>
      </c>
      <c r="F153" t="inlineStr">
        <is>
          <t>VÄSTRA GÖTALANDS LÄN</t>
        </is>
      </c>
      <c r="G153" t="inlineStr">
        <is>
          <t>UDDEVALLA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44592</v>
      </c>
      <c r="E154" s="1" t="n">
        <v>46258</v>
      </c>
      <c r="F154" t="inlineStr">
        <is>
          <t>VÄSTRA GÖTALANDS LÄN</t>
        </is>
      </c>
      <c r="G154" t="inlineStr">
        <is>
          <t>UDDEVALLA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46258</v>
      </c>
      <c r="F155" t="inlineStr">
        <is>
          <t>VÄSTRA GÖTALANDS LÄN</t>
        </is>
      </c>
      <c r="G155" t="inlineStr">
        <is>
          <t>UDDEVALLA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46258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45843</v>
      </c>
      <c r="E157" s="1" t="n">
        <v>46258</v>
      </c>
      <c r="F157" t="inlineStr">
        <is>
          <t>VÄSTRA GÖTALANDS LÄN</t>
        </is>
      </c>
      <c r="G157" t="inlineStr">
        <is>
          <t>UDDEVALLA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46258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46258</v>
      </c>
      <c r="F159" t="inlineStr">
        <is>
          <t>VÄSTRA GÖTALANDS LÄN</t>
        </is>
      </c>
      <c r="G159" t="inlineStr">
        <is>
          <t>UDDEVALLA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46258</v>
      </c>
      <c r="F160" t="inlineStr">
        <is>
          <t>VÄSTRA GÖTALANDS LÄN</t>
        </is>
      </c>
      <c r="G160" t="inlineStr">
        <is>
          <t>UDDEVALLA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46258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46258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45314</v>
      </c>
      <c r="E163" s="1" t="n">
        <v>46258</v>
      </c>
      <c r="F163" t="inlineStr">
        <is>
          <t>VÄSTRA GÖTALANDS LÄN</t>
        </is>
      </c>
      <c r="G163" t="inlineStr">
        <is>
          <t>UDDEVALLA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46258</v>
      </c>
      <c r="F164" t="inlineStr">
        <is>
          <t>VÄSTRA GÖTALANDS LÄN</t>
        </is>
      </c>
      <c r="G164" t="inlineStr">
        <is>
          <t>UDDEVALLA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45847</v>
      </c>
      <c r="E165" s="1" t="n">
        <v>46258</v>
      </c>
      <c r="F165" t="inlineStr">
        <is>
          <t>VÄSTRA GÖTALANDS LÄN</t>
        </is>
      </c>
      <c r="G165" t="inlineStr">
        <is>
          <t>UDDEVALLA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46258</v>
      </c>
      <c r="F166" t="inlineStr">
        <is>
          <t>VÄSTRA GÖTALANDS LÄN</t>
        </is>
      </c>
      <c r="G166" t="inlineStr">
        <is>
          <t>UDDEVALLA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46258</v>
      </c>
      <c r="F167" t="inlineStr">
        <is>
          <t>VÄSTRA GÖTALANDS LÄN</t>
        </is>
      </c>
      <c r="G167" t="inlineStr">
        <is>
          <t>UDDEVALLA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44928</v>
      </c>
      <c r="E168" s="1" t="n">
        <v>46258</v>
      </c>
      <c r="F168" t="inlineStr">
        <is>
          <t>VÄSTRA GÖTALANDS LÄN</t>
        </is>
      </c>
      <c r="G168" t="inlineStr">
        <is>
          <t>UDDEVALLA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46258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46258</v>
      </c>
      <c r="F170" t="inlineStr">
        <is>
          <t>VÄSTRA GÖTALANDS LÄN</t>
        </is>
      </c>
      <c r="G170" t="inlineStr">
        <is>
          <t>UDDEVALLA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46258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46258</v>
      </c>
      <c r="F172" t="inlineStr">
        <is>
          <t>VÄSTRA GÖTALANDS LÄN</t>
        </is>
      </c>
      <c r="G172" t="inlineStr">
        <is>
          <t>UDDEVALLA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46258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46258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46258</v>
      </c>
      <c r="F175" t="inlineStr">
        <is>
          <t>VÄSTRA GÖTALANDS LÄN</t>
        </is>
      </c>
      <c r="G175" t="inlineStr">
        <is>
          <t>UDDEVALLA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45239</v>
      </c>
      <c r="E176" s="1" t="n">
        <v>46258</v>
      </c>
      <c r="F176" t="inlineStr">
        <is>
          <t>VÄSTRA GÖTALANDS LÄN</t>
        </is>
      </c>
      <c r="G176" t="inlineStr">
        <is>
          <t>UDDEVALLA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46258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73437-2021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46258</v>
      </c>
      <c r="F178" t="inlineStr">
        <is>
          <t>VÄSTRA GÖTALANDS LÄN</t>
        </is>
      </c>
      <c r="G178" t="inlineStr">
        <is>
          <t>UDDEVALLA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58958-2021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44489</v>
      </c>
      <c r="E179" s="1" t="n">
        <v>46258</v>
      </c>
      <c r="F179" t="inlineStr">
        <is>
          <t>VÄSTRA GÖTALANDS LÄN</t>
        </is>
      </c>
      <c r="G179" t="inlineStr">
        <is>
          <t>UDDEVALLA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46258</v>
      </c>
      <c r="F180" t="inlineStr">
        <is>
          <t>VÄSTRA GÖTALANDS LÄN</t>
        </is>
      </c>
      <c r="G180" t="inlineStr">
        <is>
          <t>UDDEVALLA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46258</v>
      </c>
      <c r="F181" t="inlineStr">
        <is>
          <t>VÄSTRA GÖTALANDS LÄN</t>
        </is>
      </c>
      <c r="G181" t="inlineStr">
        <is>
          <t>UDDEVALLA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46258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45141</v>
      </c>
      <c r="E183" s="1" t="n">
        <v>46258</v>
      </c>
      <c r="F183" t="inlineStr">
        <is>
          <t>VÄSTRA GÖTALANDS LÄN</t>
        </is>
      </c>
      <c r="G183" t="inlineStr">
        <is>
          <t>UDDEVALLA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46258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46258</v>
      </c>
      <c r="F185" t="inlineStr">
        <is>
          <t>VÄSTRA GÖTALANDS LÄN</t>
        </is>
      </c>
      <c r="G185" t="inlineStr">
        <is>
          <t>UDDEVALLA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45772</v>
      </c>
      <c r="E186" s="1" t="n">
        <v>46258</v>
      </c>
      <c r="F186" t="inlineStr">
        <is>
          <t>VÄSTRA GÖTALANDS LÄN</t>
        </is>
      </c>
      <c r="G186" t="inlineStr">
        <is>
          <t>UDDEVALLA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46258</v>
      </c>
      <c r="F187" t="inlineStr">
        <is>
          <t>VÄSTRA GÖTALANDS LÄN</t>
        </is>
      </c>
      <c r="G187" t="inlineStr">
        <is>
          <t>UDDEVALLA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63397-2021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44508</v>
      </c>
      <c r="E188" s="1" t="n">
        <v>46258</v>
      </c>
      <c r="F188" t="inlineStr">
        <is>
          <t>VÄSTRA GÖTALANDS LÄN</t>
        </is>
      </c>
      <c r="G188" t="inlineStr">
        <is>
          <t>UDDEVALLA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8893-2024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45355</v>
      </c>
      <c r="E189" s="1" t="n">
        <v>46258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46258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46258</v>
      </c>
      <c r="F191" t="inlineStr">
        <is>
          <t>VÄSTRA GÖTALANDS LÄN</t>
        </is>
      </c>
      <c r="G191" t="inlineStr">
        <is>
          <t>UDDEVALLA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46258</v>
      </c>
      <c r="F192" t="inlineStr">
        <is>
          <t>VÄSTRA GÖTALANDS LÄN</t>
        </is>
      </c>
      <c r="G192" t="inlineStr">
        <is>
          <t>UDDEVALLA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2306-2022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44578</v>
      </c>
      <c r="E193" s="1" t="n">
        <v>46258</v>
      </c>
      <c r="F193" t="inlineStr">
        <is>
          <t>VÄSTRA GÖTALANDS LÄN</t>
        </is>
      </c>
      <c r="G193" t="inlineStr">
        <is>
          <t>UDDEVALLA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45150</v>
      </c>
      <c r="E194" s="1" t="n">
        <v>46258</v>
      </c>
      <c r="F194" t="inlineStr">
        <is>
          <t>VÄSTRA GÖTALANDS LÄN</t>
        </is>
      </c>
      <c r="G194" t="inlineStr">
        <is>
          <t>UDDEVALLA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46258</v>
      </c>
      <c r="F195" t="inlineStr">
        <is>
          <t>VÄSTRA GÖTALANDS LÄN</t>
        </is>
      </c>
      <c r="G195" t="inlineStr">
        <is>
          <t>UDDEVALLA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46258</v>
      </c>
      <c r="F196" t="inlineStr">
        <is>
          <t>VÄSTRA GÖTALANDS LÄN</t>
        </is>
      </c>
      <c r="G196" t="inlineStr">
        <is>
          <t>UDDEVALLA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46258</v>
      </c>
      <c r="F197" t="inlineStr">
        <is>
          <t>VÄSTRA GÖTALANDS LÄN</t>
        </is>
      </c>
      <c r="G197" t="inlineStr">
        <is>
          <t>UDDEVALLA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46258</v>
      </c>
      <c r="F198" t="inlineStr">
        <is>
          <t>VÄSTRA GÖTALANDS LÄN</t>
        </is>
      </c>
      <c r="G198" t="inlineStr">
        <is>
          <t>UDDEVALLA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46258</v>
      </c>
      <c r="F199" t="inlineStr">
        <is>
          <t>VÄSTRA GÖTALANDS LÄN</t>
        </is>
      </c>
      <c r="G199" t="inlineStr">
        <is>
          <t>UDDEVALLA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46258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46258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46258</v>
      </c>
      <c r="F202" t="inlineStr">
        <is>
          <t>VÄSTRA GÖTALANDS LÄN</t>
        </is>
      </c>
      <c r="G202" t="inlineStr">
        <is>
          <t>UDDEVALLA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46258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46258</v>
      </c>
      <c r="F204" t="inlineStr">
        <is>
          <t>VÄSTRA GÖTALANDS LÄN</t>
        </is>
      </c>
      <c r="G204" t="inlineStr">
        <is>
          <t>UDDEVALLA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46258</v>
      </c>
      <c r="F205" t="inlineStr">
        <is>
          <t>VÄSTRA GÖTALANDS LÄN</t>
        </is>
      </c>
      <c r="G205" t="inlineStr">
        <is>
          <t>UDDEVALLA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46258</v>
      </c>
      <c r="F206" t="inlineStr">
        <is>
          <t>VÄSTRA GÖTALANDS LÄN</t>
        </is>
      </c>
      <c r="G206" t="inlineStr">
        <is>
          <t>UDDEVALLA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46258</v>
      </c>
      <c r="F207" t="inlineStr">
        <is>
          <t>VÄSTRA GÖTALANDS LÄN</t>
        </is>
      </c>
      <c r="G207" t="inlineStr">
        <is>
          <t>UDDEVALLA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46258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46258</v>
      </c>
      <c r="F209" t="inlineStr">
        <is>
          <t>VÄSTRA GÖTALANDS LÄN</t>
        </is>
      </c>
      <c r="G209" t="inlineStr">
        <is>
          <t>UDDEVALLA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46258</v>
      </c>
      <c r="F210" t="inlineStr">
        <is>
          <t>VÄSTRA GÖTALANDS LÄN</t>
        </is>
      </c>
      <c r="G210" t="inlineStr">
        <is>
          <t>UDDEVALLA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46258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46258</v>
      </c>
      <c r="F212" t="inlineStr">
        <is>
          <t>VÄSTRA GÖTALANDS LÄN</t>
        </is>
      </c>
      <c r="G212" t="inlineStr">
        <is>
          <t>UDDEVALLA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30639-2024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45495</v>
      </c>
      <c r="E213" s="1" t="n">
        <v>46258</v>
      </c>
      <c r="F213" t="inlineStr">
        <is>
          <t>VÄSTRA GÖTALANDS LÄN</t>
        </is>
      </c>
      <c r="G213" t="inlineStr">
        <is>
          <t>UDDEVALLA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46258</v>
      </c>
      <c r="F214" t="inlineStr">
        <is>
          <t>VÄSTRA GÖTALANDS LÄN</t>
        </is>
      </c>
      <c r="G214" t="inlineStr">
        <is>
          <t>UDDEVALLA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46258</v>
      </c>
      <c r="F215" t="inlineStr">
        <is>
          <t>VÄSTRA GÖTALANDS LÄN</t>
        </is>
      </c>
      <c r="G215" t="inlineStr">
        <is>
          <t>UDDEVALLA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46258</v>
      </c>
      <c r="F216" t="inlineStr">
        <is>
          <t>VÄSTRA GÖTALANDS LÄN</t>
        </is>
      </c>
      <c r="G216" t="inlineStr">
        <is>
          <t>UDDEVALLA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45672</v>
      </c>
      <c r="E217" s="1" t="n">
        <v>46258</v>
      </c>
      <c r="F217" t="inlineStr">
        <is>
          <t>VÄSTRA GÖTALANDS LÄN</t>
        </is>
      </c>
      <c r="G217" t="inlineStr">
        <is>
          <t>UDDEVALLA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46258</v>
      </c>
      <c r="F218" t="inlineStr">
        <is>
          <t>VÄSTRA GÖTALANDS LÄN</t>
        </is>
      </c>
      <c r="G218" t="inlineStr">
        <is>
          <t>UDDEVALLA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46258</v>
      </c>
      <c r="F219" t="inlineStr">
        <is>
          <t>VÄSTRA GÖTALANDS LÄN</t>
        </is>
      </c>
      <c r="G219" t="inlineStr">
        <is>
          <t>UDDEVALLA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46258</v>
      </c>
      <c r="F220" t="inlineStr">
        <is>
          <t>VÄSTRA GÖTALANDS LÄN</t>
        </is>
      </c>
      <c r="G220" t="inlineStr">
        <is>
          <t>UDDEVALLA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45071</v>
      </c>
      <c r="E221" s="1" t="n">
        <v>46258</v>
      </c>
      <c r="F221" t="inlineStr">
        <is>
          <t>VÄSTRA GÖTALANDS LÄN</t>
        </is>
      </c>
      <c r="G221" t="inlineStr">
        <is>
          <t>UDDEVALLA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46258</v>
      </c>
      <c r="F222" t="inlineStr">
        <is>
          <t>VÄSTRA GÖTALANDS LÄN</t>
        </is>
      </c>
      <c r="G222" t="inlineStr">
        <is>
          <t>UDDEVALLA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46258</v>
      </c>
      <c r="F223" t="inlineStr">
        <is>
          <t>VÄSTRA GÖTALANDS LÄN</t>
        </is>
      </c>
      <c r="G223" t="inlineStr">
        <is>
          <t>UDDEVALLA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46258</v>
      </c>
      <c r="F224" t="inlineStr">
        <is>
          <t>VÄSTRA GÖTALANDS LÄN</t>
        </is>
      </c>
      <c r="G224" t="inlineStr">
        <is>
          <t>UDDEVALLA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46258</v>
      </c>
      <c r="F225" t="inlineStr">
        <is>
          <t>VÄSTRA GÖTALANDS LÄN</t>
        </is>
      </c>
      <c r="G225" t="inlineStr">
        <is>
          <t>UDDEVALLA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45517</v>
      </c>
      <c r="E226" s="1" t="n">
        <v>46258</v>
      </c>
      <c r="F226" t="inlineStr">
        <is>
          <t>VÄSTRA GÖTALANDS LÄN</t>
        </is>
      </c>
      <c r="G226" t="inlineStr">
        <is>
          <t>UDDEVALLA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44733</v>
      </c>
      <c r="E227" s="1" t="n">
        <v>46258</v>
      </c>
      <c r="F227" t="inlineStr">
        <is>
          <t>VÄSTRA GÖTALANDS LÄN</t>
        </is>
      </c>
      <c r="G227" t="inlineStr">
        <is>
          <t>UDDEVALLA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46258</v>
      </c>
      <c r="F228" t="inlineStr">
        <is>
          <t>VÄSTRA GÖTALANDS LÄN</t>
        </is>
      </c>
      <c r="G228" t="inlineStr">
        <is>
          <t>UDDEVALLA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46258</v>
      </c>
      <c r="F229" t="inlineStr">
        <is>
          <t>VÄSTRA GÖTALANDS LÄN</t>
        </is>
      </c>
      <c r="G229" t="inlineStr">
        <is>
          <t>UDDEVALLA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46258</v>
      </c>
      <c r="F230" t="inlineStr">
        <is>
          <t>VÄSTRA GÖTALANDS LÄN</t>
        </is>
      </c>
      <c r="G230" t="inlineStr">
        <is>
          <t>UDDEVALLA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46222</v>
      </c>
      <c r="E231" s="1" t="n">
        <v>46258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46258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46258</v>
      </c>
      <c r="F233" t="inlineStr">
        <is>
          <t>VÄSTRA GÖTALANDS LÄN</t>
        </is>
      </c>
      <c r="G233" t="inlineStr">
        <is>
          <t>UDDEVALLA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46258</v>
      </c>
      <c r="F234" t="inlineStr">
        <is>
          <t>VÄSTRA GÖTALANDS LÄN</t>
        </is>
      </c>
      <c r="G234" t="inlineStr">
        <is>
          <t>UDDEVALLA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10436-2026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46076</v>
      </c>
      <c r="E235" s="1" t="n">
        <v>46258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46258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46258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63878-2021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44509</v>
      </c>
      <c r="E238" s="1" t="n">
        <v>46258</v>
      </c>
      <c r="F238" t="inlineStr">
        <is>
          <t>VÄSTRA GÖTALANDS LÄN</t>
        </is>
      </c>
      <c r="G238" t="inlineStr">
        <is>
          <t>UDDEVALLA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46258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46258</v>
      </c>
      <c r="F240" t="inlineStr">
        <is>
          <t>VÄSTRA GÖTALANDS LÄN</t>
        </is>
      </c>
      <c r="G240" t="inlineStr">
        <is>
          <t>UDDEVALLA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46258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46258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45400</v>
      </c>
      <c r="E243" s="1" t="n">
        <v>46258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46258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45981</v>
      </c>
      <c r="E245" s="1" t="n">
        <v>46258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46258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46258</v>
      </c>
      <c r="F247" t="inlineStr">
        <is>
          <t>VÄSTRA GÖTALANDS LÄN</t>
        </is>
      </c>
      <c r="G247" t="inlineStr">
        <is>
          <t>UDDEVALLA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44602</v>
      </c>
      <c r="E248" s="1" t="n">
        <v>46258</v>
      </c>
      <c r="F248" t="inlineStr">
        <is>
          <t>VÄSTRA GÖTALANDS LÄN</t>
        </is>
      </c>
      <c r="G248" t="inlineStr">
        <is>
          <t>UDDEVALLA</t>
        </is>
      </c>
      <c r="I248" t="n">
        <v>9.6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46258</v>
      </c>
      <c r="F249" t="inlineStr">
        <is>
          <t>VÄSTRA GÖTALANDS LÄN</t>
        </is>
      </c>
      <c r="G249" t="inlineStr">
        <is>
          <t>UDDEVALLA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46258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46258</v>
      </c>
      <c r="F251" t="inlineStr">
        <is>
          <t>VÄSTRA GÖTALANDS LÄN</t>
        </is>
      </c>
      <c r="G251" t="inlineStr">
        <is>
          <t>UDDEVALLA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46258</v>
      </c>
      <c r="F252" t="inlineStr">
        <is>
          <t>VÄSTRA GÖTALANDS LÄN</t>
        </is>
      </c>
      <c r="G252" t="inlineStr">
        <is>
          <t>UDDEVALLA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46258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16819-2026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46113</v>
      </c>
      <c r="E254" s="1" t="n">
        <v>46258</v>
      </c>
      <c r="F254" t="inlineStr">
        <is>
          <t>VÄSTRA GÖTALANDS LÄN</t>
        </is>
      </c>
      <c r="G254" t="inlineStr">
        <is>
          <t>UDDEVALLA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46258</v>
      </c>
      <c r="F255" t="inlineStr">
        <is>
          <t>VÄSTRA GÖTALANDS LÄN</t>
        </is>
      </c>
      <c r="G255" t="inlineStr">
        <is>
          <t>UDDEVALLA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46258</v>
      </c>
      <c r="F256" t="inlineStr">
        <is>
          <t>VÄSTRA GÖTALANDS LÄN</t>
        </is>
      </c>
      <c r="G256" t="inlineStr">
        <is>
          <t>UDDEVALLA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46119</v>
      </c>
      <c r="E257" s="1" t="n">
        <v>46258</v>
      </c>
      <c r="F257" t="inlineStr">
        <is>
          <t>VÄSTRA GÖTALANDS LÄN</t>
        </is>
      </c>
      <c r="G257" t="inlineStr">
        <is>
          <t>UDDEVALLA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46120</v>
      </c>
      <c r="E258" s="1" t="n">
        <v>46258</v>
      </c>
      <c r="F258" t="inlineStr">
        <is>
          <t>VÄSTRA GÖTALANDS LÄN</t>
        </is>
      </c>
      <c r="G258" t="inlineStr">
        <is>
          <t>UDDEVALLA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46258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17058-2025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45754</v>
      </c>
      <c r="E260" s="1" t="n">
        <v>46258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46258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Kommuner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46258</v>
      </c>
      <c r="F262" t="inlineStr">
        <is>
          <t>VÄSTRA GÖTALANDS LÄN</t>
        </is>
      </c>
      <c r="G262" t="inlineStr">
        <is>
          <t>UDDEVALLA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46258</v>
      </c>
      <c r="F263" t="inlineStr">
        <is>
          <t>VÄSTRA GÖTALANDS LÄN</t>
        </is>
      </c>
      <c r="G263" t="inlineStr">
        <is>
          <t>UDDEVALLA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46258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46258</v>
      </c>
      <c r="F265" t="inlineStr">
        <is>
          <t>VÄSTRA GÖTALANDS LÄN</t>
        </is>
      </c>
      <c r="G265" t="inlineStr">
        <is>
          <t>UDDEVALLA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46258</v>
      </c>
      <c r="F266" t="inlineStr">
        <is>
          <t>VÄSTRA GÖTALANDS LÄN</t>
        </is>
      </c>
      <c r="G266" t="inlineStr">
        <is>
          <t>UDDEVALLA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46258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46258</v>
      </c>
      <c r="F268" t="inlineStr">
        <is>
          <t>VÄSTRA GÖTALANDS LÄN</t>
        </is>
      </c>
      <c r="G268" t="inlineStr">
        <is>
          <t>UDDEVALLA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46258</v>
      </c>
      <c r="F269" t="inlineStr">
        <is>
          <t>VÄSTRA GÖTALANDS LÄN</t>
        </is>
      </c>
      <c r="G269" t="inlineStr">
        <is>
          <t>UDDEVALLA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46258</v>
      </c>
      <c r="F270" t="inlineStr">
        <is>
          <t>VÄSTRA GÖTALANDS LÄN</t>
        </is>
      </c>
      <c r="G270" t="inlineStr">
        <is>
          <t>UDDEVALLA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46258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44655</v>
      </c>
      <c r="E272" s="1" t="n">
        <v>46258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46258</v>
      </c>
      <c r="F273" t="inlineStr">
        <is>
          <t>VÄSTRA GÖTALANDS LÄN</t>
        </is>
      </c>
      <c r="G273" t="inlineStr">
        <is>
          <t>UDDEVALLA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45771</v>
      </c>
      <c r="E274" s="1" t="n">
        <v>46258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45907</v>
      </c>
      <c r="E275" s="1" t="n">
        <v>46258</v>
      </c>
      <c r="F275" t="inlineStr">
        <is>
          <t>VÄSTRA GÖTALANDS LÄN</t>
        </is>
      </c>
      <c r="G275" t="inlineStr">
        <is>
          <t>UDDEVALLA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45076</v>
      </c>
      <c r="E276" s="1" t="n">
        <v>46258</v>
      </c>
      <c r="F276" t="inlineStr">
        <is>
          <t>VÄSTRA GÖTALANDS LÄN</t>
        </is>
      </c>
      <c r="G276" t="inlineStr">
        <is>
          <t>UDDEVALLA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44984</v>
      </c>
      <c r="E277" s="1" t="n">
        <v>46258</v>
      </c>
      <c r="F277" t="inlineStr">
        <is>
          <t>VÄSTRA GÖTALANDS LÄN</t>
        </is>
      </c>
      <c r="G277" t="inlineStr">
        <is>
          <t>UDDEVALLA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46258</v>
      </c>
      <c r="F278" t="inlineStr">
        <is>
          <t>VÄSTRA GÖTALANDS LÄN</t>
        </is>
      </c>
      <c r="G278" t="inlineStr">
        <is>
          <t>UDDEVALLA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45279</v>
      </c>
      <c r="E279" s="1" t="n">
        <v>46258</v>
      </c>
      <c r="F279" t="inlineStr">
        <is>
          <t>VÄSTRA GÖTALANDS LÄN</t>
        </is>
      </c>
      <c r="G279" t="inlineStr">
        <is>
          <t>UDDEVALLA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46258</v>
      </c>
      <c r="F280" t="inlineStr">
        <is>
          <t>VÄSTRA GÖTALANDS LÄN</t>
        </is>
      </c>
      <c r="G280" t="inlineStr">
        <is>
          <t>UDDEVALLA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46258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46258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46258</v>
      </c>
      <c r="F283" t="inlineStr">
        <is>
          <t>VÄSTRA GÖTALANDS LÄN</t>
        </is>
      </c>
      <c r="G283" t="inlineStr">
        <is>
          <t>UDDEVALLA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46258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46258</v>
      </c>
      <c r="F285" t="inlineStr">
        <is>
          <t>VÄSTRA GÖTALANDS LÄN</t>
        </is>
      </c>
      <c r="G285" t="inlineStr">
        <is>
          <t>UDDEVALLA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46258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69198-2021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44531</v>
      </c>
      <c r="E287" s="1" t="n">
        <v>46258</v>
      </c>
      <c r="F287" t="inlineStr">
        <is>
          <t>VÄSTRA GÖTALANDS LÄN</t>
        </is>
      </c>
      <c r="G287" t="inlineStr">
        <is>
          <t>UDDEVALLA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46258</v>
      </c>
      <c r="F288" t="inlineStr">
        <is>
          <t>VÄSTRA GÖTALANDS LÄN</t>
        </is>
      </c>
      <c r="G288" t="inlineStr">
        <is>
          <t>UDDEVALLA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46258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59674-2023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45255</v>
      </c>
      <c r="E290" s="1" t="n">
        <v>46258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46258</v>
      </c>
      <c r="F291" t="inlineStr">
        <is>
          <t>VÄSTRA GÖTALANDS LÄN</t>
        </is>
      </c>
      <c r="G291" t="inlineStr">
        <is>
          <t>UDDEVALLA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45121</v>
      </c>
      <c r="E292" s="1" t="n">
        <v>46258</v>
      </c>
      <c r="F292" t="inlineStr">
        <is>
          <t>VÄSTRA GÖTALANDS LÄN</t>
        </is>
      </c>
      <c r="G292" t="inlineStr">
        <is>
          <t>UDDEVALLA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46258</v>
      </c>
      <c r="F293" t="inlineStr">
        <is>
          <t>VÄSTRA GÖTALANDS LÄN</t>
        </is>
      </c>
      <c r="G293" t="inlineStr">
        <is>
          <t>UDDEVALLA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46258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46258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45302</v>
      </c>
      <c r="E296" s="1" t="n">
        <v>46258</v>
      </c>
      <c r="F296" t="inlineStr">
        <is>
          <t>VÄSTRA GÖTALANDS LÄN</t>
        </is>
      </c>
      <c r="G296" t="inlineStr">
        <is>
          <t>UDDEVALLA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46258</v>
      </c>
      <c r="F297" t="inlineStr">
        <is>
          <t>VÄSTRA GÖTALANDS LÄN</t>
        </is>
      </c>
      <c r="G297" t="inlineStr">
        <is>
          <t>UDDEVALLA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45205</v>
      </c>
      <c r="E298" s="1" t="n">
        <v>46258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45426</v>
      </c>
      <c r="E299" s="1" t="n">
        <v>46258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46211</v>
      </c>
      <c r="E300" s="1" t="n">
        <v>46258</v>
      </c>
      <c r="F300" t="inlineStr">
        <is>
          <t>VÄSTRA GÖTALANDS LÄN</t>
        </is>
      </c>
      <c r="G300" t="inlineStr">
        <is>
          <t>UDDEVALLA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46212</v>
      </c>
      <c r="E301" s="1" t="n">
        <v>46258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46258</v>
      </c>
      <c r="F302" t="inlineStr">
        <is>
          <t>VÄSTRA GÖTALANDS LÄN</t>
        </is>
      </c>
      <c r="G302" t="inlineStr">
        <is>
          <t>UDDEVALLA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46258</v>
      </c>
      <c r="F303" t="inlineStr">
        <is>
          <t>VÄSTRA GÖTALANDS LÄN</t>
        </is>
      </c>
      <c r="G303" t="inlineStr">
        <is>
          <t>UDDEVALLA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20401-2026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46139</v>
      </c>
      <c r="E304" s="1" t="n">
        <v>46258</v>
      </c>
      <c r="F304" t="inlineStr">
        <is>
          <t>VÄSTRA GÖTALANDS LÄN</t>
        </is>
      </c>
      <c r="G304" t="inlineStr">
        <is>
          <t>UDDEVALLA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46258</v>
      </c>
      <c r="F305" t="inlineStr">
        <is>
          <t>VÄSTRA GÖTALANDS LÄN</t>
        </is>
      </c>
      <c r="G305" t="inlineStr">
        <is>
          <t>UDDEVALLA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46258</v>
      </c>
      <c r="F306" t="inlineStr">
        <is>
          <t>VÄSTRA GÖTALANDS LÄN</t>
        </is>
      </c>
      <c r="G306" t="inlineStr">
        <is>
          <t>UDDEVALLA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46258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44794</v>
      </c>
      <c r="E308" s="1" t="n">
        <v>46258</v>
      </c>
      <c r="F308" t="inlineStr">
        <is>
          <t>VÄSTRA GÖTALANDS LÄN</t>
        </is>
      </c>
      <c r="G308" t="inlineStr">
        <is>
          <t>UDDEVALLA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73007-2021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44550</v>
      </c>
      <c r="E309" s="1" t="n">
        <v>46258</v>
      </c>
      <c r="F309" t="inlineStr">
        <is>
          <t>VÄSTRA GÖTALANDS LÄN</t>
        </is>
      </c>
      <c r="G309" t="inlineStr">
        <is>
          <t>UDDEVALLA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46147</v>
      </c>
      <c r="E310" s="1" t="n">
        <v>46258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Kommuner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44325-2023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46258</v>
      </c>
      <c r="F311" t="inlineStr">
        <is>
          <t>VÄSTRA GÖTALANDS LÄN</t>
        </is>
      </c>
      <c r="G311" t="inlineStr">
        <is>
          <t>UDDEVALLA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46258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46258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Kyrkan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46258</v>
      </c>
      <c r="F314" t="inlineStr">
        <is>
          <t>VÄSTRA GÖTALANDS LÄN</t>
        </is>
      </c>
      <c r="G314" t="inlineStr">
        <is>
          <t>UDDEVALLA</t>
        </is>
      </c>
      <c r="I314" t="n">
        <v>13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46258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46258</v>
      </c>
      <c r="F316" t="inlineStr">
        <is>
          <t>VÄSTRA GÖTALANDS LÄN</t>
        </is>
      </c>
      <c r="G316" t="inlineStr">
        <is>
          <t>UDDEVALLA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45387</v>
      </c>
      <c r="E317" s="1" t="n">
        <v>46258</v>
      </c>
      <c r="F317" t="inlineStr">
        <is>
          <t>VÄSTRA GÖTALANDS LÄN</t>
        </is>
      </c>
      <c r="G317" t="inlineStr">
        <is>
          <t>UDDEVALLA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46258</v>
      </c>
      <c r="F318" t="inlineStr">
        <is>
          <t>VÄSTRA GÖTALANDS LÄN</t>
        </is>
      </c>
      <c r="G318" t="inlineStr">
        <is>
          <t>UDDEVALLA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46258</v>
      </c>
      <c r="F319" t="inlineStr">
        <is>
          <t>VÄSTRA GÖTALANDS LÄN</t>
        </is>
      </c>
      <c r="G319" t="inlineStr">
        <is>
          <t>UDDEVALLA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46258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46258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46258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44823</v>
      </c>
      <c r="E323" s="1" t="n">
        <v>46258</v>
      </c>
      <c r="F323" t="inlineStr">
        <is>
          <t>VÄSTRA GÖTALANDS LÄN</t>
        </is>
      </c>
      <c r="G323" t="inlineStr">
        <is>
          <t>UDDEVALLA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46258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46258</v>
      </c>
      <c r="F325" t="inlineStr">
        <is>
          <t>VÄSTRA GÖTALANDS LÄN</t>
        </is>
      </c>
      <c r="G325" t="inlineStr">
        <is>
          <t>UDDEVALLA</t>
        </is>
      </c>
      <c r="I325" t="n">
        <v>12.9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45309</v>
      </c>
      <c r="E326" s="1" t="n">
        <v>46258</v>
      </c>
      <c r="F326" t="inlineStr">
        <is>
          <t>VÄSTRA GÖTALANDS LÄN</t>
        </is>
      </c>
      <c r="G326" t="inlineStr">
        <is>
          <t>UDDEVALLA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46258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29516-2026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46258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Övriga statliga verk och myndigheter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46258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46258</v>
      </c>
      <c r="F330" t="inlineStr">
        <is>
          <t>VÄSTRA GÖTALANDS LÄN</t>
        </is>
      </c>
      <c r="G330" t="inlineStr">
        <is>
          <t>UDDEVALLA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46258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46258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46258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46258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46258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2026-08-24T01:51:32Z</dcterms:created>
  <dcterms:modified xmlns:dcterms="http://purl.org/dc/terms/" xmlns:xsi="http://www.w3.org/2001/XMLSchema-instance" xsi:type="dcterms:W3CDTF">2026-08-24T01:51:32Z</dcterms:modified>
</cp:coreProperties>
</file>