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45667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45667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45667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45667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45667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45667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45667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45667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45667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45667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45667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969-2024</t>
        </is>
      </c>
      <c r="B13" s="1" t="n">
        <v>45301</v>
      </c>
      <c r="C13" s="1" t="n">
        <v>45667</v>
      </c>
      <c r="D13" t="inlineStr">
        <is>
          <t>VÄSTRA GÖTALANDS LÄN</t>
        </is>
      </c>
      <c r="E13" t="inlineStr">
        <is>
          <t>UDDEVALLA</t>
        </is>
      </c>
      <c r="G13" t="n">
        <v>17.4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HYPERLINK("https://klasma.github.io/Logging_1485/artfynd/A 969-2024 artfynd.xlsx", "A 969-2024")</f>
        <v/>
      </c>
      <c r="T13">
        <f>HYPERLINK("https://klasma.github.io/Logging_1485/kartor/A 969-2024 karta.png", "A 969-2024")</f>
        <v/>
      </c>
      <c r="V13">
        <f>HYPERLINK("https://klasma.github.io/Logging_1485/klagomål/A 969-2024 FSC-klagomål.docx", "A 969-2024")</f>
        <v/>
      </c>
      <c r="W13">
        <f>HYPERLINK("https://klasma.github.io/Logging_1485/klagomålsmail/A 969-2024 FSC-klagomål mail.docx", "A 969-2024")</f>
        <v/>
      </c>
      <c r="X13">
        <f>HYPERLINK("https://klasma.github.io/Logging_1485/tillsyn/A 969-2024 tillsynsbegäran.docx", "A 969-2024")</f>
        <v/>
      </c>
      <c r="Y13">
        <f>HYPERLINK("https://klasma.github.io/Logging_1485/tillsynsmail/A 969-2024 tillsynsbegäran mail.docx", "A 969-2024")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45667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45667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45667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45667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45667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62048-2024</t>
        </is>
      </c>
      <c r="B19" s="1" t="n">
        <v>45656</v>
      </c>
      <c r="C19" s="1" t="n">
        <v>45667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3.8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HYPERLINK("https://klasma.github.io/Logging_1485/artfynd/A 62048-2024 artfynd.xlsx", "A 62048-2024")</f>
        <v/>
      </c>
      <c r="T19">
        <f>HYPERLINK("https://klasma.github.io/Logging_1485/kartor/A 62048-2024 karta.png", "A 62048-2024")</f>
        <v/>
      </c>
      <c r="V19">
        <f>HYPERLINK("https://klasma.github.io/Logging_1485/klagomål/A 62048-2024 FSC-klagomål.docx", "A 62048-2024")</f>
        <v/>
      </c>
      <c r="W19">
        <f>HYPERLINK("https://klasma.github.io/Logging_1485/klagomålsmail/A 62048-2024 FSC-klagomål mail.docx", "A 62048-2024")</f>
        <v/>
      </c>
      <c r="X19">
        <f>HYPERLINK("https://klasma.github.io/Logging_1485/tillsyn/A 62048-2024 tillsynsbegäran.docx", "A 62048-2024")</f>
        <v/>
      </c>
      <c r="Y19">
        <f>HYPERLINK("https://klasma.github.io/Logging_1485/tillsynsmail/A 62048-2024 tillsynsbegäran mail.docx", "A 62048-2024")</f>
        <v/>
      </c>
    </row>
    <row r="20" ht="15" customHeight="1">
      <c r="A20" t="inlineStr">
        <is>
          <t>A 39346-2019</t>
        </is>
      </c>
      <c r="B20" s="1" t="n">
        <v>43690</v>
      </c>
      <c r="C20" s="1" t="n">
        <v>45667</v>
      </c>
      <c r="D20" t="inlineStr">
        <is>
          <t>VÄSTRA GÖTALANDS LÄN</t>
        </is>
      </c>
      <c r="E20" t="inlineStr">
        <is>
          <t>UDDEVALLA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39346-2019 artfynd.xlsx", "A 39346-2019")</f>
        <v/>
      </c>
      <c r="T20">
        <f>HYPERLINK("https://klasma.github.io/Logging_1485/kartor/A 39346-2019 karta.png", "A 39346-2019")</f>
        <v/>
      </c>
      <c r="V20">
        <f>HYPERLINK("https://klasma.github.io/Logging_1485/klagomål/A 39346-2019 FSC-klagomål.docx", "A 39346-2019")</f>
        <v/>
      </c>
      <c r="W20">
        <f>HYPERLINK("https://klasma.github.io/Logging_1485/klagomålsmail/A 39346-2019 FSC-klagomål mail.docx", "A 39346-2019")</f>
        <v/>
      </c>
      <c r="X20">
        <f>HYPERLINK("https://klasma.github.io/Logging_1485/tillsyn/A 39346-2019 tillsynsbegäran.docx", "A 39346-2019")</f>
        <v/>
      </c>
      <c r="Y20">
        <f>HYPERLINK("https://klasma.github.io/Logging_1485/tillsynsmail/A 39346-2019 tillsynsbegäran mail.docx", "A 39346-2019")</f>
        <v/>
      </c>
    </row>
    <row r="21" ht="15" customHeight="1">
      <c r="A21" t="inlineStr">
        <is>
          <t>A 21622-2020</t>
        </is>
      </c>
      <c r="B21" s="1" t="n">
        <v>43957</v>
      </c>
      <c r="C21" s="1" t="n">
        <v>45667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HYPERLINK("https://klasma.github.io/Logging_1485/artfynd/A 21622-2020 artfynd.xlsx", "A 21622-2020")</f>
        <v/>
      </c>
      <c r="T21">
        <f>HYPERLINK("https://klasma.github.io/Logging_1485/kartor/A 21622-2020 karta.png", "A 21622-2020")</f>
        <v/>
      </c>
      <c r="V21">
        <f>HYPERLINK("https://klasma.github.io/Logging_1485/klagomål/A 21622-2020 FSC-klagomål.docx", "A 21622-2020")</f>
        <v/>
      </c>
      <c r="W21">
        <f>HYPERLINK("https://klasma.github.io/Logging_1485/klagomålsmail/A 21622-2020 FSC-klagomål mail.docx", "A 21622-2020")</f>
        <v/>
      </c>
      <c r="X21">
        <f>HYPERLINK("https://klasma.github.io/Logging_1485/tillsyn/A 21622-2020 tillsynsbegäran.docx", "A 21622-2020")</f>
        <v/>
      </c>
      <c r="Y21">
        <f>HYPERLINK("https://klasma.github.io/Logging_1485/tillsynsmail/A 21622-2020 tillsynsbegäran mail.docx", "A 21622-2020")</f>
        <v/>
      </c>
      <c r="Z21">
        <f>HYPERLINK("https://klasma.github.io/Logging_1485/fåglar/A 21622-2020 prioriterade fågelarter.docx", "A 21622-2020")</f>
        <v/>
      </c>
    </row>
    <row r="22" ht="15" customHeight="1">
      <c r="A22" t="inlineStr">
        <is>
          <t>A 51869-2021</t>
        </is>
      </c>
      <c r="B22" s="1" t="n">
        <v>44462</v>
      </c>
      <c r="C22" s="1" t="n">
        <v>45667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45667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45667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45667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45667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45667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45667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45667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45667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45667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45667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45667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7725-2024</t>
        </is>
      </c>
      <c r="B34" s="1" t="n">
        <v>45349</v>
      </c>
      <c r="C34" s="1" t="n">
        <v>45667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7725-2024 artfynd.xlsx", "A 7725-2024")</f>
        <v/>
      </c>
      <c r="T34">
        <f>HYPERLINK("https://klasma.github.io/Logging_1485/kartor/A 7725-2024 karta.png", "A 7725-2024")</f>
        <v/>
      </c>
      <c r="V34">
        <f>HYPERLINK("https://klasma.github.io/Logging_1485/klagomål/A 7725-2024 FSC-klagomål.docx", "A 7725-2024")</f>
        <v/>
      </c>
      <c r="W34">
        <f>HYPERLINK("https://klasma.github.io/Logging_1485/klagomålsmail/A 7725-2024 FSC-klagomål mail.docx", "A 7725-2024")</f>
        <v/>
      </c>
      <c r="X34">
        <f>HYPERLINK("https://klasma.github.io/Logging_1485/tillsyn/A 7725-2024 tillsynsbegäran.docx", "A 7725-2024")</f>
        <v/>
      </c>
      <c r="Y34">
        <f>HYPERLINK("https://klasma.github.io/Logging_1485/tillsynsmail/A 7725-2024 tillsynsbegäran mail.docx", "A 7725-2024")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45667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45667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45667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45667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45667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45667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45667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45667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45667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45667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45667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45667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45667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45667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45667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45667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45667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45667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45667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45667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45667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45667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45667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45667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45667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45667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45667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45667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45667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45667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45667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45667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45667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45667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45667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45667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45667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45667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45667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45667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45667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45667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45667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45667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45667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45667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45667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45667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45667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45667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45667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45667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45667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45667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45667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45667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45667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45667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45667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45667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45667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45667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45667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45667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45667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45667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45667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45667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45667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45667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45667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45667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45667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45667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45667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45667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45667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45667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45667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45667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45667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45667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45667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45667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45667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45667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45667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45667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45667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45667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45667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45667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45667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45667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45667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45667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45667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45667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45667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45667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45667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45667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45667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45667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45667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45667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45667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45667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45667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45667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45667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45667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45667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45667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45667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45667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45667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45667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45667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45667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45667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45667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45667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45667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45667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45667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45667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45667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45667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45667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45667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45667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45667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45667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45667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45667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45667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45667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45667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45667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45667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45667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45667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45667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45667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45667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45667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45667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45667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45667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45667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45667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45667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45667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45667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45667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45667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45667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45667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45667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45667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45667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45667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45667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45667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45667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45667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45667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45667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45667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45667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45667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45667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45667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45667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45667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45667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45667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45667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45667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45667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45667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45667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45667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45667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45667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45667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45667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45667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45667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45667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45667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45667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45667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45667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45667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45667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45667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45667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45667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45667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45667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45667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45667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45667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45667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45667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45667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45667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45667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45667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45667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45667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45667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45667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45667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45667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45667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45667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45667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45667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45667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45667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45667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45667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45667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45667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45667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45667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45667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45667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45667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45667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45667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45667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45667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45667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45667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45667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45667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45667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45667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45667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45667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45667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45667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45667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45667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45667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45667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45667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45667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45667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45667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45667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45667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45667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45667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45667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45667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45667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45667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45667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45667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45667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45667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45667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45667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45667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45667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45667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45667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45667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45667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45667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45667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45667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45667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45667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45667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45667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45667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45667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45667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45667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45667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45667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45667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45667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45667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45667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45667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45667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45667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45667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45667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45667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45667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45667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45667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45667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45667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45667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45667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45667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45667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45667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45667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45667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45667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45667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45667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45667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45667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45667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45667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45667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45667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45667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45667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45667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45667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45667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45667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45667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45667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45667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45667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45667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45667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45667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45667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45667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45667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45667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45667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45667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45667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45667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45667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45667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45667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45667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45667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45667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45667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45667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45667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45667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45667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45667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45667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45667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45667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45667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45667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45667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45667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45667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45667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45667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45667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45667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45667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45667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45667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45667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45667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45667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45667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45667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45667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45667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45667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45667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45667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45667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45667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45667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45667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45667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45667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45667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45667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45667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45667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45667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45667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45667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45667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45667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45667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45667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45667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45667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45667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45667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45667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45667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45667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45667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45667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45667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45667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45667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45667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45667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45667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45667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45667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45667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45667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45667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45667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45667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45667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45667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45667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45667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45667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45667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45667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45667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45667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45667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45667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45667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45667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45667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45667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45667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45667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45667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45667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45667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45667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45667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45667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45667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45667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45667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45667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45667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45667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45667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45667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45667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45667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45667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45667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60242-2024</t>
        </is>
      </c>
      <c r="B485" s="1" t="n">
        <v>45642</v>
      </c>
      <c r="C485" s="1" t="n">
        <v>45667</v>
      </c>
      <c r="D485" t="inlineStr">
        <is>
          <t>VÄSTRA GÖTALANDS LÄN</t>
        </is>
      </c>
      <c r="E485" t="inlineStr">
        <is>
          <t>UDDEVALLA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60250-2024</t>
        </is>
      </c>
      <c r="B486" s="1" t="n">
        <v>45642</v>
      </c>
      <c r="C486" s="1" t="n">
        <v>45667</v>
      </c>
      <c r="D486" t="inlineStr">
        <is>
          <t>VÄSTRA GÖTALANDS LÄN</t>
        </is>
      </c>
      <c r="E486" t="inlineStr">
        <is>
          <t>UDDEVALLA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60247-2024</t>
        </is>
      </c>
      <c r="B487" s="1" t="n">
        <v>45642</v>
      </c>
      <c r="C487" s="1" t="n">
        <v>45667</v>
      </c>
      <c r="D487" t="inlineStr">
        <is>
          <t>VÄSTRA GÖTALANDS LÄN</t>
        </is>
      </c>
      <c r="E487" t="inlineStr">
        <is>
          <t>UDDEVALLA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60251-2024</t>
        </is>
      </c>
      <c r="B488" s="1" t="n">
        <v>45642</v>
      </c>
      <c r="C488" s="1" t="n">
        <v>45667</v>
      </c>
      <c r="D488" t="inlineStr">
        <is>
          <t>VÄSTRA GÖTALANDS LÄN</t>
        </is>
      </c>
      <c r="E488" t="inlineStr">
        <is>
          <t>UDDEVALLA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60241-2024</t>
        </is>
      </c>
      <c r="B489" s="1" t="n">
        <v>45642</v>
      </c>
      <c r="C489" s="1" t="n">
        <v>45667</v>
      </c>
      <c r="D489" t="inlineStr">
        <is>
          <t>VÄSTRA GÖTALANDS LÄN</t>
        </is>
      </c>
      <c r="E489" t="inlineStr">
        <is>
          <t>UDDEVALLA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45667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45667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45667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45667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266-2025</t>
        </is>
      </c>
      <c r="B494" s="1" t="n">
        <v>45653</v>
      </c>
      <c r="C494" s="1" t="n">
        <v>45667</v>
      </c>
      <c r="D494" t="inlineStr">
        <is>
          <t>VÄSTRA GÖTALANDS LÄN</t>
        </is>
      </c>
      <c r="E494" t="inlineStr">
        <is>
          <t>UDDEVALLA</t>
        </is>
      </c>
      <c r="G494" t="n">
        <v>15.2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45667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62042-2024</t>
        </is>
      </c>
      <c r="B496" s="1" t="n">
        <v>45656</v>
      </c>
      <c r="C496" s="1" t="n">
        <v>45667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62037-2024</t>
        </is>
      </c>
      <c r="B497" s="1" t="n">
        <v>45656</v>
      </c>
      <c r="C497" s="1" t="n">
        <v>45667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62041-2024</t>
        </is>
      </c>
      <c r="B498" s="1" t="n">
        <v>45656</v>
      </c>
      <c r="C498" s="1" t="n">
        <v>45667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62045-2024</t>
        </is>
      </c>
      <c r="B499" s="1" t="n">
        <v>45656</v>
      </c>
      <c r="C499" s="1" t="n">
        <v>45667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62053-2024</t>
        </is>
      </c>
      <c r="B500" s="1" t="n">
        <v>45656</v>
      </c>
      <c r="C500" s="1" t="n">
        <v>45667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62073-2024</t>
        </is>
      </c>
      <c r="B501" s="1" t="n">
        <v>45656</v>
      </c>
      <c r="C501" s="1" t="n">
        <v>45667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62077-2024</t>
        </is>
      </c>
      <c r="B502" s="1" t="n">
        <v>45656</v>
      </c>
      <c r="C502" s="1" t="n">
        <v>45667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62043-2024</t>
        </is>
      </c>
      <c r="B503" s="1" t="n">
        <v>45656</v>
      </c>
      <c r="C503" s="1" t="n">
        <v>45667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62051-2024</t>
        </is>
      </c>
      <c r="B504" s="1" t="n">
        <v>45656</v>
      </c>
      <c r="C504" s="1" t="n">
        <v>45667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62055-2024</t>
        </is>
      </c>
      <c r="B505" s="1" t="n">
        <v>45656</v>
      </c>
      <c r="C505" s="1" t="n">
        <v>45667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62067-2024</t>
        </is>
      </c>
      <c r="B506" s="1" t="n">
        <v>45656</v>
      </c>
      <c r="C506" s="1" t="n">
        <v>45667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62075-2024</t>
        </is>
      </c>
      <c r="B507" s="1" t="n">
        <v>45656</v>
      </c>
      <c r="C507" s="1" t="n">
        <v>45667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62074-2024</t>
        </is>
      </c>
      <c r="B508" s="1" t="n">
        <v>45656</v>
      </c>
      <c r="C508" s="1" t="n">
        <v>45667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62106-2024</t>
        </is>
      </c>
      <c r="B509" s="1" t="n">
        <v>45656</v>
      </c>
      <c r="C509" s="1" t="n">
        <v>45667</v>
      </c>
      <c r="D509" t="inlineStr">
        <is>
          <t>VÄSTRA GÖTALANDS LÄN</t>
        </is>
      </c>
      <c r="E509" t="inlineStr">
        <is>
          <t>UDDEVALLA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62036-2024</t>
        </is>
      </c>
      <c r="B510" s="1" t="n">
        <v>45656</v>
      </c>
      <c r="C510" s="1" t="n">
        <v>45667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45667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62068-2024</t>
        </is>
      </c>
      <c r="B512" s="1" t="n">
        <v>45656</v>
      </c>
      <c r="C512" s="1" t="n">
        <v>45667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62072-2024</t>
        </is>
      </c>
      <c r="B513" s="1" t="n">
        <v>45656</v>
      </c>
      <c r="C513" s="1" t="n">
        <v>45667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45667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659-2025</t>
        </is>
      </c>
      <c r="B515" s="1" t="n">
        <v>45664</v>
      </c>
      <c r="C515" s="1" t="n">
        <v>45667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2025-01-10T16:13:30Z</dcterms:created>
  <dcterms:modified xmlns:dcterms="http://purl.org/dc/terms/" xmlns:xsi="http://www.w3.org/2001/XMLSchema-instance" xsi:type="dcterms:W3CDTF">2025-01-10T16:13:31Z</dcterms:modified>
</cp:coreProperties>
</file>