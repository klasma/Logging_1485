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45801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45801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45801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51869-2021</t>
        </is>
      </c>
      <c r="B25" s="1" t="n">
        <v>44462</v>
      </c>
      <c r="C25" s="1" t="n">
        <v>45801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54440-2021</t>
        </is>
      </c>
      <c r="B26" s="1" t="n">
        <v>44472</v>
      </c>
      <c r="C26" s="1" t="n">
        <v>45801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HYPERLINK("https://klasma.github.io/Logging_1485/artfynd/A 54440-2021 artfynd.xlsx", "A 54440-2021")</f>
        <v/>
      </c>
      <c r="T26">
        <f>HYPERLINK("https://klasma.github.io/Logging_1485/kartor/A 54440-2021 karta.png", "A 54440-2021")</f>
        <v/>
      </c>
      <c r="V26">
        <f>HYPERLINK("https://klasma.github.io/Logging_1485/klagomål/A 54440-2021 FSC-klagomål.docx", "A 54440-2021")</f>
        <v/>
      </c>
      <c r="W26">
        <f>HYPERLINK("https://klasma.github.io/Logging_1485/klagomålsmail/A 54440-2021 FSC-klagomål mail.docx", "A 54440-2021")</f>
        <v/>
      </c>
      <c r="X26">
        <f>HYPERLINK("https://klasma.github.io/Logging_1485/tillsyn/A 54440-2021 tillsynsbegäran.docx", "A 54440-2021")</f>
        <v/>
      </c>
      <c r="Y26">
        <f>HYPERLINK("https://klasma.github.io/Logging_1485/tillsynsmail/A 54440-2021 tillsynsbegäran mail.docx", "A 54440-2021")</f>
        <v/>
      </c>
    </row>
    <row r="27" ht="15" customHeight="1">
      <c r="A27" t="inlineStr">
        <is>
          <t>A 68707-2021</t>
        </is>
      </c>
      <c r="B27" s="1" t="n">
        <v>44529</v>
      </c>
      <c r="C27" s="1" t="n">
        <v>45801</v>
      </c>
      <c r="D27" t="inlineStr">
        <is>
          <t>VÄSTRA GÖTALANDS LÄN</t>
        </is>
      </c>
      <c r="E27" t="inlineStr">
        <is>
          <t>UDDEVALLA</t>
        </is>
      </c>
      <c r="G27" t="n">
        <v>10.6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HYPERLINK("https://klasma.github.io/Logging_1485/artfynd/A 68707-2021 artfynd.xlsx", "A 68707-2021")</f>
        <v/>
      </c>
      <c r="T27">
        <f>HYPERLINK("https://klasma.github.io/Logging_1485/kartor/A 68707-2021 karta.png", "A 68707-2021")</f>
        <v/>
      </c>
      <c r="U27">
        <f>HYPERLINK("https://klasma.github.io/Logging_1485/knärot/A 68707-2021 karta knärot.png", "A 68707-2021")</f>
        <v/>
      </c>
      <c r="V27">
        <f>HYPERLINK("https://klasma.github.io/Logging_1485/klagomål/A 68707-2021 FSC-klagomål.docx", "A 68707-2021")</f>
        <v/>
      </c>
      <c r="W27">
        <f>HYPERLINK("https://klasma.github.io/Logging_1485/klagomålsmail/A 68707-2021 FSC-klagomål mail.docx", "A 68707-2021")</f>
        <v/>
      </c>
      <c r="X27">
        <f>HYPERLINK("https://klasma.github.io/Logging_1485/tillsyn/A 68707-2021 tillsynsbegäran.docx", "A 68707-2021")</f>
        <v/>
      </c>
      <c r="Y27">
        <f>HYPERLINK("https://klasma.github.io/Logging_1485/tillsynsmail/A 68707-2021 tillsynsbegäran mail.docx", "A 68707-2021")</f>
        <v/>
      </c>
    </row>
    <row r="28" ht="15" customHeight="1">
      <c r="A28" t="inlineStr">
        <is>
          <t>A 10865-2022</t>
        </is>
      </c>
      <c r="B28" s="1" t="n">
        <v>44627</v>
      </c>
      <c r="C28" s="1" t="n">
        <v>45801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25806-2022</t>
        </is>
      </c>
      <c r="B29" s="1" t="n">
        <v>44733</v>
      </c>
      <c r="C29" s="1" t="n">
        <v>45801</v>
      </c>
      <c r="D29" t="inlineStr">
        <is>
          <t>VÄSTRA GÖTALANDS LÄN</t>
        </is>
      </c>
      <c r="E29" t="inlineStr">
        <is>
          <t>UDDEVALLA</t>
        </is>
      </c>
      <c r="G29" t="n">
        <v>31.2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HYPERLINK("https://klasma.github.io/Logging_1485/artfynd/A 25806-2022 artfynd.xlsx", "A 25806-2022")</f>
        <v/>
      </c>
      <c r="T29">
        <f>HYPERLINK("https://klasma.github.io/Logging_1485/kartor/A 25806-2022 karta.png", "A 25806-2022")</f>
        <v/>
      </c>
      <c r="V29">
        <f>HYPERLINK("https://klasma.github.io/Logging_1485/klagomål/A 25806-2022 FSC-klagomål.docx", "A 25806-2022")</f>
        <v/>
      </c>
      <c r="W29">
        <f>HYPERLINK("https://klasma.github.io/Logging_1485/klagomålsmail/A 25806-2022 FSC-klagomål mail.docx", "A 25806-2022")</f>
        <v/>
      </c>
      <c r="X29">
        <f>HYPERLINK("https://klasma.github.io/Logging_1485/tillsyn/A 25806-2022 tillsynsbegäran.docx", "A 25806-2022")</f>
        <v/>
      </c>
      <c r="Y29">
        <f>HYPERLINK("https://klasma.github.io/Logging_1485/tillsynsmail/A 25806-2022 tillsynsbegäran mail.docx", "A 25806-2022")</f>
        <v/>
      </c>
      <c r="Z29">
        <f>HYPERLINK("https://klasma.github.io/Logging_1485/fåglar/A 25806-2022 prioriterade fågelarter.docx", "A 25806-2022")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45801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16904-2023</t>
        </is>
      </c>
      <c r="B31" s="1" t="n">
        <v>45033</v>
      </c>
      <c r="C31" s="1" t="n">
        <v>45801</v>
      </c>
      <c r="D31" t="inlineStr">
        <is>
          <t>VÄSTRA GÖTALANDS LÄN</t>
        </is>
      </c>
      <c r="E31" t="inlineStr">
        <is>
          <t>UDDEVALLA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HYPERLINK("https://klasma.github.io/Logging_1485/artfynd/A 16904-2023 artfynd.xlsx", "A 16904-2023")</f>
        <v/>
      </c>
      <c r="T31">
        <f>HYPERLINK("https://klasma.github.io/Logging_1485/kartor/A 16904-2023 karta.png", "A 16904-2023")</f>
        <v/>
      </c>
      <c r="V31">
        <f>HYPERLINK("https://klasma.github.io/Logging_1485/klagomål/A 16904-2023 FSC-klagomål.docx", "A 16904-2023")</f>
        <v/>
      </c>
      <c r="W31">
        <f>HYPERLINK("https://klasma.github.io/Logging_1485/klagomålsmail/A 16904-2023 FSC-klagomål mail.docx", "A 16904-2023")</f>
        <v/>
      </c>
      <c r="X31">
        <f>HYPERLINK("https://klasma.github.io/Logging_1485/tillsyn/A 16904-2023 tillsynsbegäran.docx", "A 16904-2023")</f>
        <v/>
      </c>
      <c r="Y31">
        <f>HYPERLINK("https://klasma.github.io/Logging_1485/tillsynsmail/A 16904-2023 tillsynsbegäran mail.docx", "A 16904-2023")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45801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38391-2023</t>
        </is>
      </c>
      <c r="B33" s="1" t="n">
        <v>45162</v>
      </c>
      <c r="C33" s="1" t="n">
        <v>45801</v>
      </c>
      <c r="D33" t="inlineStr">
        <is>
          <t>VÄSTRA GÖTALANDS LÄN</t>
        </is>
      </c>
      <c r="E33" t="inlineStr">
        <is>
          <t>UDDEVALLA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HYPERLINK("https://klasma.github.io/Logging_1485/artfynd/A 38391-2023 artfynd.xlsx", "A 38391-2023")</f>
        <v/>
      </c>
      <c r="T33">
        <f>HYPERLINK("https://klasma.github.io/Logging_1485/kartor/A 38391-2023 karta.png", "A 38391-2023")</f>
        <v/>
      </c>
      <c r="V33">
        <f>HYPERLINK("https://klasma.github.io/Logging_1485/klagomål/A 38391-2023 FSC-klagomål.docx", "A 38391-2023")</f>
        <v/>
      </c>
      <c r="W33">
        <f>HYPERLINK("https://klasma.github.io/Logging_1485/klagomålsmail/A 38391-2023 FSC-klagomål mail.docx", "A 38391-2023")</f>
        <v/>
      </c>
      <c r="X33">
        <f>HYPERLINK("https://klasma.github.io/Logging_1485/tillsyn/A 38391-2023 tillsynsbegäran.docx", "A 38391-2023")</f>
        <v/>
      </c>
      <c r="Y33">
        <f>HYPERLINK("https://klasma.github.io/Logging_1485/tillsynsmail/A 38391-2023 tillsynsbegäran mail.docx", "A 38391-2023")</f>
        <v/>
      </c>
    </row>
    <row r="34" ht="15" customHeight="1">
      <c r="A34" t="inlineStr">
        <is>
          <t>A 55288-2023</t>
        </is>
      </c>
      <c r="B34" s="1" t="n">
        <v>45237</v>
      </c>
      <c r="C34" s="1" t="n">
        <v>45801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58345-2023</t>
        </is>
      </c>
      <c r="B35" s="1" t="n">
        <v>45250</v>
      </c>
      <c r="C35" s="1" t="n">
        <v>45801</v>
      </c>
      <c r="D35" t="inlineStr">
        <is>
          <t>VÄSTRA GÖTALANDS LÄN</t>
        </is>
      </c>
      <c r="E35" t="inlineStr">
        <is>
          <t>UDDEVALLA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58345-2023 artfynd.xlsx", "A 58345-2023")</f>
        <v/>
      </c>
      <c r="T35">
        <f>HYPERLINK("https://klasma.github.io/Logging_1485/kartor/A 58345-2023 karta.png", "A 58345-2023")</f>
        <v/>
      </c>
      <c r="V35">
        <f>HYPERLINK("https://klasma.github.io/Logging_1485/klagomål/A 58345-2023 FSC-klagomål.docx", "A 58345-2023")</f>
        <v/>
      </c>
      <c r="W35">
        <f>HYPERLINK("https://klasma.github.io/Logging_1485/klagomålsmail/A 58345-2023 FSC-klagomål mail.docx", "A 58345-2023")</f>
        <v/>
      </c>
      <c r="X35">
        <f>HYPERLINK("https://klasma.github.io/Logging_1485/tillsyn/A 58345-2023 tillsynsbegäran.docx", "A 58345-2023")</f>
        <v/>
      </c>
      <c r="Y35">
        <f>HYPERLINK("https://klasma.github.io/Logging_1485/tillsynsmail/A 58345-2023 tillsynsbegäran mail.docx", "A 58345-2023")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45801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45801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6441-2024</t>
        </is>
      </c>
      <c r="B38" s="1" t="n">
        <v>45338</v>
      </c>
      <c r="C38" s="1" t="n">
        <v>45801</v>
      </c>
      <c r="D38" t="inlineStr">
        <is>
          <t>VÄSTRA GÖTALANDS LÄN</t>
        </is>
      </c>
      <c r="E38" t="inlineStr">
        <is>
          <t>UDDEVALLA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HYPERLINK("https://klasma.github.io/Logging_1485/artfynd/A 6441-2024 artfynd.xlsx", "A 6441-2024")</f>
        <v/>
      </c>
      <c r="T38">
        <f>HYPERLINK("https://klasma.github.io/Logging_1485/kartor/A 6441-2024 karta.png", "A 6441-2024")</f>
        <v/>
      </c>
      <c r="V38">
        <f>HYPERLINK("https://klasma.github.io/Logging_1485/klagomål/A 6441-2024 FSC-klagomål.docx", "A 6441-2024")</f>
        <v/>
      </c>
      <c r="W38">
        <f>HYPERLINK("https://klasma.github.io/Logging_1485/klagomålsmail/A 6441-2024 FSC-klagomål mail.docx", "A 6441-2024")</f>
        <v/>
      </c>
      <c r="X38">
        <f>HYPERLINK("https://klasma.github.io/Logging_1485/tillsyn/A 6441-2024 tillsynsbegäran.docx", "A 6441-2024")</f>
        <v/>
      </c>
      <c r="Y38">
        <f>HYPERLINK("https://klasma.github.io/Logging_1485/tillsynsmail/A 6441-2024 tillsynsbegäran mail.docx", "A 6441-2024")</f>
        <v/>
      </c>
    </row>
    <row r="39" ht="15" customHeight="1">
      <c r="A39" t="inlineStr">
        <is>
          <t>A 16418-2024</t>
        </is>
      </c>
      <c r="B39" s="1" t="n">
        <v>45407</v>
      </c>
      <c r="C39" s="1" t="n">
        <v>45801</v>
      </c>
      <c r="D39" t="inlineStr">
        <is>
          <t>VÄSTRA GÖTALANDS LÄN</t>
        </is>
      </c>
      <c r="E39" t="inlineStr">
        <is>
          <t>UDDEVALLA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HYPERLINK("https://klasma.github.io/Logging_1485/artfynd/A 16418-2024 artfynd.xlsx", "A 16418-2024")</f>
        <v/>
      </c>
      <c r="T39">
        <f>HYPERLINK("https://klasma.github.io/Logging_1485/kartor/A 16418-2024 karta.png", "A 16418-2024")</f>
        <v/>
      </c>
      <c r="V39">
        <f>HYPERLINK("https://klasma.github.io/Logging_1485/klagomål/A 16418-2024 FSC-klagomål.docx", "A 16418-2024")</f>
        <v/>
      </c>
      <c r="W39">
        <f>HYPERLINK("https://klasma.github.io/Logging_1485/klagomålsmail/A 16418-2024 FSC-klagomål mail.docx", "A 16418-2024")</f>
        <v/>
      </c>
      <c r="X39">
        <f>HYPERLINK("https://klasma.github.io/Logging_1485/tillsyn/A 16418-2024 tillsynsbegäran.docx", "A 16418-2024")</f>
        <v/>
      </c>
      <c r="Y39">
        <f>HYPERLINK("https://klasma.github.io/Logging_1485/tillsynsmail/A 16418-2024 tillsynsbegäran mail.docx", "A 16418-2024")</f>
        <v/>
      </c>
    </row>
    <row r="40" ht="15" customHeight="1">
      <c r="A40" t="inlineStr">
        <is>
          <t>A 21981-2024</t>
        </is>
      </c>
      <c r="B40" s="1" t="n">
        <v>45443</v>
      </c>
      <c r="C40" s="1" t="n">
        <v>45801</v>
      </c>
      <c r="D40" t="inlineStr">
        <is>
          <t>VÄSTRA GÖTALANDS LÄN</t>
        </is>
      </c>
      <c r="E40" t="inlineStr">
        <is>
          <t>UDDEVALLA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HYPERLINK("https://klasma.github.io/Logging_1485/artfynd/A 21981-2024 artfynd.xlsx", "A 21981-2024")</f>
        <v/>
      </c>
      <c r="T40">
        <f>HYPERLINK("https://klasma.github.io/Logging_1485/kartor/A 21981-2024 karta.png", "A 21981-2024")</f>
        <v/>
      </c>
      <c r="V40">
        <f>HYPERLINK("https://klasma.github.io/Logging_1485/klagomål/A 21981-2024 FSC-klagomål.docx", "A 21981-2024")</f>
        <v/>
      </c>
      <c r="W40">
        <f>HYPERLINK("https://klasma.github.io/Logging_1485/klagomålsmail/A 21981-2024 FSC-klagomål mail.docx", "A 21981-2024")</f>
        <v/>
      </c>
      <c r="X40">
        <f>HYPERLINK("https://klasma.github.io/Logging_1485/tillsyn/A 21981-2024 tillsynsbegäran.docx", "A 21981-2024")</f>
        <v/>
      </c>
      <c r="Y40">
        <f>HYPERLINK("https://klasma.github.io/Logging_1485/tillsynsmail/A 21981-2024 tillsynsbegäran mail.docx", "A 21981-2024")</f>
        <v/>
      </c>
    </row>
    <row r="41" ht="15" customHeight="1">
      <c r="A41" t="inlineStr">
        <is>
          <t>A 26850-2024</t>
        </is>
      </c>
      <c r="B41" s="1" t="n">
        <v>45470</v>
      </c>
      <c r="C41" s="1" t="n">
        <v>45801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Äkta lopplummer</t>
        </is>
      </c>
      <c r="S41">
        <f>HYPERLINK("https://klasma.github.io/Logging_1485/artfynd/A 26850-2024 artfynd.xlsx", "A 26850-2024")</f>
        <v/>
      </c>
      <c r="T41">
        <f>HYPERLINK("https://klasma.github.io/Logging_1485/kartor/A 26850-2024 karta.png", "A 26850-2024")</f>
        <v/>
      </c>
      <c r="V41">
        <f>HYPERLINK("https://klasma.github.io/Logging_1485/klagomål/A 26850-2024 FSC-klagomål.docx", "A 26850-2024")</f>
        <v/>
      </c>
      <c r="W41">
        <f>HYPERLINK("https://klasma.github.io/Logging_1485/klagomålsmail/A 26850-2024 FSC-klagomål mail.docx", "A 26850-2024")</f>
        <v/>
      </c>
      <c r="X41">
        <f>HYPERLINK("https://klasma.github.io/Logging_1485/tillsyn/A 26850-2024 tillsynsbegäran.docx", "A 26850-2024")</f>
        <v/>
      </c>
      <c r="Y41">
        <f>HYPERLINK("https://klasma.github.io/Logging_1485/tillsynsmail/A 26850-2024 tillsynsbegäran mail.docx", "A 26850-2024")</f>
        <v/>
      </c>
    </row>
    <row r="42" ht="15" customHeight="1">
      <c r="A42" t="inlineStr">
        <is>
          <t>A 42007-2024</t>
        </is>
      </c>
      <c r="B42" s="1" t="n">
        <v>45561</v>
      </c>
      <c r="C42" s="1" t="n">
        <v>45801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HYPERLINK("https://klasma.github.io/Logging_1485/artfynd/A 42007-2024 artfynd.xlsx", "A 42007-2024")</f>
        <v/>
      </c>
      <c r="T42">
        <f>HYPERLINK("https://klasma.github.io/Logging_1485/kartor/A 42007-2024 karta.png", "A 42007-2024")</f>
        <v/>
      </c>
      <c r="V42">
        <f>HYPERLINK("https://klasma.github.io/Logging_1485/klagomål/A 42007-2024 FSC-klagomål.docx", "A 42007-2024")</f>
        <v/>
      </c>
      <c r="W42">
        <f>HYPERLINK("https://klasma.github.io/Logging_1485/klagomålsmail/A 42007-2024 FSC-klagomål mail.docx", "A 42007-2024")</f>
        <v/>
      </c>
      <c r="X42">
        <f>HYPERLINK("https://klasma.github.io/Logging_1485/tillsyn/A 42007-2024 tillsynsbegäran.docx", "A 42007-2024")</f>
        <v/>
      </c>
      <c r="Y42">
        <f>HYPERLINK("https://klasma.github.io/Logging_1485/tillsynsmail/A 42007-2024 tillsynsbegäran mail.docx", "A 42007-2024")</f>
        <v/>
      </c>
    </row>
    <row r="43" ht="15" customHeight="1">
      <c r="A43" t="inlineStr">
        <is>
          <t>A 58626-2024</t>
        </is>
      </c>
      <c r="B43" s="1" t="n">
        <v>45635</v>
      </c>
      <c r="C43" s="1" t="n">
        <v>45801</v>
      </c>
      <c r="D43" t="inlineStr">
        <is>
          <t>VÄSTRA GÖTALANDS LÄN</t>
        </is>
      </c>
      <c r="E43" t="inlineStr">
        <is>
          <t>UDDEVALLA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Lundvårlök</t>
        </is>
      </c>
      <c r="S43">
        <f>HYPERLINK("https://klasma.github.io/Logging_1485/artfynd/A 58626-2024 artfynd.xlsx", "A 58626-2024")</f>
        <v/>
      </c>
      <c r="T43">
        <f>HYPERLINK("https://klasma.github.io/Logging_1485/kartor/A 58626-2024 karta.png", "A 58626-2024")</f>
        <v/>
      </c>
      <c r="V43">
        <f>HYPERLINK("https://klasma.github.io/Logging_1485/klagomål/A 58626-2024 FSC-klagomål.docx", "A 58626-2024")</f>
        <v/>
      </c>
      <c r="W43">
        <f>HYPERLINK("https://klasma.github.io/Logging_1485/klagomålsmail/A 58626-2024 FSC-klagomål mail.docx", "A 58626-2024")</f>
        <v/>
      </c>
      <c r="X43">
        <f>HYPERLINK("https://klasma.github.io/Logging_1485/tillsyn/A 58626-2024 tillsynsbegäran.docx", "A 58626-2024")</f>
        <v/>
      </c>
      <c r="Y43">
        <f>HYPERLINK("https://klasma.github.io/Logging_1485/tillsynsmail/A 58626-2024 tillsynsbegäran mail.docx", "A 58626-2024")</f>
        <v/>
      </c>
    </row>
    <row r="44" ht="15" customHeight="1">
      <c r="A44" t="inlineStr">
        <is>
          <t>A 62043-2024</t>
        </is>
      </c>
      <c r="B44" s="1" t="n">
        <v>45656</v>
      </c>
      <c r="C44" s="1" t="n">
        <v>45801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2.7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HYPERLINK("https://klasma.github.io/Logging_1485/artfynd/A 62043-2024 artfynd.xlsx", "A 62043-2024")</f>
        <v/>
      </c>
      <c r="T44">
        <f>HYPERLINK("https://klasma.github.io/Logging_1485/kartor/A 62043-2024 karta.png", "A 62043-2024")</f>
        <v/>
      </c>
      <c r="V44">
        <f>HYPERLINK("https://klasma.github.io/Logging_1485/klagomål/A 62043-2024 FSC-klagomål.docx", "A 62043-2024")</f>
        <v/>
      </c>
      <c r="W44">
        <f>HYPERLINK("https://klasma.github.io/Logging_1485/klagomålsmail/A 62043-2024 FSC-klagomål mail.docx", "A 62043-2024")</f>
        <v/>
      </c>
      <c r="X44">
        <f>HYPERLINK("https://klasma.github.io/Logging_1485/tillsyn/A 62043-2024 tillsynsbegäran.docx", "A 62043-2024")</f>
        <v/>
      </c>
      <c r="Y44">
        <f>HYPERLINK("https://klasma.github.io/Logging_1485/tillsynsmail/A 62043-2024 tillsynsbegäran mail.docx", "A 62043-2024")</f>
        <v/>
      </c>
      <c r="Z44">
        <f>HYPERLINK("https://klasma.github.io/Logging_1485/fåglar/A 62043-2024 prioriterade fågelarter.docx", "A 62043-2024")</f>
        <v/>
      </c>
    </row>
    <row r="45" ht="15" customHeight="1">
      <c r="A45" t="inlineStr">
        <is>
          <t>A 62072-2024</t>
        </is>
      </c>
      <c r="B45" s="1" t="n">
        <v>45656</v>
      </c>
      <c r="C45" s="1" t="n">
        <v>45801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HYPERLINK("https://klasma.github.io/Logging_1485/artfynd/A 62072-2024 artfynd.xlsx", "A 62072-2024")</f>
        <v/>
      </c>
      <c r="T45">
        <f>HYPERLINK("https://klasma.github.io/Logging_1485/kartor/A 62072-2024 karta.png", "A 62072-2024")</f>
        <v/>
      </c>
      <c r="V45">
        <f>HYPERLINK("https://klasma.github.io/Logging_1485/klagomål/A 62072-2024 FSC-klagomål.docx", "A 62072-2024")</f>
        <v/>
      </c>
      <c r="W45">
        <f>HYPERLINK("https://klasma.github.io/Logging_1485/klagomålsmail/A 62072-2024 FSC-klagomål mail.docx", "A 62072-2024")</f>
        <v/>
      </c>
      <c r="X45">
        <f>HYPERLINK("https://klasma.github.io/Logging_1485/tillsyn/A 62072-2024 tillsynsbegäran.docx", "A 62072-2024")</f>
        <v/>
      </c>
      <c r="Y45">
        <f>HYPERLINK("https://klasma.github.io/Logging_1485/tillsynsmail/A 62072-2024 tillsynsbegäran mail.docx", "A 62072-2024")</f>
        <v/>
      </c>
      <c r="Z45">
        <f>HYPERLINK("https://klasma.github.io/Logging_1485/fåglar/A 62072-2024 prioriterade fågelarter.docx", "A 62072-2024")</f>
        <v/>
      </c>
    </row>
    <row r="46" ht="15" customHeight="1">
      <c r="A46" t="inlineStr">
        <is>
          <t>A 62068-2024</t>
        </is>
      </c>
      <c r="B46" s="1" t="n">
        <v>45656</v>
      </c>
      <c r="C46" s="1" t="n">
        <v>45801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HYPERLINK("https://klasma.github.io/Logging_1485/artfynd/A 62068-2024 artfynd.xlsx", "A 62068-2024")</f>
        <v/>
      </c>
      <c r="T46">
        <f>HYPERLINK("https://klasma.github.io/Logging_1485/kartor/A 62068-2024 karta.png", "A 62068-2024")</f>
        <v/>
      </c>
      <c r="V46">
        <f>HYPERLINK("https://klasma.github.io/Logging_1485/klagomål/A 62068-2024 FSC-klagomål.docx", "A 62068-2024")</f>
        <v/>
      </c>
      <c r="W46">
        <f>HYPERLINK("https://klasma.github.io/Logging_1485/klagomålsmail/A 62068-2024 FSC-klagomål mail.docx", "A 62068-2024")</f>
        <v/>
      </c>
      <c r="X46">
        <f>HYPERLINK("https://klasma.github.io/Logging_1485/tillsyn/A 62068-2024 tillsynsbegäran.docx", "A 62068-2024")</f>
        <v/>
      </c>
      <c r="Y46">
        <f>HYPERLINK("https://klasma.github.io/Logging_1485/tillsynsmail/A 62068-2024 tillsynsbegäran mail.docx", "A 62068-2024")</f>
        <v/>
      </c>
      <c r="Z46">
        <f>HYPERLINK("https://klasma.github.io/Logging_1485/fåglar/A 62068-2024 prioriterade fågelarter.docx", "A 62068-2024")</f>
        <v/>
      </c>
    </row>
    <row r="47" ht="15" customHeight="1">
      <c r="A47" t="inlineStr">
        <is>
          <t>A 62048-2024</t>
        </is>
      </c>
      <c r="B47" s="1" t="n">
        <v>45656</v>
      </c>
      <c r="C47" s="1" t="n">
        <v>45801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HYPERLINK("https://klasma.github.io/Logging_1485/artfynd/A 62048-2024 artfynd.xlsx", "A 62048-2024")</f>
        <v/>
      </c>
      <c r="T47">
        <f>HYPERLINK("https://klasma.github.io/Logging_1485/kartor/A 62048-2024 karta.png", "A 62048-2024")</f>
        <v/>
      </c>
      <c r="V47">
        <f>HYPERLINK("https://klasma.github.io/Logging_1485/klagomål/A 62048-2024 FSC-klagomål.docx", "A 62048-2024")</f>
        <v/>
      </c>
      <c r="W47">
        <f>HYPERLINK("https://klasma.github.io/Logging_1485/klagomålsmail/A 62048-2024 FSC-klagomål mail.docx", "A 62048-2024")</f>
        <v/>
      </c>
      <c r="X47">
        <f>HYPERLINK("https://klasma.github.io/Logging_1485/tillsyn/A 62048-2024 tillsynsbegäran.docx", "A 62048-2024")</f>
        <v/>
      </c>
      <c r="Y47">
        <f>HYPERLINK("https://klasma.github.io/Logging_1485/tillsynsmail/A 62048-2024 tillsynsbegäran mail.docx", "A 62048-2024")</f>
        <v/>
      </c>
    </row>
    <row r="48" ht="15" customHeight="1">
      <c r="A48" t="inlineStr">
        <is>
          <t>A 2824-2025</t>
        </is>
      </c>
      <c r="B48" s="1" t="n">
        <v>45677</v>
      </c>
      <c r="C48" s="1" t="n">
        <v>45801</v>
      </c>
      <c r="D48" t="inlineStr">
        <is>
          <t>VÄSTRA GÖTALANDS LÄN</t>
        </is>
      </c>
      <c r="E48" t="inlineStr">
        <is>
          <t>UDDEVALLA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HYPERLINK("https://klasma.github.io/Logging_1485/artfynd/A 2824-2025 artfynd.xlsx", "A 2824-2025")</f>
        <v/>
      </c>
      <c r="T48">
        <f>HYPERLINK("https://klasma.github.io/Logging_1485/kartor/A 2824-2025 karta.png", "A 2824-2025")</f>
        <v/>
      </c>
      <c r="V48">
        <f>HYPERLINK("https://klasma.github.io/Logging_1485/klagomål/A 2824-2025 FSC-klagomål.docx", "A 2824-2025")</f>
        <v/>
      </c>
      <c r="W48">
        <f>HYPERLINK("https://klasma.github.io/Logging_1485/klagomålsmail/A 2824-2025 FSC-klagomål mail.docx", "A 2824-2025")</f>
        <v/>
      </c>
      <c r="X48">
        <f>HYPERLINK("https://klasma.github.io/Logging_1485/tillsyn/A 2824-2025 tillsynsbegäran.docx", "A 2824-2025")</f>
        <v/>
      </c>
      <c r="Y48">
        <f>HYPERLINK("https://klasma.github.io/Logging_1485/tillsynsmail/A 2824-2025 tillsynsbegäran mail.docx", "A 2824-2025")</f>
        <v/>
      </c>
    </row>
    <row r="49" ht="15" customHeight="1">
      <c r="A49" t="inlineStr">
        <is>
          <t>A 14063-2025</t>
        </is>
      </c>
      <c r="B49" s="1" t="n">
        <v>45740</v>
      </c>
      <c r="C49" s="1" t="n">
        <v>45801</v>
      </c>
      <c r="D49" t="inlineStr">
        <is>
          <t>VÄSTRA GÖTALANDS LÄN</t>
        </is>
      </c>
      <c r="E49" t="inlineStr">
        <is>
          <t>UDDEVALLA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HYPERLINK("https://klasma.github.io/Logging_141485/artfynd/A 14063-2025 artfynd.xlsx", "A 14063-2025")</f>
        <v/>
      </c>
      <c r="T49">
        <f>HYPERLINK("https://klasma.github.io/Logging_141485/kartor/A 14063-2025 karta.png", "A 14063-2025")</f>
        <v/>
      </c>
      <c r="V49">
        <f>HYPERLINK("https://klasma.github.io/Logging_141485/klagomål/A 14063-2025 FSC-klagomål.docx", "A 14063-2025")</f>
        <v/>
      </c>
      <c r="W49">
        <f>HYPERLINK("https://klasma.github.io/Logging_141485/klagomålsmail/A 14063-2025 FSC-klagomål mail.docx", "A 14063-2025")</f>
        <v/>
      </c>
      <c r="X49">
        <f>HYPERLINK("https://klasma.github.io/Logging_141485/tillsyn/A 14063-2025 tillsynsbegäran.docx", "A 14063-2025")</f>
        <v/>
      </c>
      <c r="Y49">
        <f>HYPERLINK("https://klasma.github.io/Logging_141485/tillsynsmail/A 14063-2025 tillsynsbegäran mail.docx", "A 14063-2025")</f>
        <v/>
      </c>
    </row>
    <row r="50" ht="15" customHeight="1">
      <c r="A50" t="inlineStr">
        <is>
          <t>A 16347-2025</t>
        </is>
      </c>
      <c r="B50" s="1" t="n">
        <v>45751</v>
      </c>
      <c r="C50" s="1" t="n">
        <v>45801</v>
      </c>
      <c r="D50" t="inlineStr">
        <is>
          <t>VÄSTRA GÖTALANDS LÄN</t>
        </is>
      </c>
      <c r="E50" t="inlineStr">
        <is>
          <t>UDDEVALLA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Klibbtickgnagare</t>
        </is>
      </c>
      <c r="S50">
        <f>HYPERLINK("https://klasma.github.io/Logging_141485/artfynd/A 16347-2025 artfynd.xlsx", "A 16347-2025")</f>
        <v/>
      </c>
      <c r="T50">
        <f>HYPERLINK("https://klasma.github.io/Logging_141485/kartor/A 16347-2025 karta.png", "A 16347-2025")</f>
        <v/>
      </c>
      <c r="V50">
        <f>HYPERLINK("https://klasma.github.io/Logging_141485/klagomål/A 16347-2025 FSC-klagomål.docx", "A 16347-2025")</f>
        <v/>
      </c>
      <c r="W50">
        <f>HYPERLINK("https://klasma.github.io/Logging_141485/klagomålsmail/A 16347-2025 FSC-klagomål mail.docx", "A 16347-2025")</f>
        <v/>
      </c>
      <c r="X50">
        <f>HYPERLINK("https://klasma.github.io/Logging_141485/tillsyn/A 16347-2025 tillsynsbegäran.docx", "A 16347-2025")</f>
        <v/>
      </c>
      <c r="Y50">
        <f>HYPERLINK("https://klasma.github.io/Logging_141485/tillsynsmail/A 16347-2025 tillsynsbegäran mail.docx", "A 16347-2025")</f>
        <v/>
      </c>
    </row>
    <row r="51" ht="15" customHeight="1">
      <c r="A51" t="inlineStr">
        <is>
          <t>A 18387-2025</t>
        </is>
      </c>
      <c r="B51" s="1" t="n">
        <v>45762</v>
      </c>
      <c r="C51" s="1" t="n">
        <v>45801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HYPERLINK("https://klasma.github.io/Logging_141485/artfynd/A 18387-2025 artfynd.xlsx", "A 18387-2025")</f>
        <v/>
      </c>
      <c r="T51">
        <f>HYPERLINK("https://klasma.github.io/Logging_141485/kartor/A 18387-2025 karta.png", "A 18387-2025")</f>
        <v/>
      </c>
      <c r="V51">
        <f>HYPERLINK("https://klasma.github.io/Logging_141485/klagomål/A 18387-2025 FSC-klagomål.docx", "A 18387-2025")</f>
        <v/>
      </c>
      <c r="W51">
        <f>HYPERLINK("https://klasma.github.io/Logging_141485/klagomålsmail/A 18387-2025 FSC-klagomål mail.docx", "A 18387-2025")</f>
        <v/>
      </c>
      <c r="X51">
        <f>HYPERLINK("https://klasma.github.io/Logging_141485/tillsyn/A 18387-2025 tillsynsbegäran.docx", "A 18387-2025")</f>
        <v/>
      </c>
      <c r="Y51">
        <f>HYPERLINK("https://klasma.github.io/Logging_141485/tillsynsmail/A 18387-2025 tillsynsbegäran mail.docx", "A 18387-2025")</f>
        <v/>
      </c>
    </row>
    <row r="52" ht="15" customHeight="1">
      <c r="A52" t="inlineStr">
        <is>
          <t>A 17625-2019</t>
        </is>
      </c>
      <c r="B52" s="1" t="n">
        <v>43556</v>
      </c>
      <c r="C52" s="1" t="n">
        <v>45801</v>
      </c>
      <c r="D52" t="inlineStr">
        <is>
          <t>VÄSTRA GÖTALANDS LÄN</t>
        </is>
      </c>
      <c r="E52" t="inlineStr">
        <is>
          <t>UDDEVALLA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18487-2019</t>
        </is>
      </c>
      <c r="B53" s="1" t="n">
        <v>43559</v>
      </c>
      <c r="C53" s="1" t="n">
        <v>45801</v>
      </c>
      <c r="D53" t="inlineStr">
        <is>
          <t>VÄSTRA GÖTALANDS LÄN</t>
        </is>
      </c>
      <c r="E53" t="inlineStr">
        <is>
          <t>UDDEVALLA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19957-2019</t>
        </is>
      </c>
      <c r="B54" s="1" t="n">
        <v>43569</v>
      </c>
      <c r="C54" s="1" t="n">
        <v>45801</v>
      </c>
      <c r="D54" t="inlineStr">
        <is>
          <t>VÄSTRA GÖTALANDS LÄN</t>
        </is>
      </c>
      <c r="E54" t="inlineStr">
        <is>
          <t>UDDEVALLA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20624-2019</t>
        </is>
      </c>
      <c r="B55" s="1" t="n">
        <v>43572</v>
      </c>
      <c r="C55" s="1" t="n">
        <v>45801</v>
      </c>
      <c r="D55" t="inlineStr">
        <is>
          <t>VÄSTRA GÖTALANDS LÄN</t>
        </is>
      </c>
      <c r="E55" t="inlineStr">
        <is>
          <t>UDDEVALLA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20830-2019</t>
        </is>
      </c>
      <c r="B56" s="1" t="n">
        <v>43574</v>
      </c>
      <c r="C56" s="1" t="n">
        <v>45801</v>
      </c>
      <c r="D56" t="inlineStr">
        <is>
          <t>VÄSTRA GÖTALANDS LÄN</t>
        </is>
      </c>
      <c r="E56" t="inlineStr">
        <is>
          <t>UDDEVALLA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22967-2019</t>
        </is>
      </c>
      <c r="B57" s="1" t="n">
        <v>43591</v>
      </c>
      <c r="C57" s="1" t="n">
        <v>45801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22984-2019</t>
        </is>
      </c>
      <c r="B58" s="1" t="n">
        <v>43591</v>
      </c>
      <c r="C58" s="1" t="n">
        <v>45801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24026-2019</t>
        </is>
      </c>
      <c r="B59" s="1" t="n">
        <v>43598</v>
      </c>
      <c r="C59" s="1" t="n">
        <v>45801</v>
      </c>
      <c r="D59" t="inlineStr">
        <is>
          <t>VÄSTRA GÖTALANDS LÄN</t>
        </is>
      </c>
      <c r="E59" t="inlineStr">
        <is>
          <t>UDDEVALLA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24045-2019</t>
        </is>
      </c>
      <c r="B60" s="1" t="n">
        <v>43598</v>
      </c>
      <c r="C60" s="1" t="n">
        <v>45801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24050-2019</t>
        </is>
      </c>
      <c r="B61" s="1" t="n">
        <v>43598</v>
      </c>
      <c r="C61" s="1" t="n">
        <v>45801</v>
      </c>
      <c r="D61" t="inlineStr">
        <is>
          <t>VÄSTRA GÖTALANDS LÄN</t>
        </is>
      </c>
      <c r="E61" t="inlineStr">
        <is>
          <t>UDDEVALLA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24681-2019</t>
        </is>
      </c>
      <c r="B62" s="1" t="n">
        <v>43601</v>
      </c>
      <c r="C62" s="1" t="n">
        <v>45801</v>
      </c>
      <c r="D62" t="inlineStr">
        <is>
          <t>VÄSTRA GÖTALANDS LÄN</t>
        </is>
      </c>
      <c r="E62" t="inlineStr">
        <is>
          <t>UDDEVALLA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27286-2019</t>
        </is>
      </c>
      <c r="B63" s="1" t="n">
        <v>43616</v>
      </c>
      <c r="C63" s="1" t="n">
        <v>45801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27520-2019</t>
        </is>
      </c>
      <c r="B64" s="1" t="n">
        <v>43619</v>
      </c>
      <c r="C64" s="1" t="n">
        <v>45801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30852-2019</t>
        </is>
      </c>
      <c r="B65" s="1" t="n">
        <v>43636</v>
      </c>
      <c r="C65" s="1" t="n">
        <v>45801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31216-2019</t>
        </is>
      </c>
      <c r="B66" s="1" t="n">
        <v>43640</v>
      </c>
      <c r="C66" s="1" t="n">
        <v>45801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31199-2019</t>
        </is>
      </c>
      <c r="B67" s="1" t="n">
        <v>43640</v>
      </c>
      <c r="C67" s="1" t="n">
        <v>45801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33991-2019</t>
        </is>
      </c>
      <c r="B68" s="1" t="n">
        <v>43654</v>
      </c>
      <c r="C68" s="1" t="n">
        <v>45801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35809-2019</t>
        </is>
      </c>
      <c r="B69" s="1" t="n">
        <v>43665</v>
      </c>
      <c r="C69" s="1" t="n">
        <v>45801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35947-2019</t>
        </is>
      </c>
      <c r="B70" s="1" t="n">
        <v>43665</v>
      </c>
      <c r="C70" s="1" t="n">
        <v>45801</v>
      </c>
      <c r="D70" t="inlineStr">
        <is>
          <t>VÄSTRA GÖTALANDS LÄN</t>
        </is>
      </c>
      <c r="E70" t="inlineStr">
        <is>
          <t>UDDEVALLA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41634-2019</t>
        </is>
      </c>
      <c r="B71" s="1" t="n">
        <v>43696</v>
      </c>
      <c r="C71" s="1" t="n">
        <v>45801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40987-2019</t>
        </is>
      </c>
      <c r="B72" s="1" t="n">
        <v>43697</v>
      </c>
      <c r="C72" s="1" t="n">
        <v>45801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41966-2019</t>
        </is>
      </c>
      <c r="B73" s="1" t="n">
        <v>43700</v>
      </c>
      <c r="C73" s="1" t="n">
        <v>45801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45823-2019</t>
        </is>
      </c>
      <c r="B74" s="1" t="n">
        <v>43717</v>
      </c>
      <c r="C74" s="1" t="n">
        <v>45801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48341-2019</t>
        </is>
      </c>
      <c r="B75" s="1" t="n">
        <v>43726</v>
      </c>
      <c r="C75" s="1" t="n">
        <v>45801</v>
      </c>
      <c r="D75" t="inlineStr">
        <is>
          <t>VÄSTRA GÖTALANDS LÄN</t>
        </is>
      </c>
      <c r="E75" t="inlineStr">
        <is>
          <t>UDDEVALLA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49341-2019</t>
        </is>
      </c>
      <c r="B76" s="1" t="n">
        <v>43731</v>
      </c>
      <c r="C76" s="1" t="n">
        <v>45801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49929-2019</t>
        </is>
      </c>
      <c r="B77" s="1" t="n">
        <v>43733</v>
      </c>
      <c r="C77" s="1" t="n">
        <v>45801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49930-2019</t>
        </is>
      </c>
      <c r="B78" s="1" t="n">
        <v>43733</v>
      </c>
      <c r="C78" s="1" t="n">
        <v>45801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52198-2019</t>
        </is>
      </c>
      <c r="B79" s="1" t="n">
        <v>43735</v>
      </c>
      <c r="C79" s="1" t="n">
        <v>45801</v>
      </c>
      <c r="D79" t="inlineStr">
        <is>
          <t>VÄSTRA GÖTALANDS LÄN</t>
        </is>
      </c>
      <c r="E79" t="inlineStr">
        <is>
          <t>UDDEVALLA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55315-2019</t>
        </is>
      </c>
      <c r="B80" s="1" t="n">
        <v>43756</v>
      </c>
      <c r="C80" s="1" t="n">
        <v>45801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62953-2019</t>
        </is>
      </c>
      <c r="B81" s="1" t="n">
        <v>43790</v>
      </c>
      <c r="C81" s="1" t="n">
        <v>45801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63590-2019</t>
        </is>
      </c>
      <c r="B82" s="1" t="n">
        <v>43795</v>
      </c>
      <c r="C82" s="1" t="n">
        <v>45801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65732-2019</t>
        </is>
      </c>
      <c r="B83" s="1" t="n">
        <v>43804</v>
      </c>
      <c r="C83" s="1" t="n">
        <v>45801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66797-2019</t>
        </is>
      </c>
      <c r="B84" s="1" t="n">
        <v>43810</v>
      </c>
      <c r="C84" s="1" t="n">
        <v>45801</v>
      </c>
      <c r="D84" t="inlineStr">
        <is>
          <t>VÄSTRA GÖTALANDS LÄN</t>
        </is>
      </c>
      <c r="E84" t="inlineStr">
        <is>
          <t>UDDEVALLA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67349-2019</t>
        </is>
      </c>
      <c r="B85" s="1" t="n">
        <v>43812</v>
      </c>
      <c r="C85" s="1" t="n">
        <v>45801</v>
      </c>
      <c r="D85" t="inlineStr">
        <is>
          <t>VÄSTRA GÖTALANDS LÄN</t>
        </is>
      </c>
      <c r="E85" t="inlineStr">
        <is>
          <t>UDDEVALLA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67831-2019</t>
        </is>
      </c>
      <c r="B86" s="1" t="n">
        <v>43815</v>
      </c>
      <c r="C86" s="1" t="n">
        <v>45801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2145-2020</t>
        </is>
      </c>
      <c r="B87" s="1" t="n">
        <v>43846</v>
      </c>
      <c r="C87" s="1" t="n">
        <v>45801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2230-2020</t>
        </is>
      </c>
      <c r="B88" s="1" t="n">
        <v>43846</v>
      </c>
      <c r="C88" s="1" t="n">
        <v>45801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2245-2020</t>
        </is>
      </c>
      <c r="B89" s="1" t="n">
        <v>43846</v>
      </c>
      <c r="C89" s="1" t="n">
        <v>45801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3040-2020</t>
        </is>
      </c>
      <c r="B90" s="1" t="n">
        <v>43851</v>
      </c>
      <c r="C90" s="1" t="n">
        <v>45801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5862-2020</t>
        </is>
      </c>
      <c r="B91" s="1" t="n">
        <v>43864</v>
      </c>
      <c r="C91" s="1" t="n">
        <v>45801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6432-2020</t>
        </is>
      </c>
      <c r="B92" s="1" t="n">
        <v>43866</v>
      </c>
      <c r="C92" s="1" t="n">
        <v>45801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8857-2020</t>
        </is>
      </c>
      <c r="B93" s="1" t="n">
        <v>43878</v>
      </c>
      <c r="C93" s="1" t="n">
        <v>45801</v>
      </c>
      <c r="D93" t="inlineStr">
        <is>
          <t>VÄSTRA GÖTALANDS LÄN</t>
        </is>
      </c>
      <c r="E93" t="inlineStr">
        <is>
          <t>UDDEVALLA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10177-2020</t>
        </is>
      </c>
      <c r="B94" s="1" t="n">
        <v>43887</v>
      </c>
      <c r="C94" s="1" t="n">
        <v>45801</v>
      </c>
      <c r="D94" t="inlineStr">
        <is>
          <t>VÄSTRA GÖTALANDS LÄN</t>
        </is>
      </c>
      <c r="E94" t="inlineStr">
        <is>
          <t>UDDEVALLA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11319-2020</t>
        </is>
      </c>
      <c r="B95" s="1" t="n">
        <v>43892</v>
      </c>
      <c r="C95" s="1" t="n">
        <v>45801</v>
      </c>
      <c r="D95" t="inlineStr">
        <is>
          <t>VÄSTRA GÖTALANDS LÄN</t>
        </is>
      </c>
      <c r="E95" t="inlineStr">
        <is>
          <t>UDDEVALLA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12787-2020</t>
        </is>
      </c>
      <c r="B96" s="1" t="n">
        <v>43894</v>
      </c>
      <c r="C96" s="1" t="n">
        <v>45801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13993-2020</t>
        </is>
      </c>
      <c r="B97" s="1" t="n">
        <v>43899</v>
      </c>
      <c r="C97" s="1" t="n">
        <v>45801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13960-2020</t>
        </is>
      </c>
      <c r="B98" s="1" t="n">
        <v>43906</v>
      </c>
      <c r="C98" s="1" t="n">
        <v>45801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14297-2020</t>
        </is>
      </c>
      <c r="B99" s="1" t="n">
        <v>43907</v>
      </c>
      <c r="C99" s="1" t="n">
        <v>45801</v>
      </c>
      <c r="D99" t="inlineStr">
        <is>
          <t>VÄSTRA GÖTALANDS LÄN</t>
        </is>
      </c>
      <c r="E99" t="inlineStr">
        <is>
          <t>UDDEVALLA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17770-2020</t>
        </is>
      </c>
      <c r="B100" s="1" t="n">
        <v>43924</v>
      </c>
      <c r="C100" s="1" t="n">
        <v>45801</v>
      </c>
      <c r="D100" t="inlineStr">
        <is>
          <t>VÄSTRA GÖTALANDS LÄN</t>
        </is>
      </c>
      <c r="E100" t="inlineStr">
        <is>
          <t>UDDEVALLA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18410-2020</t>
        </is>
      </c>
      <c r="B101" s="1" t="n">
        <v>43928</v>
      </c>
      <c r="C101" s="1" t="n">
        <v>45801</v>
      </c>
      <c r="D101" t="inlineStr">
        <is>
          <t>VÄSTRA GÖTALANDS LÄN</t>
        </is>
      </c>
      <c r="E101" t="inlineStr">
        <is>
          <t>UDDEVALLA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21281-2020</t>
        </is>
      </c>
      <c r="B102" s="1" t="n">
        <v>43955</v>
      </c>
      <c r="C102" s="1" t="n">
        <v>45801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27477-2020</t>
        </is>
      </c>
      <c r="B103" s="1" t="n">
        <v>43991</v>
      </c>
      <c r="C103" s="1" t="n">
        <v>45801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28258-2020</t>
        </is>
      </c>
      <c r="B104" s="1" t="n">
        <v>43998</v>
      </c>
      <c r="C104" s="1" t="n">
        <v>45801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45801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45801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45801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45801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45801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45801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45801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45801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45801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45801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45801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45801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45801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45801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45801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45801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45801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45801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45801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45801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45801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45801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45801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45801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45801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45801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45801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45801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45801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45801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45801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45801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45801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45801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45801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45801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45801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45801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45801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45801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45801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45801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45801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45801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45801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45801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45801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45801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45801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45801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45801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45801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45801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45801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45801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45801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45801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45801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45801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45801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45801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45801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45801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45801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45801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45801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45801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45801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45801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45801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45801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45801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45801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45801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45801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45801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45801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45801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45801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45801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45801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45801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45801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45801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45801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45801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45801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45801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45801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45801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45801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45801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45801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45801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45801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45801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45801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45801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45801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45801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45801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45801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45801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45801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45801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45801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45801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45801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45801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45801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45801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45801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45801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45801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45801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45801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45801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45801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45801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45801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45801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45801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45801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45801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45801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45801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45801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45801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45801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45801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45801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45801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45801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45801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45801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45801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45801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45801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45801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45801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45801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45801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45801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45801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45801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45801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45801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45801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45801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45801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45801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45801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45801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45801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45801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45801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45801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45801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45801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45801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45801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45801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45801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45801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45801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45801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45801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45801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45801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45801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45801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45801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45801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45801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45801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45801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45801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45801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45801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45801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45801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45801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45801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45801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45801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45801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45801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45801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45801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45801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45801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45801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45801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45801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45801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45801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45801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45801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45801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45801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45801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45801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45801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45801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45801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45801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45801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45801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45801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45801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45801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45801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45801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45801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45801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45801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45801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45801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45801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45801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45801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45801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45801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45801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45801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45801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45801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45801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45801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45801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45801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45801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45801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45801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45801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45801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45801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45801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45801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45801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45801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45801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45801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45801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45801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45801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45801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45801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45801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45801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45801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45801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45801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45801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45801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45801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45801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45801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45801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45801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45801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45801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45801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45801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45801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45801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45801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45801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45801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45801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45801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45801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45801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45801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45801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45801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45801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45801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45801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45801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45801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45801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45801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45801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45801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45801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45801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45801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45801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45801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45801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45801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45801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45801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45801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45801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45801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45801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45801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45801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45801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45801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45801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45801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45801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45801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45801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45801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45801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45801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45801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45801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45801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45801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45801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45801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45801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45801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45801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45801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45801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45801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45801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45801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45801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45801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45801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45801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45801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45801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45801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45801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45801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45801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45801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45801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45801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45801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45801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45801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45801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45801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45801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45801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45801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45801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45801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45801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45801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45801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45801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45801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45801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45801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45801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45801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45801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45801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45801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45801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45801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45801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45801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45801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45801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45801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45801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45801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45801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45801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21567-2025</t>
        </is>
      </c>
      <c r="B575" s="1" t="n">
        <v>45782</v>
      </c>
      <c r="C575" s="1" t="n">
        <v>45801</v>
      </c>
      <c r="D575" t="inlineStr">
        <is>
          <t>VÄSTRA GÖTALANDS LÄN</t>
        </is>
      </c>
      <c r="E575" t="inlineStr">
        <is>
          <t>UDDEVALLA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21469-2025</t>
        </is>
      </c>
      <c r="B576" s="1" t="n">
        <v>45782</v>
      </c>
      <c r="C576" s="1" t="n">
        <v>45801</v>
      </c>
      <c r="D576" t="inlineStr">
        <is>
          <t>VÄSTRA GÖTALANDS LÄN</t>
        </is>
      </c>
      <c r="E576" t="inlineStr">
        <is>
          <t>UDDEVALLA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45801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45801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2025-05-24T18:23:45Z</dcterms:created>
  <dcterms:modified xmlns:dcterms="http://purl.org/dc/terms/" xmlns:xsi="http://www.w3.org/2001/XMLSchema-instance" xsi:type="dcterms:W3CDTF">2025-05-24T18:23:45Z</dcterms:modified>
</cp:coreProperties>
</file>