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46297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46297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46297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46297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46297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46297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46297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46297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46297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46297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46297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46297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46297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46297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46297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46297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46297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46297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46297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46297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17995-2026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46124</v>
      </c>
      <c r="E22" s="1" t="n">
        <v>46297</v>
      </c>
      <c r="F22" t="inlineStr">
        <is>
          <t>VÄSTRA GÖTALANDS LÄN</t>
        </is>
      </c>
      <c r="G22" t="inlineStr">
        <is>
          <t>UDDEVALLA</t>
        </is>
      </c>
      <c r="I22" t="n">
        <v>3.8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Spillkråka
Revlummer</t>
        </is>
      </c>
      <c r="W22">
        <f>HYPERLINK("https://klasma.github.io/Logging_1485/artfynd/A 17995-2026 artfynd.xlsx", "A 17995-2026")</f>
        <v/>
      </c>
      <c r="X22">
        <f>HYPERLINK("https://klasma.github.io/Logging_1485/kartor/A 17995-2026 karta.png", "A 17995-2026")</f>
        <v/>
      </c>
      <c r="Y22">
        <f>HYPERLINK("https://klasma.github.io/Logging_1485/kartor_geotiff/A 17995-2026 georefererad karta.tif", "A 17995-2026")</f>
        <v/>
      </c>
      <c r="AA22">
        <f>HYPERLINK("https://klasma.github.io/Logging_1485/klagomål/A 17995-2026 FSC-klagomål.docx", "A 17995-2026")</f>
        <v/>
      </c>
      <c r="AB22">
        <f>HYPERLINK("https://klasma.github.io/Logging_1485/klagomålsmail/A 17995-2026 FSC-klagomål mail.docx", "A 17995-2026")</f>
        <v/>
      </c>
      <c r="AC22">
        <f>HYPERLINK("https://klasma.github.io/Logging_1485/tillsyn/A 17995-2026 tillsynsbegäran.docx", "A 17995-2026")</f>
        <v/>
      </c>
      <c r="AD22">
        <f>HYPERLINK("https://klasma.github.io/Logging_1485/tillsynsmail/A 17995-2026 tillsynsbegäran mail.docx", "A 17995-2026")</f>
        <v/>
      </c>
      <c r="AE22">
        <f>HYPERLINK("https://klasma.github.io/Logging_1485/fåglar/A 17995-2026 prioriterade fågelarter.docx", "A 17995-2026")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46297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46297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46297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34390-2026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46297</v>
      </c>
      <c r="F26" t="inlineStr">
        <is>
          <t>VÄSTRA GÖTALANDS LÄN</t>
        </is>
      </c>
      <c r="G26" t="inlineStr">
        <is>
          <t>UDDEVALLA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Större träfjäril</t>
        </is>
      </c>
      <c r="W26">
        <f>HYPERLINK("https://klasma.github.io/Logging_1485/artfynd/A 34390-2026 artfynd.xlsx", "A 34390-2026")</f>
        <v/>
      </c>
      <c r="X26">
        <f>HYPERLINK("https://klasma.github.io/Logging_1485/kartor/A 34390-2026 karta.png", "A 34390-2026")</f>
        <v/>
      </c>
      <c r="Y26">
        <f>HYPERLINK("https://klasma.github.io/Logging_1485/kartor_geotiff/A 34390-2026 georefererad karta.tif", "A 34390-2026")</f>
        <v/>
      </c>
      <c r="AA26">
        <f>HYPERLINK("https://klasma.github.io/Logging_1485/klagomål/A 34390-2026 FSC-klagomål.docx", "A 34390-2026")</f>
        <v/>
      </c>
      <c r="AB26">
        <f>HYPERLINK("https://klasma.github.io/Logging_1485/klagomålsmail/A 34390-2026 FSC-klagomål mail.docx", "A 34390-2026")</f>
        <v/>
      </c>
      <c r="AC26">
        <f>HYPERLINK("https://klasma.github.io/Logging_1485/tillsyn/A 34390-2026 tillsynsbegäran.docx", "A 34390-2026")</f>
        <v/>
      </c>
      <c r="AD26">
        <f>HYPERLINK("https://klasma.github.io/Logging_1485/tillsynsmail/A 34390-2026 tillsynsbegäran mail.docx", "A 34390-2026")</f>
        <v/>
      </c>
      <c r="AE26">
        <f>HYPERLINK("https://klasma.github.io/Logging_1485/fåglar/A 34390-2026 prioriterade fågelarter.docx", "A 34390-2026")</f>
        <v/>
      </c>
    </row>
    <row r="27" ht="15" customHeight="1">
      <c r="A27" t="inlineStr">
        <is>
          <t>A 36880-2026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46273</v>
      </c>
      <c r="E27" s="1" t="n">
        <v>46297</v>
      </c>
      <c r="F27" t="inlineStr">
        <is>
          <t>VÄSTRA GÖTALANDS LÄN</t>
        </is>
      </c>
      <c r="G27" t="inlineStr">
        <is>
          <t>UDDEVALLA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Luddfingersvamp
Brandticka</t>
        </is>
      </c>
      <c r="W27">
        <f>HYPERLINK("https://klasma.github.io/Logging_1485/artfynd/A 36880-2026 artfynd.xlsx", "A 36880-2026")</f>
        <v/>
      </c>
      <c r="X27">
        <f>HYPERLINK("https://klasma.github.io/Logging_1485/kartor/A 36880-2026 karta.png", "A 36880-2026")</f>
        <v/>
      </c>
      <c r="Y27">
        <f>HYPERLINK("https://klasma.github.io/Logging_1485/kartor_geotiff/A 36880-2026 georefererad karta.tif", "A 36880-2026")</f>
        <v/>
      </c>
      <c r="AA27">
        <f>HYPERLINK("https://klasma.github.io/Logging_1485/klagomål/A 36880-2026 FSC-klagomål.docx", "A 36880-2026")</f>
        <v/>
      </c>
      <c r="AB27">
        <f>HYPERLINK("https://klasma.github.io/Logging_1485/klagomålsmail/A 36880-2026 FSC-klagomål mail.docx", "A 36880-2026")</f>
        <v/>
      </c>
      <c r="AC27">
        <f>HYPERLINK("https://klasma.github.io/Logging_1485/tillsyn/A 36880-2026 tillsynsbegäran.docx", "A 36880-2026")</f>
        <v/>
      </c>
      <c r="AD27">
        <f>HYPERLINK("https://klasma.github.io/Logging_1485/tillsynsmail/A 36880-2026 tillsynsbegäran mail.docx", "A 36880-2026")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46297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46297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45653</v>
      </c>
      <c r="E30" s="1" t="n">
        <v>46297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Brunpudrad nållav
Blåmossa</t>
        </is>
      </c>
      <c r="W30">
        <f>HYPERLINK("https://klasma.github.io/Logging_1485/artfynd/A 266-2025 artfynd.xlsx", "A 266-2025")</f>
        <v/>
      </c>
      <c r="X30">
        <f>HYPERLINK("https://klasma.github.io/Logging_1485/kartor/A 266-2025 karta.png", "A 266-2025")</f>
        <v/>
      </c>
      <c r="Y30">
        <f>HYPERLINK("https://klasma.github.io/Logging_1485/kartor_geotiff/A 266-2025 georefererad karta.tif", "A 266-2025")</f>
        <v/>
      </c>
      <c r="AA30">
        <f>HYPERLINK("https://klasma.github.io/Logging_1485/klagomål/A 266-2025 FSC-klagomål.docx", "A 266-2025")</f>
        <v/>
      </c>
      <c r="AB30">
        <f>HYPERLINK("https://klasma.github.io/Logging_1485/klagomålsmail/A 266-2025 FSC-klagomål mail.docx", "A 266-2025")</f>
        <v/>
      </c>
      <c r="AC30">
        <f>HYPERLINK("https://klasma.github.io/Logging_1485/tillsyn/A 266-2025 tillsynsbegäran.docx", "A 266-2025")</f>
        <v/>
      </c>
      <c r="AD30">
        <f>HYPERLINK("https://klasma.github.io/Logging_1485/tillsynsmail/A 266-2025 tillsynsbegäran mail.docx", "A 266-2025")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46297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46297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46297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46297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46297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46297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46297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46297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50274-2024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46297</v>
      </c>
      <c r="F39" t="inlineStr">
        <is>
          <t>VÄSTRA GÖTALANDS LÄN</t>
        </is>
      </c>
      <c r="G39" t="inlineStr">
        <is>
          <t>UDDEVALLA</t>
        </is>
      </c>
      <c r="I39" t="n">
        <v>20.1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Grönsångare</t>
        </is>
      </c>
      <c r="W39">
        <f>HYPERLINK("https://klasma.github.io/Logging_1485/artfynd/A 50274-2024 artfynd.xlsx", "A 50274-2024")</f>
        <v/>
      </c>
      <c r="X39">
        <f>HYPERLINK("https://klasma.github.io/Logging_1485/kartor/A 50274-2024 karta.png", "A 50274-2024")</f>
        <v/>
      </c>
      <c r="Y39">
        <f>HYPERLINK("https://klasma.github.io/Logging_1485/kartor_geotiff/A 50274-2024 georefererad karta.tif", "A 50274-2024")</f>
        <v/>
      </c>
      <c r="AA39">
        <f>HYPERLINK("https://klasma.github.io/Logging_1485/klagomål/A 50274-2024 FSC-klagomål.docx", "A 50274-2024")</f>
        <v/>
      </c>
      <c r="AB39">
        <f>HYPERLINK("https://klasma.github.io/Logging_1485/klagomålsmail/A 50274-2024 FSC-klagomål mail.docx", "A 50274-2024")</f>
        <v/>
      </c>
      <c r="AC39">
        <f>HYPERLINK("https://klasma.github.io/Logging_1485/tillsyn/A 50274-2024 tillsynsbegäran.docx", "A 50274-2024")</f>
        <v/>
      </c>
      <c r="AD39">
        <f>HYPERLINK("https://klasma.github.io/Logging_1485/tillsynsmail/A 50274-2024 tillsynsbegäran mail.docx", "A 50274-2024")</f>
        <v/>
      </c>
      <c r="AE39">
        <f>HYPERLINK("https://klasma.github.io/Logging_1485/fåglar/A 50274-2024 prioriterade fågelarter.docx", "A 50274-2024")</f>
        <v/>
      </c>
    </row>
    <row r="40" ht="15" customHeight="1">
      <c r="A40" t="inlineStr">
        <is>
          <t>A 30954-2025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46297</v>
      </c>
      <c r="F40" t="inlineStr">
        <is>
          <t>VÄSTRA GÖTALANDS LÄN</t>
        </is>
      </c>
      <c r="G40" t="inlineStr">
        <is>
          <t>UDDEVALLA</t>
        </is>
      </c>
      <c r="I40" t="n">
        <v>11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HYPERLINK("https://klasma.github.io/Logging_1485/artfynd/A 30954-2025 artfynd.xlsx", "A 30954-2025")</f>
        <v/>
      </c>
      <c r="X40">
        <f>HYPERLINK("https://klasma.github.io/Logging_1485/kartor/A 30954-2025 karta.png", "A 30954-2025")</f>
        <v/>
      </c>
      <c r="Y40">
        <f>HYPERLINK("https://klasma.github.io/Logging_1485/kartor_geotiff/A 30954-2025 georefererad karta.tif", "A 30954-2025")</f>
        <v/>
      </c>
      <c r="AA40">
        <f>HYPERLINK("https://klasma.github.io/Logging_1485/klagomål/A 30954-2025 FSC-klagomål.docx", "A 30954-2025")</f>
        <v/>
      </c>
      <c r="AB40">
        <f>HYPERLINK("https://klasma.github.io/Logging_1485/klagomålsmail/A 30954-2025 FSC-klagomål mail.docx", "A 30954-2025")</f>
        <v/>
      </c>
      <c r="AC40">
        <f>HYPERLINK("https://klasma.github.io/Logging_1485/tillsyn/A 30954-2025 tillsynsbegäran.docx", "A 30954-2025")</f>
        <v/>
      </c>
      <c r="AD40">
        <f>HYPERLINK("https://klasma.github.io/Logging_1485/tillsynsmail/A 30954-2025 tillsynsbegäran mail.docx", "A 30954-2025")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46297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46297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46297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46297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46297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46297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46297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39966-2026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46292</v>
      </c>
      <c r="E48" s="1" t="n">
        <v>46297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HYPERLINK("https://klasma.github.io/Logging_1485/artfynd/A 39966-2026 artfynd.xlsx", "A 39966-2026")</f>
        <v/>
      </c>
      <c r="X48">
        <f>HYPERLINK("https://klasma.github.io/Logging_1485/kartor/A 39966-2026 karta.png", "A 39966-2026")</f>
        <v/>
      </c>
      <c r="Y48">
        <f>HYPERLINK("https://klasma.github.io/Logging_1485/kartor_geotiff/A 39966-2026 georefererad karta.tif", "A 39966-2026")</f>
        <v/>
      </c>
      <c r="AA48">
        <f>HYPERLINK("https://klasma.github.io/Logging_1485/klagomål/A 39966-2026 FSC-klagomål.docx", "A 39966-2026")</f>
        <v/>
      </c>
      <c r="AB48">
        <f>HYPERLINK("https://klasma.github.io/Logging_1485/klagomålsmail/A 39966-2026 FSC-klagomål mail.docx", "A 39966-2026")</f>
        <v/>
      </c>
      <c r="AC48">
        <f>HYPERLINK("https://klasma.github.io/Logging_1485/tillsyn/A 39966-2026 tillsynsbegäran.docx", "A 39966-2026")</f>
        <v/>
      </c>
      <c r="AD48">
        <f>HYPERLINK("https://klasma.github.io/Logging_1485/tillsynsmail/A 39966-2026 tillsynsbegäran mail.docx", "A 39966-2026")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46297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A 236-2023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46297</v>
      </c>
      <c r="F50" t="inlineStr">
        <is>
          <t>VÄSTRA GÖTALANDS LÄN</t>
        </is>
      </c>
      <c r="G50" t="inlineStr">
        <is>
          <t>UDDEVALLA</t>
        </is>
      </c>
      <c r="I50" t="n">
        <v>16.7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Rödgul trumpetsvamp</t>
        </is>
      </c>
      <c r="W50">
        <f>HYPERLINK("https://klasma.github.io/Logging_1485/artfynd/A 236-2023 artfynd.xlsx", "A 236-2023")</f>
        <v/>
      </c>
      <c r="X50">
        <f>HYPERLINK("https://klasma.github.io/Logging_1485/kartor/A 236-2023 karta.png", "A 236-2023")</f>
        <v/>
      </c>
      <c r="Y50">
        <f>HYPERLINK("https://klasma.github.io/Logging_1485/kartor_geotiff/A 236-2023 georefererad karta.tif", "A 236-2023")</f>
        <v/>
      </c>
      <c r="AA50">
        <f>HYPERLINK("https://klasma.github.io/Logging_1485/klagomål/A 236-2023 FSC-klagomål.docx", "A 236-2023")</f>
        <v/>
      </c>
      <c r="AB50">
        <f>HYPERLINK("https://klasma.github.io/Logging_1485/klagomålsmail/A 236-2023 FSC-klagomål mail.docx", "A 236-2023")</f>
        <v/>
      </c>
      <c r="AC50">
        <f>HYPERLINK("https://klasma.github.io/Logging_1485/tillsyn/A 236-2023 tillsynsbegäran.docx", "A 236-2023")</f>
        <v/>
      </c>
      <c r="AD50">
        <f>HYPERLINK("https://klasma.github.io/Logging_1485/tillsynsmail/A 236-2023 tillsynsbegäran mail.docx", "A 236-2023")</f>
        <v/>
      </c>
    </row>
    <row r="51" ht="15" customHeight="1">
      <c r="A51" t="inlineStr">
        <is>
          <t>A 23401-2023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46297</v>
      </c>
      <c r="F51" t="inlineStr">
        <is>
          <t>VÄSTRA GÖTALANDS LÄN</t>
        </is>
      </c>
      <c r="G51" t="inlineStr">
        <is>
          <t>UDDEVALLA</t>
        </is>
      </c>
      <c r="I51" t="n">
        <v>3.3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HYPERLINK("https://klasma.github.io/Logging_1485/artfynd/A 23401-2023 artfynd.xlsx", "A 23401-2023")</f>
        <v/>
      </c>
      <c r="X51">
        <f>HYPERLINK("https://klasma.github.io/Logging_1485/kartor/A 23401-2023 karta.png", "A 23401-2023")</f>
        <v/>
      </c>
      <c r="Y51">
        <f>HYPERLINK("https://klasma.github.io/Logging_1485/kartor_geotiff/A 23401-2023 georefererad karta.tif", "A 23401-2023")</f>
        <v/>
      </c>
      <c r="AA51">
        <f>HYPERLINK("https://klasma.github.io/Logging_1485/klagomål/A 23401-2023 FSC-klagomål.docx", "A 23401-2023")</f>
        <v/>
      </c>
      <c r="AB51">
        <f>HYPERLINK("https://klasma.github.io/Logging_1485/klagomålsmail/A 23401-2023 FSC-klagomål mail.docx", "A 23401-2023")</f>
        <v/>
      </c>
      <c r="AC51">
        <f>HYPERLINK("https://klasma.github.io/Logging_1485/tillsyn/A 23401-2023 tillsynsbegäran.docx", "A 23401-2023")</f>
        <v/>
      </c>
      <c r="AD51">
        <f>HYPERLINK("https://klasma.github.io/Logging_1485/tillsynsmail/A 23401-2023 tillsynsbegäran mail.docx", "A 23401-2023")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46297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46297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46297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46297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46297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46297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46297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46297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46297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46297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46297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46297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46297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46297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46297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46297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46297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46297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46297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46297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46297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46297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46297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45374</v>
      </c>
      <c r="E75" s="1" t="n">
        <v>46297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46297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46297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46297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44794</v>
      </c>
      <c r="E79" s="1" t="n">
        <v>46297</v>
      </c>
      <c r="F79" t="inlineStr">
        <is>
          <t>VÄSTRA GÖTALANDS LÄN</t>
        </is>
      </c>
      <c r="G79" t="inlineStr">
        <is>
          <t>UDDEVALLA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46297</v>
      </c>
      <c r="F80" t="inlineStr">
        <is>
          <t>VÄSTRA GÖTALANDS LÄN</t>
        </is>
      </c>
      <c r="G80" t="inlineStr">
        <is>
          <t>UDDEVALLA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46297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14066-2025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46297</v>
      </c>
      <c r="F82" t="inlineStr">
        <is>
          <t>VÄSTRA GÖTALANDS LÄN</t>
        </is>
      </c>
      <c r="G82" t="inlineStr">
        <is>
          <t>UDDEVALLA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46297</v>
      </c>
      <c r="F83" t="inlineStr">
        <is>
          <t>VÄSTRA GÖTALANDS LÄN</t>
        </is>
      </c>
      <c r="G83" t="inlineStr">
        <is>
          <t>UDDEVALLA</t>
        </is>
      </c>
      <c r="I83" t="n">
        <v>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46297</v>
      </c>
      <c r="F84" t="inlineStr">
        <is>
          <t>VÄSTRA GÖTALANDS LÄN</t>
        </is>
      </c>
      <c r="G84" t="inlineStr">
        <is>
          <t>UDDEVALLA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46026</v>
      </c>
      <c r="E85" s="1" t="n">
        <v>46297</v>
      </c>
      <c r="F85" t="inlineStr">
        <is>
          <t>VÄSTRA GÖTALANDS LÄN</t>
        </is>
      </c>
      <c r="G85" t="inlineStr">
        <is>
          <t>UDDEVALLA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46297</v>
      </c>
      <c r="F86" t="inlineStr">
        <is>
          <t>VÄSTRA GÖTALANDS LÄN</t>
        </is>
      </c>
      <c r="G86" t="inlineStr">
        <is>
          <t>UDDEVALLA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46297</v>
      </c>
      <c r="F87" t="inlineStr">
        <is>
          <t>VÄSTRA GÖTALANDS LÄN</t>
        </is>
      </c>
      <c r="G87" t="inlineStr">
        <is>
          <t>UDDEVALLA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46297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46297</v>
      </c>
      <c r="F89" t="inlineStr">
        <is>
          <t>VÄSTRA GÖTALANDS LÄN</t>
        </is>
      </c>
      <c r="G89" t="inlineStr">
        <is>
          <t>UDDEVALLA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46297</v>
      </c>
      <c r="F90" t="inlineStr">
        <is>
          <t>VÄSTRA GÖTALANDS LÄN</t>
        </is>
      </c>
      <c r="G90" t="inlineStr">
        <is>
          <t>UDDEVALLA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46297</v>
      </c>
      <c r="F91" t="inlineStr">
        <is>
          <t>VÄSTRA GÖTALANDS LÄN</t>
        </is>
      </c>
      <c r="G91" t="inlineStr">
        <is>
          <t>UDDEVALLA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46297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46297</v>
      </c>
      <c r="F93" t="inlineStr">
        <is>
          <t>VÄSTRA GÖTALANDS LÄN</t>
        </is>
      </c>
      <c r="G93" t="inlineStr">
        <is>
          <t>UDDEVALLA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46297</v>
      </c>
      <c r="F94" t="inlineStr">
        <is>
          <t>VÄSTRA GÖTALANDS LÄN</t>
        </is>
      </c>
      <c r="G94" t="inlineStr">
        <is>
          <t>UDDEVALLA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46297</v>
      </c>
      <c r="F95" t="inlineStr">
        <is>
          <t>VÄSTRA GÖTALANDS LÄN</t>
        </is>
      </c>
      <c r="G95" t="inlineStr">
        <is>
          <t>UDDEVALLA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45484</v>
      </c>
      <c r="E96" s="1" t="n">
        <v>46297</v>
      </c>
      <c r="F96" t="inlineStr">
        <is>
          <t>VÄSTRA GÖTALANDS LÄN</t>
        </is>
      </c>
      <c r="G96" t="inlineStr">
        <is>
          <t>UDDEVALLA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46297</v>
      </c>
      <c r="F97" t="inlineStr">
        <is>
          <t>VÄSTRA GÖTALANDS LÄN</t>
        </is>
      </c>
      <c r="G97" t="inlineStr">
        <is>
          <t>UDDEVALLA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46297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46297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46297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46297</v>
      </c>
      <c r="F101" t="inlineStr">
        <is>
          <t>VÄSTRA GÖTALANDS LÄN</t>
        </is>
      </c>
      <c r="G101" t="inlineStr">
        <is>
          <t>UDDEVALLA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46297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45638</v>
      </c>
      <c r="E103" s="1" t="n">
        <v>46297</v>
      </c>
      <c r="F103" t="inlineStr">
        <is>
          <t>VÄSTRA GÖTALANDS LÄN</t>
        </is>
      </c>
      <c r="G103" t="inlineStr">
        <is>
          <t>UDDEVALLA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46297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46297</v>
      </c>
      <c r="F105" t="inlineStr">
        <is>
          <t>VÄSTRA GÖTALANDS LÄN</t>
        </is>
      </c>
      <c r="G105" t="inlineStr">
        <is>
          <t>UDDEVALLA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45517</v>
      </c>
      <c r="E106" s="1" t="n">
        <v>46297</v>
      </c>
      <c r="F106" t="inlineStr">
        <is>
          <t>VÄSTRA GÖTALANDS LÄN</t>
        </is>
      </c>
      <c r="G106" t="inlineStr">
        <is>
          <t>UDDEVALLA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46297</v>
      </c>
      <c r="F107" t="inlineStr">
        <is>
          <t>VÄSTRA GÖTALANDS LÄN</t>
        </is>
      </c>
      <c r="G107" t="inlineStr">
        <is>
          <t>UDDEVALLA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46297</v>
      </c>
      <c r="F108" t="inlineStr">
        <is>
          <t>VÄSTRA GÖTALANDS LÄN</t>
        </is>
      </c>
      <c r="G108" t="inlineStr">
        <is>
          <t>UDDEVALLA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45914</v>
      </c>
      <c r="E109" s="1" t="n">
        <v>46297</v>
      </c>
      <c r="F109" t="inlineStr">
        <is>
          <t>VÄSTRA GÖTALANDS LÄN</t>
        </is>
      </c>
      <c r="G109" t="inlineStr">
        <is>
          <t>UDDEVALLA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45914</v>
      </c>
      <c r="E110" s="1" t="n">
        <v>46297</v>
      </c>
      <c r="F110" t="inlineStr">
        <is>
          <t>VÄSTRA GÖTALANDS LÄN</t>
        </is>
      </c>
      <c r="G110" t="inlineStr">
        <is>
          <t>UDDEVALLA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45097</v>
      </c>
      <c r="E111" s="1" t="n">
        <v>46297</v>
      </c>
      <c r="F111" t="inlineStr">
        <is>
          <t>VÄSTRA GÖTALANDS LÄN</t>
        </is>
      </c>
      <c r="G111" t="inlineStr">
        <is>
          <t>UDDEVALLA</t>
        </is>
      </c>
      <c r="I111" t="n">
        <v>9.699999999999999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46297</v>
      </c>
      <c r="F112" t="inlineStr">
        <is>
          <t>VÄSTRA GÖTALANDS LÄN</t>
        </is>
      </c>
      <c r="G112" t="inlineStr">
        <is>
          <t>UDDEVALLA</t>
        </is>
      </c>
      <c r="I112" t="n">
        <v>19.4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46297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46297</v>
      </c>
      <c r="F114" t="inlineStr">
        <is>
          <t>VÄSTRA GÖTALANDS LÄN</t>
        </is>
      </c>
      <c r="G114" t="inlineStr">
        <is>
          <t>UDDEVALLA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46297</v>
      </c>
      <c r="F115" t="inlineStr">
        <is>
          <t>VÄSTRA GÖTALANDS LÄN</t>
        </is>
      </c>
      <c r="G115" t="inlineStr">
        <is>
          <t>UDDEVALLA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46297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10436-2026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46076</v>
      </c>
      <c r="E117" s="1" t="n">
        <v>46297</v>
      </c>
      <c r="F117" t="inlineStr">
        <is>
          <t>VÄSTRA GÖTALANDS LÄN</t>
        </is>
      </c>
      <c r="G117" t="inlineStr">
        <is>
          <t>UDDEVALLA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46297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46297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46297</v>
      </c>
      <c r="F120" t="inlineStr">
        <is>
          <t>VÄSTRA GÖTALANDS LÄN</t>
        </is>
      </c>
      <c r="G120" t="inlineStr">
        <is>
          <t>UDDEVALLA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46297</v>
      </c>
      <c r="F121" t="inlineStr">
        <is>
          <t>VÄSTRA GÖTALANDS LÄN</t>
        </is>
      </c>
      <c r="G121" t="inlineStr">
        <is>
          <t>UDDEVALLA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46297</v>
      </c>
      <c r="F122" t="inlineStr">
        <is>
          <t>VÄSTRA GÖTALANDS LÄN</t>
        </is>
      </c>
      <c r="G122" t="inlineStr">
        <is>
          <t>UDDEVALLA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46297</v>
      </c>
      <c r="F123" t="inlineStr">
        <is>
          <t>VÄSTRA GÖTALANDS LÄN</t>
        </is>
      </c>
      <c r="G123" t="inlineStr">
        <is>
          <t>UDDEVALLA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46297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60241-2024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45642</v>
      </c>
      <c r="E125" s="1" t="n">
        <v>46297</v>
      </c>
      <c r="F125" t="inlineStr">
        <is>
          <t>VÄSTRA GÖTALANDS LÄN</t>
        </is>
      </c>
      <c r="G125" t="inlineStr">
        <is>
          <t>UDDEVALLA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46297</v>
      </c>
      <c r="F126" t="inlineStr">
        <is>
          <t>VÄSTRA GÖTALANDS LÄN</t>
        </is>
      </c>
      <c r="G126" t="inlineStr">
        <is>
          <t>UDDEVALLA</t>
        </is>
      </c>
      <c r="H126" t="inlineStr">
        <is>
          <t>Kommuner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45470</v>
      </c>
      <c r="E127" s="1" t="n">
        <v>46297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45656</v>
      </c>
      <c r="E128" s="1" t="n">
        <v>46297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Kommuner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46297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46297</v>
      </c>
      <c r="F130" t="inlineStr">
        <is>
          <t>VÄSTRA GÖTALANDS LÄN</t>
        </is>
      </c>
      <c r="G130" t="inlineStr">
        <is>
          <t>UDDEVALLA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46297</v>
      </c>
      <c r="F131" t="inlineStr">
        <is>
          <t>VÄSTRA GÖTALANDS LÄN</t>
        </is>
      </c>
      <c r="G131" t="inlineStr">
        <is>
          <t>UDDEVALLA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46297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46297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46297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46297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46297</v>
      </c>
      <c r="F136" t="inlineStr">
        <is>
          <t>VÄSTRA GÖTALANDS LÄN</t>
        </is>
      </c>
      <c r="G136" t="inlineStr">
        <is>
          <t>UDDEVALLA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46297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45971</v>
      </c>
      <c r="E138" s="1" t="n">
        <v>46297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Kyrkan</t>
        </is>
      </c>
      <c r="I138" t="n">
        <v>16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46297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Kyrkan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46297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45540</v>
      </c>
      <c r="E141" s="1" t="n">
        <v>46297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46297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46297</v>
      </c>
      <c r="F143" t="inlineStr">
        <is>
          <t>VÄSTRA GÖTALANDS LÄN</t>
        </is>
      </c>
      <c r="G143" t="inlineStr">
        <is>
          <t>UDDEVALLA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45197</v>
      </c>
      <c r="E144" s="1" t="n">
        <v>46297</v>
      </c>
      <c r="F144" t="inlineStr">
        <is>
          <t>VÄSTRA GÖTALANDS LÄN</t>
        </is>
      </c>
      <c r="G144" t="inlineStr">
        <is>
          <t>UDDEVALLA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46297</v>
      </c>
      <c r="F145" t="inlineStr">
        <is>
          <t>VÄSTRA GÖTALANDS LÄN</t>
        </is>
      </c>
      <c r="G145" t="inlineStr">
        <is>
          <t>UDDEVALLA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4639-2022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44592</v>
      </c>
      <c r="E146" s="1" t="n">
        <v>46297</v>
      </c>
      <c r="F146" t="inlineStr">
        <is>
          <t>VÄSTRA GÖTALANDS LÄN</t>
        </is>
      </c>
      <c r="G146" t="inlineStr">
        <is>
          <t>UDDEVALLA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46297</v>
      </c>
      <c r="F147" t="inlineStr">
        <is>
          <t>VÄSTRA GÖTALANDS LÄN</t>
        </is>
      </c>
      <c r="G147" t="inlineStr">
        <is>
          <t>UDDEVALLA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45633</v>
      </c>
      <c r="E148" s="1" t="n">
        <v>46297</v>
      </c>
      <c r="F148" t="inlineStr">
        <is>
          <t>VÄSTRA GÖTALANDS LÄN</t>
        </is>
      </c>
      <c r="G148" t="inlineStr">
        <is>
          <t>UDDEVALLA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46297</v>
      </c>
      <c r="F149" t="inlineStr">
        <is>
          <t>VÄSTRA GÖTALANDS LÄN</t>
        </is>
      </c>
      <c r="G149" t="inlineStr">
        <is>
          <t>UDDEVALLA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46297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46297</v>
      </c>
      <c r="F151" t="inlineStr">
        <is>
          <t>VÄSTRA GÖTALANDS LÄN</t>
        </is>
      </c>
      <c r="G151" t="inlineStr">
        <is>
          <t>UDDEVALLA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46297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44624</v>
      </c>
      <c r="E153" s="1" t="n">
        <v>46297</v>
      </c>
      <c r="F153" t="inlineStr">
        <is>
          <t>VÄSTRA GÖTALANDS LÄN</t>
        </is>
      </c>
      <c r="G153" t="inlineStr">
        <is>
          <t>UDDEVALLA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51747-2025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46297</v>
      </c>
      <c r="F154" t="inlineStr">
        <is>
          <t>VÄSTRA GÖTALANDS LÄN</t>
        </is>
      </c>
      <c r="G154" t="inlineStr">
        <is>
          <t>UDDEVALLA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46297</v>
      </c>
      <c r="F155" t="inlineStr">
        <is>
          <t>VÄSTRA GÖTALANDS LÄN</t>
        </is>
      </c>
      <c r="G155" t="inlineStr">
        <is>
          <t>UDDEVALLA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46297</v>
      </c>
      <c r="F156" t="inlineStr">
        <is>
          <t>VÄSTRA GÖTALANDS LÄN</t>
        </is>
      </c>
      <c r="G156" t="inlineStr">
        <is>
          <t>UDDEVALLA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46297</v>
      </c>
      <c r="F157" t="inlineStr">
        <is>
          <t>VÄSTRA GÖTALANDS LÄN</t>
        </is>
      </c>
      <c r="G157" t="inlineStr">
        <is>
          <t>UDDEVALLA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46297</v>
      </c>
      <c r="F158" t="inlineStr">
        <is>
          <t>VÄSTRA GÖTALANDS LÄN</t>
        </is>
      </c>
      <c r="G158" t="inlineStr">
        <is>
          <t>UDDEVALLA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46297</v>
      </c>
      <c r="F159" t="inlineStr">
        <is>
          <t>VÄSTRA GÖTALANDS LÄN</t>
        </is>
      </c>
      <c r="G159" t="inlineStr">
        <is>
          <t>UDDEVALLA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46297</v>
      </c>
      <c r="F160" t="inlineStr">
        <is>
          <t>VÄSTRA GÖTALANDS LÄN</t>
        </is>
      </c>
      <c r="G160" t="inlineStr">
        <is>
          <t>UDDEVALLA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16819-2026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46113</v>
      </c>
      <c r="E161" s="1" t="n">
        <v>46297</v>
      </c>
      <c r="F161" t="inlineStr">
        <is>
          <t>VÄSTRA GÖTALANDS LÄN</t>
        </is>
      </c>
      <c r="G161" t="inlineStr">
        <is>
          <t>UDDEVALLA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46297</v>
      </c>
      <c r="F162" t="inlineStr">
        <is>
          <t>VÄSTRA GÖTALANDS LÄN</t>
        </is>
      </c>
      <c r="G162" t="inlineStr">
        <is>
          <t>UDDEVALLA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46297</v>
      </c>
      <c r="F163" t="inlineStr">
        <is>
          <t>VÄSTRA GÖTALANDS LÄN</t>
        </is>
      </c>
      <c r="G163" t="inlineStr">
        <is>
          <t>UDDEVALLA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46297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46297</v>
      </c>
      <c r="F165" t="inlineStr">
        <is>
          <t>VÄSTRA GÖTALANDS LÄN</t>
        </is>
      </c>
      <c r="G165" t="inlineStr">
        <is>
          <t>UDDEVALLA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46297</v>
      </c>
      <c r="F166" t="inlineStr">
        <is>
          <t>VÄSTRA GÖTALANDS LÄN</t>
        </is>
      </c>
      <c r="G166" t="inlineStr">
        <is>
          <t>UDDEVALLA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44634</v>
      </c>
      <c r="E167" s="1" t="n">
        <v>46297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59674-2023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45255</v>
      </c>
      <c r="E168" s="1" t="n">
        <v>46297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46297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46297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46297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46297</v>
      </c>
      <c r="F172" t="inlineStr">
        <is>
          <t>VÄSTRA GÖTALANDS LÄN</t>
        </is>
      </c>
      <c r="G172" t="inlineStr">
        <is>
          <t>UDDEVALLA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44956</v>
      </c>
      <c r="E173" s="1" t="n">
        <v>46297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46297</v>
      </c>
      <c r="F174" t="inlineStr">
        <is>
          <t>VÄSTRA GÖTALANDS LÄN</t>
        </is>
      </c>
      <c r="G174" t="inlineStr">
        <is>
          <t>UDDEVALLA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46297</v>
      </c>
      <c r="F175" t="inlineStr">
        <is>
          <t>VÄSTRA GÖTALANDS LÄN</t>
        </is>
      </c>
      <c r="G175" t="inlineStr">
        <is>
          <t>UDDEVALLA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46128</v>
      </c>
      <c r="E176" s="1" t="n">
        <v>46297</v>
      </c>
      <c r="F176" t="inlineStr">
        <is>
          <t>VÄSTRA GÖTALANDS LÄN</t>
        </is>
      </c>
      <c r="G176" t="inlineStr">
        <is>
          <t>UDDEVALLA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46297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46297</v>
      </c>
      <c r="F178" t="inlineStr">
        <is>
          <t>VÄSTRA GÖTALANDS LÄN</t>
        </is>
      </c>
      <c r="G178" t="inlineStr">
        <is>
          <t>UDDEVALLA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45302</v>
      </c>
      <c r="E179" s="1" t="n">
        <v>46297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46297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46297</v>
      </c>
      <c r="F181" t="inlineStr">
        <is>
          <t>VÄSTRA GÖTALANDS LÄN</t>
        </is>
      </c>
      <c r="G181" t="inlineStr">
        <is>
          <t>UDDEVALLA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44998</v>
      </c>
      <c r="E182" s="1" t="n">
        <v>46297</v>
      </c>
      <c r="F182" t="inlineStr">
        <is>
          <t>VÄSTRA GÖTALANDS LÄN</t>
        </is>
      </c>
      <c r="G182" t="inlineStr">
        <is>
          <t>UDDEVALLA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46297</v>
      </c>
      <c r="F183" t="inlineStr">
        <is>
          <t>VÄSTRA GÖTALANDS LÄN</t>
        </is>
      </c>
      <c r="G183" t="inlineStr">
        <is>
          <t>UDDEVALLA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45656</v>
      </c>
      <c r="E184" s="1" t="n">
        <v>46297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Kommuner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45907</v>
      </c>
      <c r="E185" s="1" t="n">
        <v>46297</v>
      </c>
      <c r="F185" t="inlineStr">
        <is>
          <t>VÄSTRA GÖTALANDS LÄN</t>
        </is>
      </c>
      <c r="G185" t="inlineStr">
        <is>
          <t>UDDEVALLA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46297</v>
      </c>
      <c r="F186" t="inlineStr">
        <is>
          <t>VÄSTRA GÖTALANDS LÄN</t>
        </is>
      </c>
      <c r="G186" t="inlineStr">
        <is>
          <t>UDDEVALLA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45121</v>
      </c>
      <c r="E187" s="1" t="n">
        <v>46297</v>
      </c>
      <c r="F187" t="inlineStr">
        <is>
          <t>VÄSTRA GÖTALANDS LÄN</t>
        </is>
      </c>
      <c r="G187" t="inlineStr">
        <is>
          <t>UDDEVALLA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45994</v>
      </c>
      <c r="E188" s="1" t="n">
        <v>46297</v>
      </c>
      <c r="F188" t="inlineStr">
        <is>
          <t>VÄSTRA GÖTALANDS LÄN</t>
        </is>
      </c>
      <c r="G188" t="inlineStr">
        <is>
          <t>UDDEVALLA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45484</v>
      </c>
      <c r="E189" s="1" t="n">
        <v>46297</v>
      </c>
      <c r="F189" t="inlineStr">
        <is>
          <t>VÄSTRA GÖTALANDS LÄN</t>
        </is>
      </c>
      <c r="G189" t="inlineStr">
        <is>
          <t>UDDEVALLA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46297</v>
      </c>
      <c r="F190" t="inlineStr">
        <is>
          <t>VÄSTRA GÖTALANDS LÄN</t>
        </is>
      </c>
      <c r="G190" t="inlineStr">
        <is>
          <t>UDDEVALLA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45919</v>
      </c>
      <c r="E191" s="1" t="n">
        <v>46297</v>
      </c>
      <c r="F191" t="inlineStr">
        <is>
          <t>VÄSTRA GÖTALANDS LÄN</t>
        </is>
      </c>
      <c r="G191" t="inlineStr">
        <is>
          <t>UDDEVALLA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46297</v>
      </c>
      <c r="F192" t="inlineStr">
        <is>
          <t>VÄSTRA GÖTALANDS LÄN</t>
        </is>
      </c>
      <c r="G192" t="inlineStr">
        <is>
          <t>UDDEVALLA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20401-2026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46139</v>
      </c>
      <c r="E193" s="1" t="n">
        <v>46297</v>
      </c>
      <c r="F193" t="inlineStr">
        <is>
          <t>VÄSTRA GÖTALANDS LÄN</t>
        </is>
      </c>
      <c r="G193" t="inlineStr">
        <is>
          <t>UDDEVALLA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46297</v>
      </c>
      <c r="F194" t="inlineStr">
        <is>
          <t>VÄSTRA GÖTALANDS LÄN</t>
        </is>
      </c>
      <c r="G194" t="inlineStr">
        <is>
          <t>UDDEVALLA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46297</v>
      </c>
      <c r="F195" t="inlineStr">
        <is>
          <t>VÄSTRA GÖTALANDS LÄN</t>
        </is>
      </c>
      <c r="G195" t="inlineStr">
        <is>
          <t>UDDEVALLA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46297</v>
      </c>
      <c r="F196" t="inlineStr">
        <is>
          <t>VÄSTRA GÖTALANDS LÄN</t>
        </is>
      </c>
      <c r="G196" t="inlineStr">
        <is>
          <t>UDDEVALLA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46297</v>
      </c>
      <c r="F197" t="inlineStr">
        <is>
          <t>VÄSTRA GÖTALANDS LÄN</t>
        </is>
      </c>
      <c r="G197" t="inlineStr">
        <is>
          <t>UDDEVALLA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46297</v>
      </c>
      <c r="F198" t="inlineStr">
        <is>
          <t>VÄSTRA GÖTALANDS LÄN</t>
        </is>
      </c>
      <c r="G198" t="inlineStr">
        <is>
          <t>UDDEVALLA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46297</v>
      </c>
      <c r="F199" t="inlineStr">
        <is>
          <t>VÄSTRA GÖTALANDS LÄN</t>
        </is>
      </c>
      <c r="G199" t="inlineStr">
        <is>
          <t>UDDEVALLA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46297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45843</v>
      </c>
      <c r="E201" s="1" t="n">
        <v>46297</v>
      </c>
      <c r="F201" t="inlineStr">
        <is>
          <t>VÄSTRA GÖTALANDS LÄN</t>
        </is>
      </c>
      <c r="G201" t="inlineStr">
        <is>
          <t>UDDEVALLA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44823</v>
      </c>
      <c r="E202" s="1" t="n">
        <v>46297</v>
      </c>
      <c r="F202" t="inlineStr">
        <is>
          <t>VÄSTRA GÖTALANDS LÄN</t>
        </is>
      </c>
      <c r="G202" t="inlineStr">
        <is>
          <t>UDDEVALLA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46297</v>
      </c>
      <c r="F203" t="inlineStr">
        <is>
          <t>VÄSTRA GÖTALANDS LÄN</t>
        </is>
      </c>
      <c r="G203" t="inlineStr">
        <is>
          <t>UDDEVALLA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63878-2021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44509</v>
      </c>
      <c r="E204" s="1" t="n">
        <v>46297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46297</v>
      </c>
      <c r="F205" t="inlineStr">
        <is>
          <t>VÄSTRA GÖTALANDS LÄN</t>
        </is>
      </c>
      <c r="G205" t="inlineStr">
        <is>
          <t>UDDEVALLA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46297</v>
      </c>
      <c r="F206" t="inlineStr">
        <is>
          <t>VÄSTRA GÖTALANDS LÄN</t>
        </is>
      </c>
      <c r="G206" t="inlineStr">
        <is>
          <t>UDDEVALLA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45212</v>
      </c>
      <c r="E207" s="1" t="n">
        <v>46297</v>
      </c>
      <c r="F207" t="inlineStr">
        <is>
          <t>VÄSTRA GÖTALANDS LÄN</t>
        </is>
      </c>
      <c r="G207" t="inlineStr">
        <is>
          <t>UDDEVALLA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45455</v>
      </c>
      <c r="E208" s="1" t="n">
        <v>46297</v>
      </c>
      <c r="F208" t="inlineStr">
        <is>
          <t>VÄSTRA GÖTALANDS LÄN</t>
        </is>
      </c>
      <c r="G208" t="inlineStr">
        <is>
          <t>UDDEVALLA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46297</v>
      </c>
      <c r="F209" t="inlineStr">
        <is>
          <t>VÄSTRA GÖTALANDS LÄN</t>
        </is>
      </c>
      <c r="G209" t="inlineStr">
        <is>
          <t>UDDEVALLA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46297</v>
      </c>
      <c r="F210" t="inlineStr">
        <is>
          <t>VÄSTRA GÖTALANDS LÄN</t>
        </is>
      </c>
      <c r="G210" t="inlineStr">
        <is>
          <t>UDDEVALLA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46297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46297</v>
      </c>
      <c r="F212" t="inlineStr">
        <is>
          <t>VÄSTRA GÖTALANDS LÄN</t>
        </is>
      </c>
      <c r="G212" t="inlineStr">
        <is>
          <t>UDDEVALLA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46297</v>
      </c>
      <c r="F213" t="inlineStr">
        <is>
          <t>VÄSTRA GÖTALANDS LÄN</t>
        </is>
      </c>
      <c r="G213" t="inlineStr">
        <is>
          <t>UDDEVALLA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46297</v>
      </c>
      <c r="F214" t="inlineStr">
        <is>
          <t>VÄSTRA GÖTALANDS LÄN</t>
        </is>
      </c>
      <c r="G214" t="inlineStr">
        <is>
          <t>UDDEVALLA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46297</v>
      </c>
      <c r="F215" t="inlineStr">
        <is>
          <t>VÄSTRA GÖTALANDS LÄN</t>
        </is>
      </c>
      <c r="G215" t="inlineStr">
        <is>
          <t>UDDEVALLA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17058-2025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45754</v>
      </c>
      <c r="E216" s="1" t="n">
        <v>46297</v>
      </c>
      <c r="F216" t="inlineStr">
        <is>
          <t>VÄSTRA GÖTALANDS LÄN</t>
        </is>
      </c>
      <c r="G216" t="inlineStr">
        <is>
          <t>UDDEVALLA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46297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73007-2021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46297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45551</v>
      </c>
      <c r="E219" s="1" t="n">
        <v>46297</v>
      </c>
      <c r="F219" t="inlineStr">
        <is>
          <t>VÄSTRA GÖTALANDS LÄN</t>
        </is>
      </c>
      <c r="G219" t="inlineStr">
        <is>
          <t>UDDEVALLA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73437-2021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46297</v>
      </c>
      <c r="F220" t="inlineStr">
        <is>
          <t>VÄSTRA GÖTALANDS LÄN</t>
        </is>
      </c>
      <c r="G220" t="inlineStr">
        <is>
          <t>UDDEVALLA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46147</v>
      </c>
      <c r="E221" s="1" t="n">
        <v>46297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46297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46297</v>
      </c>
      <c r="F223" t="inlineStr">
        <is>
          <t>VÄSTRA GÖTALANDS LÄN</t>
        </is>
      </c>
      <c r="G223" t="inlineStr">
        <is>
          <t>UDDEVALLA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46297</v>
      </c>
      <c r="F224" t="inlineStr">
        <is>
          <t>VÄSTRA GÖTALANDS LÄN</t>
        </is>
      </c>
      <c r="G224" t="inlineStr">
        <is>
          <t>UDDEVALLA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46297</v>
      </c>
      <c r="F225" t="inlineStr">
        <is>
          <t>VÄSTRA GÖTALANDS LÄN</t>
        </is>
      </c>
      <c r="G225" t="inlineStr">
        <is>
          <t>UDDEVALLA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46297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Kyrkan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63397-2021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44508</v>
      </c>
      <c r="E227" s="1" t="n">
        <v>46297</v>
      </c>
      <c r="F227" t="inlineStr">
        <is>
          <t>VÄSTRA GÖTALANDS LÄN</t>
        </is>
      </c>
      <c r="G227" t="inlineStr">
        <is>
          <t>UDDEVALLA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45309</v>
      </c>
      <c r="E228" s="1" t="n">
        <v>46297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44973</v>
      </c>
      <c r="E229" s="1" t="n">
        <v>46297</v>
      </c>
      <c r="F229" t="inlineStr">
        <is>
          <t>VÄSTRA GÖTALANDS LÄN</t>
        </is>
      </c>
      <c r="G229" t="inlineStr">
        <is>
          <t>UDDEVALLA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69198-2021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46297</v>
      </c>
      <c r="F230" t="inlineStr">
        <is>
          <t>VÄSTRA GÖTALANDS LÄN</t>
        </is>
      </c>
      <c r="G230" t="inlineStr">
        <is>
          <t>UDDEVALLA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46297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Övriga statliga verk och myndigheter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46297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44967</v>
      </c>
      <c r="E233" s="1" t="n">
        <v>46297</v>
      </c>
      <c r="F233" t="inlineStr">
        <is>
          <t>VÄSTRA GÖTALANDS LÄN</t>
        </is>
      </c>
      <c r="G233" t="inlineStr">
        <is>
          <t>UDDEVALLA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45150</v>
      </c>
      <c r="E234" s="1" t="n">
        <v>46297</v>
      </c>
      <c r="F234" t="inlineStr">
        <is>
          <t>VÄSTRA GÖTALANDS LÄN</t>
        </is>
      </c>
      <c r="G234" t="inlineStr">
        <is>
          <t>UDDEVALLA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45133</v>
      </c>
      <c r="E235" s="1" t="n">
        <v>46297</v>
      </c>
      <c r="F235" t="inlineStr">
        <is>
          <t>VÄSTRA GÖTALANDS LÄN</t>
        </is>
      </c>
      <c r="G235" t="inlineStr">
        <is>
          <t>UDDEVALLA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46297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46297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45387</v>
      </c>
      <c r="E238" s="1" t="n">
        <v>46297</v>
      </c>
      <c r="F238" t="inlineStr">
        <is>
          <t>VÄSTRA GÖTALANDS LÄN</t>
        </is>
      </c>
      <c r="G238" t="inlineStr">
        <is>
          <t>UDDEVALLA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44572</v>
      </c>
      <c r="E239" s="1" t="n">
        <v>46297</v>
      </c>
      <c r="F239" t="inlineStr">
        <is>
          <t>VÄSTRA GÖTALANDS LÄN</t>
        </is>
      </c>
      <c r="G239" t="inlineStr">
        <is>
          <t>UDDEVALLA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46297</v>
      </c>
      <c r="F240" t="inlineStr">
        <is>
          <t>VÄSTRA GÖTALANDS LÄN</t>
        </is>
      </c>
      <c r="G240" t="inlineStr">
        <is>
          <t>UDDEVALLA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46297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45495</v>
      </c>
      <c r="E242" s="1" t="n">
        <v>46297</v>
      </c>
      <c r="F242" t="inlineStr">
        <is>
          <t>VÄSTRA GÖTALANDS LÄN</t>
        </is>
      </c>
      <c r="G242" t="inlineStr">
        <is>
          <t>UDDEVALLA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58958-2021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44489</v>
      </c>
      <c r="E243" s="1" t="n">
        <v>46297</v>
      </c>
      <c r="F243" t="inlineStr">
        <is>
          <t>VÄSTRA GÖTALANDS LÄN</t>
        </is>
      </c>
      <c r="G243" t="inlineStr">
        <is>
          <t>UDDEVALLA</t>
        </is>
      </c>
      <c r="I243" t="n">
        <v>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45167</v>
      </c>
      <c r="E244" s="1" t="n">
        <v>46297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46297</v>
      </c>
      <c r="F245" t="inlineStr">
        <is>
          <t>VÄSTRA GÖTALANDS LÄN</t>
        </is>
      </c>
      <c r="G245" t="inlineStr">
        <is>
          <t>UDDEVALLA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46297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46297</v>
      </c>
      <c r="F247" t="inlineStr">
        <is>
          <t>VÄSTRA GÖTALANDS LÄN</t>
        </is>
      </c>
      <c r="G247" t="inlineStr">
        <is>
          <t>UDDEVALLA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46297</v>
      </c>
      <c r="F248" t="inlineStr">
        <is>
          <t>VÄSTRA GÖTALANDS LÄN</t>
        </is>
      </c>
      <c r="G248" t="inlineStr">
        <is>
          <t>UDDEVALLA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46297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44981</v>
      </c>
      <c r="E250" s="1" t="n">
        <v>46297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46297</v>
      </c>
      <c r="F251" t="inlineStr">
        <is>
          <t>VÄSTRA GÖTALANDS LÄN</t>
        </is>
      </c>
      <c r="G251" t="inlineStr">
        <is>
          <t>UDDEVALLA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45771</v>
      </c>
      <c r="E252" s="1" t="n">
        <v>46297</v>
      </c>
      <c r="F252" t="inlineStr">
        <is>
          <t>VÄSTRA GÖTALANDS LÄN</t>
        </is>
      </c>
      <c r="G252" t="inlineStr">
        <is>
          <t>UDDEVALLA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46297</v>
      </c>
      <c r="F253" t="inlineStr">
        <is>
          <t>VÄSTRA GÖTALANDS LÄN</t>
        </is>
      </c>
      <c r="G253" t="inlineStr">
        <is>
          <t>UDDEVALLA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46297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44582</v>
      </c>
      <c r="E255" s="1" t="n">
        <v>46297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46297</v>
      </c>
      <c r="F256" t="inlineStr">
        <is>
          <t>VÄSTRA GÖTALANDS LÄN</t>
        </is>
      </c>
      <c r="G256" t="inlineStr">
        <is>
          <t>UDDEVALLA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2306-2022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44578</v>
      </c>
      <c r="E257" s="1" t="n">
        <v>46297</v>
      </c>
      <c r="F257" t="inlineStr">
        <is>
          <t>VÄSTRA GÖTALANDS LÄN</t>
        </is>
      </c>
      <c r="G257" t="inlineStr">
        <is>
          <t>UDDEVALLA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46297</v>
      </c>
      <c r="F258" t="inlineStr">
        <is>
          <t>VÄSTRA GÖTALANDS LÄN</t>
        </is>
      </c>
      <c r="G258" t="inlineStr">
        <is>
          <t>UDDEVALLA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46297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44602</v>
      </c>
      <c r="E260" s="1" t="n">
        <v>46297</v>
      </c>
      <c r="F260" t="inlineStr">
        <is>
          <t>VÄSTRA GÖTALANDS LÄN</t>
        </is>
      </c>
      <c r="G260" t="inlineStr">
        <is>
          <t>UDDEVALLA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46297</v>
      </c>
      <c r="F261" t="inlineStr">
        <is>
          <t>VÄSTRA GÖTALANDS LÄN</t>
        </is>
      </c>
      <c r="G261" t="inlineStr">
        <is>
          <t>UDDEVALLA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45456</v>
      </c>
      <c r="E262" s="1" t="n">
        <v>46297</v>
      </c>
      <c r="F262" t="inlineStr">
        <is>
          <t>VÄSTRA GÖTALANDS LÄN</t>
        </is>
      </c>
      <c r="G262" t="inlineStr">
        <is>
          <t>UDDEVALLA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46297</v>
      </c>
      <c r="F263" t="inlineStr">
        <is>
          <t>VÄSTRA GÖTALANDS LÄN</t>
        </is>
      </c>
      <c r="G263" t="inlineStr">
        <is>
          <t>UDDEVALLA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46297</v>
      </c>
      <c r="F264" t="inlineStr">
        <is>
          <t>VÄSTRA GÖTALANDS LÄN</t>
        </is>
      </c>
      <c r="G264" t="inlineStr">
        <is>
          <t>UDDEVALLA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45183</v>
      </c>
      <c r="E265" s="1" t="n">
        <v>46297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44133-2024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45572</v>
      </c>
      <c r="E266" s="1" t="n">
        <v>46297</v>
      </c>
      <c r="F266" t="inlineStr">
        <is>
          <t>VÄSTRA GÖTALANDS LÄN</t>
        </is>
      </c>
      <c r="G266" t="inlineStr">
        <is>
          <t>UDDEVALLA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45758</v>
      </c>
      <c r="E267" s="1" t="n">
        <v>46297</v>
      </c>
      <c r="F267" t="inlineStr">
        <is>
          <t>VÄSTRA GÖTALANDS LÄN</t>
        </is>
      </c>
      <c r="G267" t="inlineStr">
        <is>
          <t>UDDEVALLA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46297</v>
      </c>
      <c r="F268" t="inlineStr">
        <is>
          <t>VÄSTRA GÖTALANDS LÄN</t>
        </is>
      </c>
      <c r="G268" t="inlineStr">
        <is>
          <t>UDDEVALLA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57824-2024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46297</v>
      </c>
      <c r="F269" t="inlineStr">
        <is>
          <t>VÄSTRA GÖTALANDS LÄN</t>
        </is>
      </c>
      <c r="G269" t="inlineStr">
        <is>
          <t>UDDEVALLA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44733</v>
      </c>
      <c r="E270" s="1" t="n">
        <v>46297</v>
      </c>
      <c r="F270" t="inlineStr">
        <is>
          <t>VÄSTRA GÖTALANDS LÄN</t>
        </is>
      </c>
      <c r="G270" t="inlineStr">
        <is>
          <t>UDDEVALLA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22923-2022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44715</v>
      </c>
      <c r="E271" s="1" t="n">
        <v>46297</v>
      </c>
      <c r="F271" t="inlineStr">
        <is>
          <t>VÄSTRA GÖTALANDS LÄN</t>
        </is>
      </c>
      <c r="G271" t="inlineStr">
        <is>
          <t>UDDEVALLA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46297</v>
      </c>
      <c r="F272" t="inlineStr">
        <is>
          <t>VÄSTRA GÖTALANDS LÄN</t>
        </is>
      </c>
      <c r="G272" t="inlineStr">
        <is>
          <t>UDDEVALLA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44820</v>
      </c>
      <c r="E273" s="1" t="n">
        <v>46297</v>
      </c>
      <c r="F273" t="inlineStr">
        <is>
          <t>VÄSTRA GÖTALANDS LÄN</t>
        </is>
      </c>
      <c r="G273" t="inlineStr">
        <is>
          <t>UDDEVALLA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46210</v>
      </c>
      <c r="E274" s="1" t="n">
        <v>46297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Kommuner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46297</v>
      </c>
      <c r="F275" t="inlineStr">
        <is>
          <t>VÄSTRA GÖTALANDS LÄN</t>
        </is>
      </c>
      <c r="G275" t="inlineStr">
        <is>
          <t>UDDEVALLA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46297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Kommuner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46211</v>
      </c>
      <c r="E277" s="1" t="n">
        <v>46297</v>
      </c>
      <c r="F277" t="inlineStr">
        <is>
          <t>VÄSTRA GÖTALANDS LÄN</t>
        </is>
      </c>
      <c r="G277" t="inlineStr">
        <is>
          <t>UDDEVALLA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46297</v>
      </c>
      <c r="F278" t="inlineStr">
        <is>
          <t>VÄSTRA GÖTALANDS LÄN</t>
        </is>
      </c>
      <c r="G278" t="inlineStr">
        <is>
          <t>UDDEVALLA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46212</v>
      </c>
      <c r="E279" s="1" t="n">
        <v>46297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Kyrkan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46297</v>
      </c>
      <c r="F280" t="inlineStr">
        <is>
          <t>VÄSTRA GÖTALANDS LÄN</t>
        </is>
      </c>
      <c r="G280" t="inlineStr">
        <is>
          <t>UDDEVALLA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46297</v>
      </c>
      <c r="F281" t="inlineStr">
        <is>
          <t>VÄSTRA GÖTALANDS LÄN</t>
        </is>
      </c>
      <c r="G281" t="inlineStr">
        <is>
          <t>UDDEVALLA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45257</v>
      </c>
      <c r="E282" s="1" t="n">
        <v>46297</v>
      </c>
      <c r="F282" t="inlineStr">
        <is>
          <t>VÄSTRA GÖTALANDS LÄN</t>
        </is>
      </c>
      <c r="G282" t="inlineStr">
        <is>
          <t>UDDEVALLA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46222</v>
      </c>
      <c r="E283" s="1" t="n">
        <v>46297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Kommuner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46266</v>
      </c>
      <c r="E284" s="1" t="n">
        <v>46297</v>
      </c>
      <c r="F284" t="inlineStr">
        <is>
          <t>VÄSTRA GÖTALANDS LÄN</t>
        </is>
      </c>
      <c r="G284" t="inlineStr">
        <is>
          <t>UDDEVALLA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46297</v>
      </c>
      <c r="F285" t="inlineStr">
        <is>
          <t>VÄSTRA GÖTALANDS LÄN</t>
        </is>
      </c>
      <c r="G285" t="inlineStr">
        <is>
          <t>UDDEVALLA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46297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46267</v>
      </c>
      <c r="E287" s="1" t="n">
        <v>46297</v>
      </c>
      <c r="F287" t="inlineStr">
        <is>
          <t>VÄSTRA GÖTALANDS LÄN</t>
        </is>
      </c>
      <c r="G287" t="inlineStr">
        <is>
          <t>UDDEVALLA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46267</v>
      </c>
      <c r="E288" s="1" t="n">
        <v>46297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46267</v>
      </c>
      <c r="E289" s="1" t="n">
        <v>46297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46297</v>
      </c>
      <c r="F290" t="inlineStr">
        <is>
          <t>VÄSTRA GÖTALANDS LÄN</t>
        </is>
      </c>
      <c r="G290" t="inlineStr">
        <is>
          <t>UDDEVALLA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44984</v>
      </c>
      <c r="E291" s="1" t="n">
        <v>46297</v>
      </c>
      <c r="F291" t="inlineStr">
        <is>
          <t>VÄSTRA GÖTALANDS LÄN</t>
        </is>
      </c>
      <c r="G291" t="inlineStr">
        <is>
          <t>UDDEVALLA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44683</v>
      </c>
      <c r="E292" s="1" t="n">
        <v>46297</v>
      </c>
      <c r="F292" t="inlineStr">
        <is>
          <t>VÄSTRA GÖTALANDS LÄN</t>
        </is>
      </c>
      <c r="G292" t="inlineStr">
        <is>
          <t>UDDEVALLA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46297</v>
      </c>
      <c r="F293" t="inlineStr">
        <is>
          <t>VÄSTRA GÖTALANDS LÄN</t>
        </is>
      </c>
      <c r="G293" t="inlineStr">
        <is>
          <t>UDDEVALLA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70491-2021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44536</v>
      </c>
      <c r="E294" s="1" t="n">
        <v>46297</v>
      </c>
      <c r="F294" t="inlineStr">
        <is>
          <t>VÄSTRA GÖTALANDS LÄN</t>
        </is>
      </c>
      <c r="G294" t="inlineStr">
        <is>
          <t>UDDEVALLA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46297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46297</v>
      </c>
      <c r="F296" t="inlineStr">
        <is>
          <t>VÄSTRA GÖTALANDS LÄN</t>
        </is>
      </c>
      <c r="G296" t="inlineStr">
        <is>
          <t>UDDEVALLA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46297</v>
      </c>
      <c r="F297" t="inlineStr">
        <is>
          <t>VÄSTRA GÖTALANDS LÄN</t>
        </is>
      </c>
      <c r="G297" t="inlineStr">
        <is>
          <t>UDDEVALLA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46297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46297</v>
      </c>
      <c r="F299" t="inlineStr">
        <is>
          <t>VÄSTRA GÖTALANDS LÄN</t>
        </is>
      </c>
      <c r="G299" t="inlineStr">
        <is>
          <t>UDDEVALLA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46288</v>
      </c>
      <c r="E300" s="1" t="n">
        <v>46297</v>
      </c>
      <c r="F300" t="inlineStr">
        <is>
          <t>VÄSTRA GÖTALANDS LÄN</t>
        </is>
      </c>
      <c r="G300" t="inlineStr">
        <is>
          <t>UDDEVALLA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46297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46297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46297</v>
      </c>
      <c r="F303" t="inlineStr">
        <is>
          <t>VÄSTRA GÖTALANDS LÄN</t>
        </is>
      </c>
      <c r="G303" t="inlineStr">
        <is>
          <t>UDDEVALLA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46297</v>
      </c>
      <c r="F304" t="inlineStr">
        <is>
          <t>VÄSTRA GÖTALANDS LÄN</t>
        </is>
      </c>
      <c r="G304" t="inlineStr">
        <is>
          <t>UDDEVALLA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46297</v>
      </c>
      <c r="F305" t="inlineStr">
        <is>
          <t>VÄSTRA GÖTALANDS LÄN</t>
        </is>
      </c>
      <c r="G305" t="inlineStr">
        <is>
          <t>UDDEVALLA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8893-2024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45355</v>
      </c>
      <c r="E306" s="1" t="n">
        <v>46297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46297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46293</v>
      </c>
      <c r="E308" s="1" t="n">
        <v>46297</v>
      </c>
      <c r="F308" t="inlineStr">
        <is>
          <t>VÄSTRA GÖTALANDS LÄN</t>
        </is>
      </c>
      <c r="G308" t="inlineStr">
        <is>
          <t>UDDEVALLA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46297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46297</v>
      </c>
      <c r="F310" t="inlineStr">
        <is>
          <t>VÄSTRA GÖTALANDS LÄN</t>
        </is>
      </c>
      <c r="G310" t="inlineStr">
        <is>
          <t>UDDEVALLA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46297</v>
      </c>
      <c r="F311" t="inlineStr">
        <is>
          <t>VÄSTRA GÖTALANDS LÄN</t>
        </is>
      </c>
      <c r="G311" t="inlineStr">
        <is>
          <t>UDDEVALLA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46297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46297</v>
      </c>
      <c r="F313" t="inlineStr">
        <is>
          <t>VÄSTRA GÖTALANDS LÄN</t>
        </is>
      </c>
      <c r="G313" t="inlineStr">
        <is>
          <t>UDDEVALLA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46297</v>
      </c>
      <c r="F314" t="inlineStr">
        <is>
          <t>VÄSTRA GÖTALANDS LÄN</t>
        </is>
      </c>
      <c r="G314" t="inlineStr">
        <is>
          <t>UDDEVALLA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44960</v>
      </c>
      <c r="E315" s="1" t="n">
        <v>46297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46297</v>
      </c>
      <c r="F316" t="inlineStr">
        <is>
          <t>VÄSTRA GÖTALANDS LÄN</t>
        </is>
      </c>
      <c r="G316" t="inlineStr">
        <is>
          <t>UDDEVALLA</t>
        </is>
      </c>
      <c r="I316" t="n">
        <v>12.2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46297</v>
      </c>
      <c r="F317" t="inlineStr">
        <is>
          <t>VÄSTRA GÖTALANDS LÄN</t>
        </is>
      </c>
      <c r="G317" t="inlineStr">
        <is>
          <t>UDDEVALLA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58625-2024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45635</v>
      </c>
      <c r="E318" s="1" t="n">
        <v>46297</v>
      </c>
      <c r="F318" t="inlineStr">
        <is>
          <t>VÄSTRA GÖTALANDS LÄN</t>
        </is>
      </c>
      <c r="G318" t="inlineStr">
        <is>
          <t>UDDEVALLA</t>
        </is>
      </c>
      <c r="I318" t="n">
        <v>14.9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44924</v>
      </c>
      <c r="E319" s="1" t="n">
        <v>46297</v>
      </c>
      <c r="F319" t="inlineStr">
        <is>
          <t>VÄSTRA GÖTALANDS LÄN</t>
        </is>
      </c>
      <c r="G319" t="inlineStr">
        <is>
          <t>UDDEVALLA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45684</v>
      </c>
      <c r="E320" s="1" t="n">
        <v>46297</v>
      </c>
      <c r="F320" t="inlineStr">
        <is>
          <t>VÄSTRA GÖTALANDS LÄN</t>
        </is>
      </c>
      <c r="G320" t="inlineStr">
        <is>
          <t>UDDEVALLA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46297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45251</v>
      </c>
      <c r="E322" s="1" t="n">
        <v>46297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45596</v>
      </c>
      <c r="E323" s="1" t="n">
        <v>46297</v>
      </c>
      <c r="F323" t="inlineStr">
        <is>
          <t>VÄSTRA GÖTALANDS LÄN</t>
        </is>
      </c>
      <c r="G323" t="inlineStr">
        <is>
          <t>UDDEVALLA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46297</v>
      </c>
      <c r="F324" t="inlineStr">
        <is>
          <t>VÄSTRA GÖTALANDS LÄN</t>
        </is>
      </c>
      <c r="G324" t="inlineStr">
        <is>
          <t>UDDEVALLA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46297</v>
      </c>
      <c r="F325" t="inlineStr">
        <is>
          <t>VÄSTRA GÖTALANDS LÄN</t>
        </is>
      </c>
      <c r="G325" t="inlineStr">
        <is>
          <t>UDDEVALLA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46297</v>
      </c>
      <c r="F326" t="inlineStr">
        <is>
          <t>VÄSTRA GÖTALANDS LÄN</t>
        </is>
      </c>
      <c r="G326" t="inlineStr">
        <is>
          <t>UDDEVALLA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46297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46297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46297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46297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46297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46297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46297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2026-10-02T02:05:50Z</dcterms:created>
  <dcterms:modified xmlns:dcterms="http://purl.org/dc/terms/" xmlns:xsi="http://www.w3.org/2001/XMLSchema-instance" xsi:type="dcterms:W3CDTF">2026-10-02T02:05:50Z</dcterms:modified>
</cp:coreProperties>
</file>