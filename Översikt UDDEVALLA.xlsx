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46234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46234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46234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46234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46234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46234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46234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46234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46234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62065-2024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45656</v>
      </c>
      <c r="E11" s="1" t="n">
        <v>46234</v>
      </c>
      <c r="F11" t="inlineStr">
        <is>
          <t>VÄSTRA GÖTALANDS LÄN</t>
        </is>
      </c>
      <c r="G11" t="inlineStr">
        <is>
          <t>UDDEVALLA</t>
        </is>
      </c>
      <c r="H11" t="inlineStr">
        <is>
          <t>Kommuner</t>
        </is>
      </c>
      <c r="I11" t="n">
        <v>3.6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Större vattensalamander
Mindre vattensalamander
Vanlig groda</t>
        </is>
      </c>
      <c r="W11">
        <f>HYPERLINK("https://klasma.github.io/Logging_1485/artfynd/A 62065-2024 artfynd.xlsx", "A 62065-2024")</f>
        <v/>
      </c>
      <c r="X11">
        <f>HYPERLINK("https://klasma.github.io/Logging_1485/kartor/A 62065-2024 karta.png", "A 62065-2024")</f>
        <v/>
      </c>
      <c r="Y11">
        <f>HYPERLINK("https://klasma.github.io/Logging_1485/kartor_geotiff/A 62065-2024 georefererad karta.tif", "A 62065-2024")</f>
        <v/>
      </c>
      <c r="AA11">
        <f>HYPERLINK("https://klasma.github.io/Logging_1485/klagomål/A 62065-2024 FSC-klagomål.docx", "A 62065-2024")</f>
        <v/>
      </c>
      <c r="AB11">
        <f>HYPERLINK("https://klasma.github.io/Logging_1485/klagomålsmail/A 62065-2024 FSC-klagomål mail.docx", "A 62065-2024")</f>
        <v/>
      </c>
      <c r="AC11">
        <f>HYPERLINK("https://klasma.github.io/Logging_1485/tillsyn/A 62065-2024 tillsynsbegäran.docx", "A 62065-2024")</f>
        <v/>
      </c>
      <c r="AD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46234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46234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46234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46234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46234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46234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8666-2024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46234</v>
      </c>
      <c r="F18" t="inlineStr">
        <is>
          <t>VÄSTRA GÖTALANDS LÄN</t>
        </is>
      </c>
      <c r="G18" t="inlineStr">
        <is>
          <t>UDDEVALLA</t>
        </is>
      </c>
      <c r="I18" t="n">
        <v>4.6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Västlig hakmossa
Spillkråka</t>
        </is>
      </c>
      <c r="W18">
        <f>HYPERLINK("https://klasma.github.io/Logging_1485/artfynd/A 8666-2024 artfynd.xlsx", "A 8666-2024")</f>
        <v/>
      </c>
      <c r="X18">
        <f>HYPERLINK("https://klasma.github.io/Logging_1485/kartor/A 8666-2024 karta.png", "A 8666-2024")</f>
        <v/>
      </c>
      <c r="Y18">
        <f>HYPERLINK("https://klasma.github.io/Logging_1485/kartor_geotiff/A 8666-2024 georefererad karta.tif", "A 8666-2024")</f>
        <v/>
      </c>
      <c r="AA18">
        <f>HYPERLINK("https://klasma.github.io/Logging_1485/klagomål/A 8666-2024 FSC-klagomål.docx", "A 8666-2024")</f>
        <v/>
      </c>
      <c r="AB18">
        <f>HYPERLINK("https://klasma.github.io/Logging_1485/klagomålsmail/A 8666-2024 FSC-klagomål mail.docx", "A 8666-2024")</f>
        <v/>
      </c>
      <c r="AC18">
        <f>HYPERLINK("https://klasma.github.io/Logging_1485/tillsyn/A 8666-2024 tillsynsbegäran.docx", "A 8666-2024")</f>
        <v/>
      </c>
      <c r="AD18">
        <f>HYPERLINK("https://klasma.github.io/Logging_1485/tillsynsmail/A 8666-2024 tillsynsbegäran mail.docx", "A 8666-2024")</f>
        <v/>
      </c>
      <c r="AE18">
        <f>HYPERLINK("https://klasma.github.io/Logging_1485/fåglar/A 8666-2024 prioriterade fågelarter.docx", "A 8666-2024")</f>
        <v/>
      </c>
    </row>
    <row r="19" ht="15" customHeight="1">
      <c r="A19" t="inlineStr">
        <is>
          <t>A 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45653</v>
      </c>
      <c r="E19" s="1" t="n">
        <v>46234</v>
      </c>
      <c r="F19" t="inlineStr">
        <is>
          <t>VÄSTRA GÖTALANDS LÄN</t>
        </is>
      </c>
      <c r="G19" t="inlineStr">
        <is>
          <t>UDDEVALLA</t>
        </is>
      </c>
      <c r="I19" t="n">
        <v>3.4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Brunpudrad nållav
Blåmossa</t>
        </is>
      </c>
      <c r="W19">
        <f>HYPERLINK("https://klasma.github.io/Logging_1485/artfynd/A 266-2025 artfynd.xlsx", "A 266-2025")</f>
        <v/>
      </c>
      <c r="X19">
        <f>HYPERLINK("https://klasma.github.io/Logging_1485/kartor/A 266-2025 karta.png", "A 266-2025")</f>
        <v/>
      </c>
      <c r="Y19">
        <f>HYPERLINK("https://klasma.github.io/Logging_1485/kartor_geotiff/A 266-2025 georefererad karta.tif", "A 266-2025")</f>
        <v/>
      </c>
      <c r="AA19">
        <f>HYPERLINK("https://klasma.github.io/Logging_1485/klagomål/A 266-2025 FSC-klagomål.docx", "A 266-2025")</f>
        <v/>
      </c>
      <c r="AB19">
        <f>HYPERLINK("https://klasma.github.io/Logging_1485/klagomålsmail/A 266-2025 FSC-klagomål mail.docx", "A 266-2025")</f>
        <v/>
      </c>
      <c r="AC19">
        <f>HYPERLINK("https://klasma.github.io/Logging_1485/tillsyn/A 266-2025 tillsynsbegäran.docx", "A 266-2025")</f>
        <v/>
      </c>
      <c r="AD19">
        <f>HYPERLINK("https://klasma.github.io/Logging_1485/tillsynsmail/A 266-2025 tillsynsbegäran mail.docx", "A 266-2025")</f>
        <v/>
      </c>
    </row>
    <row r="20" ht="15" customHeight="1">
      <c r="A20" t="inlineStr">
        <is>
          <t>A 57654-2025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46234</v>
      </c>
      <c r="F20" t="inlineStr">
        <is>
          <t>VÄSTRA GÖTALANDS LÄN</t>
        </is>
      </c>
      <c r="G20" t="inlineStr">
        <is>
          <t>UDDEVALLA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Lundvårlök</t>
        </is>
      </c>
      <c r="W20">
        <f>HYPERLINK("https://klasma.github.io/Logging_1485/artfynd/A 57654-2025 artfynd.xlsx", "A 57654-2025")</f>
        <v/>
      </c>
      <c r="X20">
        <f>HYPERLINK("https://klasma.github.io/Logging_1485/kartor/A 57654-2025 karta.png", "A 57654-2025")</f>
        <v/>
      </c>
      <c r="Y20">
        <f>HYPERLINK("https://klasma.github.io/Logging_1485/kartor_geotiff/A 57654-2025 georefererad karta.tif", "A 57654-2025")</f>
        <v/>
      </c>
      <c r="AA20">
        <f>HYPERLINK("https://klasma.github.io/Logging_1485/klagomål/A 57654-2025 FSC-klagomål.docx", "A 57654-2025")</f>
        <v/>
      </c>
      <c r="AB20">
        <f>HYPERLINK("https://klasma.github.io/Logging_1485/klagomålsmail/A 57654-2025 FSC-klagomål mail.docx", "A 57654-2025")</f>
        <v/>
      </c>
      <c r="AC20">
        <f>HYPERLINK("https://klasma.github.io/Logging_1485/tillsyn/A 57654-2025 tillsynsbegäran.docx", "A 57654-2025")</f>
        <v/>
      </c>
      <c r="AD20">
        <f>HYPERLINK("https://klasma.github.io/Logging_1485/tillsynsmail/A 57654-2025 tillsynsbegäran mail.docx", "A 57654-2025")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46234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32528-2024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46234</v>
      </c>
      <c r="F22" t="inlineStr">
        <is>
          <t>VÄSTRA GÖTALANDS LÄN</t>
        </is>
      </c>
      <c r="G22" t="inlineStr">
        <is>
          <t>UDDEVALLA</t>
        </is>
      </c>
      <c r="I22" t="n">
        <v>1.5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Grönhjon
Granbarkgnagare</t>
        </is>
      </c>
      <c r="W22">
        <f>HYPERLINK("https://klasma.github.io/Logging_1485/artfynd/A 32528-2024 artfynd.xlsx", "A 32528-2024")</f>
        <v/>
      </c>
      <c r="X22">
        <f>HYPERLINK("https://klasma.github.io/Logging_1485/kartor/A 32528-2024 karta.png", "A 32528-2024")</f>
        <v/>
      </c>
      <c r="Y22">
        <f>HYPERLINK("https://klasma.github.io/Logging_1485/kartor_geotiff/A 32528-2024 georefererad karta.tif", "A 32528-2024")</f>
        <v/>
      </c>
      <c r="AA22">
        <f>HYPERLINK("https://klasma.github.io/Logging_1485/klagomål/A 32528-2024 FSC-klagomål.docx", "A 32528-2024")</f>
        <v/>
      </c>
      <c r="AB22">
        <f>HYPERLINK("https://klasma.github.io/Logging_1485/klagomålsmail/A 32528-2024 FSC-klagomål mail.docx", "A 32528-2024")</f>
        <v/>
      </c>
      <c r="AC22">
        <f>HYPERLINK("https://klasma.github.io/Logging_1485/tillsyn/A 32528-2024 tillsynsbegäran.docx", "A 32528-2024")</f>
        <v/>
      </c>
      <c r="AD22">
        <f>HYPERLINK("https://klasma.github.io/Logging_1485/tillsynsmail/A 32528-2024 tillsynsbegäran mail.docx", "A 32528-2024")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46234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Kambräken
Kopparödla</t>
        </is>
      </c>
      <c r="W23">
        <f>HYPERLINK("https://klasma.github.io/Logging_1485/artfynd/A 16863-2025 artfynd.xlsx", "A 16863-2025")</f>
        <v/>
      </c>
      <c r="X23">
        <f>HYPERLINK("https://klasma.github.io/Logging_1485/kartor/A 16863-2025 karta.png", "A 16863-2025")</f>
        <v/>
      </c>
      <c r="Y23">
        <f>HYPERLINK("https://klasma.github.io/Logging_1485/kartor_geotiff/A 16863-2025 georefererad karta.tif", "A 16863-2025")</f>
        <v/>
      </c>
      <c r="AA23">
        <f>HYPERLINK("https://klasma.github.io/Logging_1485/klagomål/A 16863-2025 FSC-klagomål.docx", "A 16863-2025")</f>
        <v/>
      </c>
      <c r="AB23">
        <f>HYPERLINK("https://klasma.github.io/Logging_1485/klagomålsmail/A 16863-2025 FSC-klagomål mail.docx", "A 16863-2025")</f>
        <v/>
      </c>
      <c r="AC23">
        <f>HYPERLINK("https://klasma.github.io/Logging_1485/tillsyn/A 16863-2025 tillsynsbegäran.docx", "A 16863-2025")</f>
        <v/>
      </c>
      <c r="AD23">
        <f>HYPERLINK("https://klasma.github.io/Logging_1485/tillsynsmail/A 16863-2025 tillsynsbegäran mail.docx", "A 16863-2025")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46234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Iller
Svinrot</t>
        </is>
      </c>
      <c r="W24">
        <f>HYPERLINK("https://klasma.github.io/Logging_1485/artfynd/A 16882-2026 artfynd.xlsx", "A 16882-2026")</f>
        <v/>
      </c>
      <c r="X24">
        <f>HYPERLINK("https://klasma.github.io/Logging_1485/kartor/A 16882-2026 karta.png", "A 16882-2026")</f>
        <v/>
      </c>
      <c r="Y24">
        <f>HYPERLINK("https://klasma.github.io/Logging_1485/kartor_geotiff/A 16882-2026 georefererad karta.tif", "A 16882-2026")</f>
        <v/>
      </c>
      <c r="AA24">
        <f>HYPERLINK("https://klasma.github.io/Logging_1485/klagomål/A 16882-2026 FSC-klagomål.docx", "A 16882-2026")</f>
        <v/>
      </c>
      <c r="AB24">
        <f>HYPERLINK("https://klasma.github.io/Logging_1485/klagomålsmail/A 16882-2026 FSC-klagomål mail.docx", "A 16882-2026")</f>
        <v/>
      </c>
      <c r="AC24">
        <f>HYPERLINK("https://klasma.github.io/Logging_1485/tillsyn/A 16882-2026 tillsynsbegäran.docx", "A 16882-2026")</f>
        <v/>
      </c>
      <c r="AD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46234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46234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46234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46234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46234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46234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46234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23322-2025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45791</v>
      </c>
      <c r="E32" s="1" t="n">
        <v>46234</v>
      </c>
      <c r="F32" t="inlineStr">
        <is>
          <t>VÄSTRA GÖTALANDS LÄN</t>
        </is>
      </c>
      <c r="G32" t="inlineStr">
        <is>
          <t>UDDEVALLA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Kungsörn</t>
        </is>
      </c>
      <c r="W32">
        <f>HYPERLINK("https://klasma.github.io/Logging_1485/artfynd/A 23322-2025 artfynd.xlsx", "A 23322-2025")</f>
        <v/>
      </c>
      <c r="X32">
        <f>HYPERLINK("https://klasma.github.io/Logging_1485/kartor/A 23322-2025 karta.png", "A 23322-2025")</f>
        <v/>
      </c>
      <c r="Y32">
        <f>HYPERLINK("https://klasma.github.io/Logging_1485/kartor_geotiff/A 23322-2025 georefererad karta.tif", "A 23322-2025")</f>
        <v/>
      </c>
      <c r="AA32">
        <f>HYPERLINK("https://klasma.github.io/Logging_1485/klagomål/A 23322-2025 FSC-klagomål.docx", "A 23322-2025")</f>
        <v/>
      </c>
      <c r="AB32">
        <f>HYPERLINK("https://klasma.github.io/Logging_1485/klagomålsmail/A 23322-2025 FSC-klagomål mail.docx", "A 23322-2025")</f>
        <v/>
      </c>
      <c r="AC32">
        <f>HYPERLINK("https://klasma.github.io/Logging_1485/tillsyn/A 23322-2025 tillsynsbegäran.docx", "A 23322-2025")</f>
        <v/>
      </c>
      <c r="AD32">
        <f>HYPERLINK("https://klasma.github.io/Logging_1485/tillsynsmail/A 23322-2025 tillsynsbegäran mail.docx", "A 23322-2025")</f>
        <v/>
      </c>
      <c r="AE32">
        <f>HYPERLINK("https://klasma.github.io/Logging_1485/fåglar/A 23322-2025 prioriterade fågelarter.docx", "A 23322-2025")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46234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46234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HYPERLINK("https://klasma.github.io/Logging_1485/artfynd/A 30954-2025 artfynd.xlsx", "A 30954-2025")</f>
        <v/>
      </c>
      <c r="X34">
        <f>HYPERLINK("https://klasma.github.io/Logging_1485/kartor/A 30954-2025 karta.png", "A 30954-2025")</f>
        <v/>
      </c>
      <c r="Y34">
        <f>HYPERLINK("https://klasma.github.io/Logging_1485/kartor_geotiff/A 30954-2025 georefererad karta.tif", "A 30954-2025")</f>
        <v/>
      </c>
      <c r="AA34">
        <f>HYPERLINK("https://klasma.github.io/Logging_1485/klagomål/A 30954-2025 FSC-klagomål.docx", "A 30954-2025")</f>
        <v/>
      </c>
      <c r="AB34">
        <f>HYPERLINK("https://klasma.github.io/Logging_1485/klagomålsmail/A 30954-2025 FSC-klagomål mail.docx", "A 30954-2025")</f>
        <v/>
      </c>
      <c r="AC34">
        <f>HYPERLINK("https://klasma.github.io/Logging_1485/tillsyn/A 30954-2025 tillsynsbegäran.docx", "A 30954-2025")</f>
        <v/>
      </c>
      <c r="AD34">
        <f>HYPERLINK("https://klasma.github.io/Logging_1485/tillsynsmail/A 30954-2025 tillsynsbegäran mail.docx", "A 30954-2025")</f>
        <v/>
      </c>
    </row>
    <row r="35" ht="15" customHeight="1">
      <c r="A35" t="inlineStr">
        <is>
          <t>A 22603-2023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45071</v>
      </c>
      <c r="E35" s="1" t="n">
        <v>46234</v>
      </c>
      <c r="F35" t="inlineStr">
        <is>
          <t>VÄSTRA GÖTALANDS LÄN</t>
        </is>
      </c>
      <c r="G35" t="inlineStr">
        <is>
          <t>UDDEVALLA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Gröngöling</t>
        </is>
      </c>
      <c r="W35">
        <f>HYPERLINK("https://klasma.github.io/Logging_1485/artfynd/A 22603-2023 artfynd.xlsx", "A 22603-2023")</f>
        <v/>
      </c>
      <c r="X35">
        <f>HYPERLINK("https://klasma.github.io/Logging_1485/kartor/A 22603-2023 karta.png", "A 22603-2023")</f>
        <v/>
      </c>
      <c r="Y35">
        <f>HYPERLINK("https://klasma.github.io/Logging_1485/kartor_geotiff/A 22603-2023 georefererad karta.tif", "A 22603-2023")</f>
        <v/>
      </c>
      <c r="AA35">
        <f>HYPERLINK("https://klasma.github.io/Logging_1485/klagomål/A 22603-2023 FSC-klagomål.docx", "A 22603-2023")</f>
        <v/>
      </c>
      <c r="AB35">
        <f>HYPERLINK("https://klasma.github.io/Logging_1485/klagomålsmail/A 22603-2023 FSC-klagomål mail.docx", "A 22603-2023")</f>
        <v/>
      </c>
      <c r="AC35">
        <f>HYPERLINK("https://klasma.github.io/Logging_1485/tillsyn/A 22603-2023 tillsynsbegäran.docx", "A 22603-2023")</f>
        <v/>
      </c>
      <c r="AD35">
        <f>HYPERLINK("https://klasma.github.io/Logging_1485/tillsynsmail/A 22603-2023 tillsynsbegäran mail.docx", "A 22603-2023")</f>
        <v/>
      </c>
    </row>
    <row r="36" ht="15" customHeight="1">
      <c r="A36" t="inlineStr">
        <is>
          <t>A 236-2023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46234</v>
      </c>
      <c r="F36" t="inlineStr">
        <is>
          <t>VÄSTRA GÖTALANDS LÄN</t>
        </is>
      </c>
      <c r="G36" t="inlineStr">
        <is>
          <t>UDDEVALLA</t>
        </is>
      </c>
      <c r="I36" t="n">
        <v>16.7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Rödgul trumpetsvamp</t>
        </is>
      </c>
      <c r="W36">
        <f>HYPERLINK("https://klasma.github.io/Logging_1485/artfynd/A 236-2023 artfynd.xlsx", "A 236-2023")</f>
        <v/>
      </c>
      <c r="X36">
        <f>HYPERLINK("https://klasma.github.io/Logging_1485/kartor/A 236-2023 karta.png", "A 236-2023")</f>
        <v/>
      </c>
      <c r="Y36">
        <f>HYPERLINK("https://klasma.github.io/Logging_1485/kartor_geotiff/A 236-2023 georefererad karta.tif", "A 236-2023")</f>
        <v/>
      </c>
      <c r="AA36">
        <f>HYPERLINK("https://klasma.github.io/Logging_1485/klagomål/A 236-2023 FSC-klagomål.docx", "A 236-2023")</f>
        <v/>
      </c>
      <c r="AB36">
        <f>HYPERLINK("https://klasma.github.io/Logging_1485/klagomålsmail/A 236-2023 FSC-klagomål mail.docx", "A 236-2023")</f>
        <v/>
      </c>
      <c r="AC36">
        <f>HYPERLINK("https://klasma.github.io/Logging_1485/tillsyn/A 236-2023 tillsynsbegäran.docx", "A 236-2023")</f>
        <v/>
      </c>
      <c r="AD36">
        <f>HYPERLINK("https://klasma.github.io/Logging_1485/tillsynsmail/A 236-2023 tillsynsbegäran mail.docx", "A 236-2023")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46234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10865-2022 artfynd.xlsx", "A 10865-2022")</f>
        <v/>
      </c>
      <c r="X37">
        <f>HYPERLINK("https://klasma.github.io/Logging_1485/kartor/A 10865-2022 karta.png", "A 10865-2022")</f>
        <v/>
      </c>
      <c r="Y37">
        <f>HYPERLINK("https://klasma.github.io/Logging_1485/kartor_geotiff/A 10865-2022 georefererad karta.tif", "A 10865-2022")</f>
        <v/>
      </c>
      <c r="AA37">
        <f>HYPERLINK("https://klasma.github.io/Logging_1485/klagomål/A 10865-2022 FSC-klagomål.docx", "A 10865-2022")</f>
        <v/>
      </c>
      <c r="AB37">
        <f>HYPERLINK("https://klasma.github.io/Logging_1485/klagomålsmail/A 10865-2022 FSC-klagomål mail.docx", "A 10865-2022")</f>
        <v/>
      </c>
      <c r="AC37">
        <f>HYPERLINK("https://klasma.github.io/Logging_1485/tillsyn/A 10865-2022 tillsynsbegäran.docx", "A 10865-2022")</f>
        <v/>
      </c>
      <c r="AD37">
        <f>HYPERLINK("https://klasma.github.io/Logging_1485/tillsynsmail/A 10865-2022 tillsynsbegäran mail.docx", "A 10865-2022")</f>
        <v/>
      </c>
    </row>
    <row r="38" ht="15" customHeight="1">
      <c r="A38" t="inlineStr">
        <is>
          <t>A 55288-2023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45237</v>
      </c>
      <c r="E38" s="1" t="n">
        <v>46234</v>
      </c>
      <c r="F38" t="inlineStr">
        <is>
          <t>VÄSTRA GÖTALANDS LÄN</t>
        </is>
      </c>
      <c r="G38" t="inlineStr">
        <is>
          <t>UDDEVALLA</t>
        </is>
      </c>
      <c r="I38" t="n">
        <v>5.2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55288-2023 artfynd.xlsx", "A 55288-2023")</f>
        <v/>
      </c>
      <c r="X38">
        <f>HYPERLINK("https://klasma.github.io/Logging_1485/kartor/A 55288-2023 karta.png", "A 55288-2023")</f>
        <v/>
      </c>
      <c r="Y38">
        <f>HYPERLINK("https://klasma.github.io/Logging_1485/kartor_geotiff/A 55288-2023 georefererad karta.tif", "A 55288-2023")</f>
        <v/>
      </c>
      <c r="AA38">
        <f>HYPERLINK("https://klasma.github.io/Logging_1485/klagomål/A 55288-2023 FSC-klagomål.docx", "A 55288-2023")</f>
        <v/>
      </c>
      <c r="AB38">
        <f>HYPERLINK("https://klasma.github.io/Logging_1485/klagomålsmail/A 55288-2023 FSC-klagomål mail.docx", "A 55288-2023")</f>
        <v/>
      </c>
      <c r="AC38">
        <f>HYPERLINK("https://klasma.github.io/Logging_1485/tillsyn/A 55288-2023 tillsynsbegäran.docx", "A 55288-2023")</f>
        <v/>
      </c>
      <c r="AD38">
        <f>HYPERLINK("https://klasma.github.io/Logging_1485/tillsynsmail/A 55288-2023 tillsynsbegäran mail.docx", "A 55288-2023")</f>
        <v/>
      </c>
    </row>
    <row r="39" ht="15" customHeight="1">
      <c r="A39" t="inlineStr">
        <is>
          <t>A 23401-2023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46234</v>
      </c>
      <c r="F39" t="inlineStr">
        <is>
          <t>VÄSTRA GÖTALANDS LÄN</t>
        </is>
      </c>
      <c r="G39" t="inlineStr">
        <is>
          <t>UDDEVALLA</t>
        </is>
      </c>
      <c r="I39" t="n">
        <v>3.3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Vedticka</t>
        </is>
      </c>
      <c r="W39">
        <f>HYPERLINK("https://klasma.github.io/Logging_1485/artfynd/A 23401-2023 artfynd.xlsx", "A 23401-2023")</f>
        <v/>
      </c>
      <c r="X39">
        <f>HYPERLINK("https://klasma.github.io/Logging_1485/kartor/A 23401-2023 karta.png", "A 23401-2023")</f>
        <v/>
      </c>
      <c r="Y39">
        <f>HYPERLINK("https://klasma.github.io/Logging_1485/kartor_geotiff/A 23401-2023 georefererad karta.tif", "A 23401-2023")</f>
        <v/>
      </c>
      <c r="AA39">
        <f>HYPERLINK("https://klasma.github.io/Logging_1485/klagomål/A 23401-2023 FSC-klagomål.docx", "A 23401-2023")</f>
        <v/>
      </c>
      <c r="AB39">
        <f>HYPERLINK("https://klasma.github.io/Logging_1485/klagomålsmail/A 23401-2023 FSC-klagomål mail.docx", "A 23401-2023")</f>
        <v/>
      </c>
      <c r="AC39">
        <f>HYPERLINK("https://klasma.github.io/Logging_1485/tillsyn/A 23401-2023 tillsynsbegäran.docx", "A 23401-2023")</f>
        <v/>
      </c>
      <c r="AD39">
        <f>HYPERLINK("https://klasma.github.io/Logging_1485/tillsynsmail/A 23401-2023 tillsynsbegäran mail.docx", "A 23401-2023")</f>
        <v/>
      </c>
    </row>
    <row r="40" ht="15" customHeight="1">
      <c r="A40" t="inlineStr">
        <is>
          <t>A 9424-2026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46234</v>
      </c>
      <c r="F40" t="inlineStr">
        <is>
          <t>VÄSTRA GÖTALANDS LÄN</t>
        </is>
      </c>
      <c r="G40" t="inlineStr">
        <is>
          <t>UDDEVALLA</t>
        </is>
      </c>
      <c r="I40" t="n">
        <v>4.3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Flotagräs</t>
        </is>
      </c>
      <c r="W40">
        <f>HYPERLINK("https://klasma.github.io/Logging_1485/artfynd/A 9424-2026 artfynd.xlsx", "A 9424-2026")</f>
        <v/>
      </c>
      <c r="X40">
        <f>HYPERLINK("https://klasma.github.io/Logging_1485/kartor/A 9424-2026 karta.png", "A 9424-2026")</f>
        <v/>
      </c>
      <c r="Y40">
        <f>HYPERLINK("https://klasma.github.io/Logging_1485/kartor_geotiff/A 9424-2026 georefererad karta.tif", "A 9424-2026")</f>
        <v/>
      </c>
      <c r="AA40">
        <f>HYPERLINK("https://klasma.github.io/Logging_1485/klagomål/A 9424-2026 FSC-klagomål.docx", "A 9424-2026")</f>
        <v/>
      </c>
      <c r="AB40">
        <f>HYPERLINK("https://klasma.github.io/Logging_1485/klagomålsmail/A 9424-2026 FSC-klagomål mail.docx", "A 9424-2026")</f>
        <v/>
      </c>
      <c r="AC40">
        <f>HYPERLINK("https://klasma.github.io/Logging_1485/tillsyn/A 9424-2026 tillsynsbegäran.docx", "A 9424-2026")</f>
        <v/>
      </c>
      <c r="AD40">
        <f>HYPERLINK("https://klasma.github.io/Logging_1485/tillsynsmail/A 9424-2026 tillsynsbegäran mail.docx", "A 9424-2026")</f>
        <v/>
      </c>
    </row>
    <row r="41" ht="15" customHeight="1">
      <c r="A41" t="inlineStr">
        <is>
          <t>A 7770-2024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46234</v>
      </c>
      <c r="F41" t="inlineStr">
        <is>
          <t>VÄSTRA GÖTALANDS LÄN</t>
        </is>
      </c>
      <c r="G41" t="inlineStr">
        <is>
          <t>UDDEVALLA</t>
        </is>
      </c>
      <c r="H41" t="inlineStr">
        <is>
          <t>Kyrkan</t>
        </is>
      </c>
      <c r="I41" t="n">
        <v>6.2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HYPERLINK("https://klasma.github.io/Logging_1485/artfynd/A 7770-2024 artfynd.xlsx", "A 7770-2024")</f>
        <v/>
      </c>
      <c r="X41">
        <f>HYPERLINK("https://klasma.github.io/Logging_1485/kartor/A 7770-2024 karta.png", "A 7770-2024")</f>
        <v/>
      </c>
      <c r="Y41">
        <f>HYPERLINK("https://klasma.github.io/Logging_1485/kartor_geotiff/A 7770-2024 georefererad karta.tif", "A 7770-2024")</f>
        <v/>
      </c>
      <c r="AA41">
        <f>HYPERLINK("https://klasma.github.io/Logging_1485/klagomål/A 7770-2024 FSC-klagomål.docx", "A 7770-2024")</f>
        <v/>
      </c>
      <c r="AB41">
        <f>HYPERLINK("https://klasma.github.io/Logging_1485/klagomålsmail/A 7770-2024 FSC-klagomål mail.docx", "A 7770-2024")</f>
        <v/>
      </c>
      <c r="AC41">
        <f>HYPERLINK("https://klasma.github.io/Logging_1485/tillsyn/A 7770-2024 tillsynsbegäran.docx", "A 7770-2024")</f>
        <v/>
      </c>
      <c r="AD41">
        <f>HYPERLINK("https://klasma.github.io/Logging_1485/tillsynsmail/A 7770-2024 tillsynsbegäran mail.docx", "A 7770-2024")</f>
        <v/>
      </c>
    </row>
    <row r="42" ht="15" customHeight="1">
      <c r="A42" t="inlineStr">
        <is>
          <t>A 1293-2024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46234</v>
      </c>
      <c r="F42" t="inlineStr">
        <is>
          <t>VÄSTRA GÖTALANDS LÄN</t>
        </is>
      </c>
      <c r="G42" t="inlineStr">
        <is>
          <t>UDDEVALLA</t>
        </is>
      </c>
      <c r="I42" t="n">
        <v>2.2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Tornseglare</t>
        </is>
      </c>
      <c r="W42">
        <f>HYPERLINK("https://klasma.github.io/Logging_1485/artfynd/A 1293-2024 artfynd.xlsx", "A 1293-2024")</f>
        <v/>
      </c>
      <c r="X42">
        <f>HYPERLINK("https://klasma.github.io/Logging_1485/kartor/A 1293-2024 karta.png", "A 1293-2024")</f>
        <v/>
      </c>
      <c r="Y42">
        <f>HYPERLINK("https://klasma.github.io/Logging_1485/kartor_geotiff/A 1293-2024 georefererad karta.tif", "A 1293-2024")</f>
        <v/>
      </c>
      <c r="AA42">
        <f>HYPERLINK("https://klasma.github.io/Logging_1485/klagomål/A 1293-2024 FSC-klagomål.docx", "A 1293-2024")</f>
        <v/>
      </c>
      <c r="AB42">
        <f>HYPERLINK("https://klasma.github.io/Logging_1485/klagomålsmail/A 1293-2024 FSC-klagomål mail.docx", "A 1293-2024")</f>
        <v/>
      </c>
      <c r="AC42">
        <f>HYPERLINK("https://klasma.github.io/Logging_1485/tillsyn/A 1293-2024 tillsynsbegäran.docx", "A 1293-2024")</f>
        <v/>
      </c>
      <c r="AD42">
        <f>HYPERLINK("https://klasma.github.io/Logging_1485/tillsynsmail/A 1293-2024 tillsynsbegäran mail.docx", "A 1293-2024")</f>
        <v/>
      </c>
      <c r="AE42">
        <f>HYPERLINK("https://klasma.github.io/Logging_1485/fåglar/A 1293-2024 prioriterade fågelarter.docx", "A 1293-2024")</f>
        <v/>
      </c>
    </row>
    <row r="43" ht="15" customHeight="1">
      <c r="A43" t="inlineStr">
        <is>
          <t>A 34058-2023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45135</v>
      </c>
      <c r="E43" s="1" t="n">
        <v>46234</v>
      </c>
      <c r="F43" t="inlineStr">
        <is>
          <t>VÄSTRA GÖTALANDS LÄN</t>
        </is>
      </c>
      <c r="G43" t="inlineStr">
        <is>
          <t>UDDEVALLA</t>
        </is>
      </c>
      <c r="I43" t="n">
        <v>1.3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Lundvaxskivling</t>
        </is>
      </c>
      <c r="W43">
        <f>HYPERLINK("https://klasma.github.io/Logging_1485/artfynd/A 34058-2023 artfynd.xlsx", "A 34058-2023")</f>
        <v/>
      </c>
      <c r="X43">
        <f>HYPERLINK("https://klasma.github.io/Logging_1485/kartor/A 34058-2023 karta.png", "A 34058-2023")</f>
        <v/>
      </c>
      <c r="Y43">
        <f>HYPERLINK("https://klasma.github.io/Logging_1485/kartor_geotiff/A 34058-2023 georefererad karta.tif", "A 34058-2023")</f>
        <v/>
      </c>
      <c r="AA43">
        <f>HYPERLINK("https://klasma.github.io/Logging_1485/klagomål/A 34058-2023 FSC-klagomål.docx", "A 34058-2023")</f>
        <v/>
      </c>
      <c r="AB43">
        <f>HYPERLINK("https://klasma.github.io/Logging_1485/klagomålsmail/A 34058-2023 FSC-klagomål mail.docx", "A 34058-2023")</f>
        <v/>
      </c>
      <c r="AC43">
        <f>HYPERLINK("https://klasma.github.io/Logging_1485/tillsyn/A 34058-2023 tillsynsbegäran.docx", "A 34058-2023")</f>
        <v/>
      </c>
      <c r="AD43">
        <f>HYPERLINK("https://klasma.github.io/Logging_1485/tillsynsmail/A 34058-2023 tillsynsbegäran mail.docx", "A 34058-2023")</f>
        <v/>
      </c>
    </row>
    <row r="44" ht="15" customHeight="1">
      <c r="A44" t="inlineStr">
        <is>
          <t>A 29691-2023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46234</v>
      </c>
      <c r="F44" t="inlineStr">
        <is>
          <t>VÄSTRA GÖTALANDS LÄN</t>
        </is>
      </c>
      <c r="G44" t="inlineStr">
        <is>
          <t>UDDEVALLA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Kopparödla</t>
        </is>
      </c>
      <c r="W44">
        <f>HYPERLINK("https://klasma.github.io/Logging_1485/artfynd/A 29691-2023 artfynd.xlsx", "A 29691-2023")</f>
        <v/>
      </c>
      <c r="X44">
        <f>HYPERLINK("https://klasma.github.io/Logging_1485/kartor/A 29691-2023 karta.png", "A 29691-2023")</f>
        <v/>
      </c>
      <c r="Y44">
        <f>HYPERLINK("https://klasma.github.io/Logging_1485/kartor_geotiff/A 29691-2023 georefererad karta.tif", "A 29691-2023")</f>
        <v/>
      </c>
      <c r="AA44">
        <f>HYPERLINK("https://klasma.github.io/Logging_1485/klagomål/A 29691-2023 FSC-klagomål.docx", "A 29691-2023")</f>
        <v/>
      </c>
      <c r="AB44">
        <f>HYPERLINK("https://klasma.github.io/Logging_1485/klagomålsmail/A 29691-2023 FSC-klagomål mail.docx", "A 29691-2023")</f>
        <v/>
      </c>
      <c r="AC44">
        <f>HYPERLINK("https://klasma.github.io/Logging_1485/tillsyn/A 29691-2023 tillsynsbegäran.docx", "A 29691-2023")</f>
        <v/>
      </c>
      <c r="AD44">
        <f>HYPERLINK("https://klasma.github.io/Logging_1485/tillsynsmail/A 29691-2023 tillsynsbegäran mail.docx", "A 29691-2023")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46234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2429-2026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46234</v>
      </c>
      <c r="F46" t="inlineStr">
        <is>
          <t>VÄSTRA GÖTALANDS LÄN</t>
        </is>
      </c>
      <c r="G46" t="inlineStr">
        <is>
          <t>UDDEVALLA</t>
        </is>
      </c>
      <c r="I46" t="n">
        <v>7.6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HYPERLINK("https://klasma.github.io/Logging_1485/artfynd/A 2429-2026 artfynd.xlsx", "A 2429-2026")</f>
        <v/>
      </c>
      <c r="X46">
        <f>HYPERLINK("https://klasma.github.io/Logging_1485/kartor/A 2429-2026 karta.png", "A 2429-2026")</f>
        <v/>
      </c>
      <c r="Y46">
        <f>HYPERLINK("https://klasma.github.io/Logging_1485/kartor_geotiff/A 2429-2026 georefererad karta.tif", "A 2429-2026")</f>
        <v/>
      </c>
      <c r="AA46">
        <f>HYPERLINK("https://klasma.github.io/Logging_1485/klagomål/A 2429-2026 FSC-klagomål.docx", "A 2429-2026")</f>
        <v/>
      </c>
      <c r="AB46">
        <f>HYPERLINK("https://klasma.github.io/Logging_1485/klagomålsmail/A 2429-2026 FSC-klagomål mail.docx", "A 2429-2026")</f>
        <v/>
      </c>
      <c r="AC46">
        <f>HYPERLINK("https://klasma.github.io/Logging_1485/tillsyn/A 2429-2026 tillsynsbegäran.docx", "A 2429-2026")</f>
        <v/>
      </c>
      <c r="AD46">
        <f>HYPERLINK("https://klasma.github.io/Logging_1485/tillsynsmail/A 2429-2026 tillsynsbegäran mail.docx", "A 2429-2026")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46234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46234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46234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46234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46234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46234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46234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46234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46234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46234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46234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46234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46234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46234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46234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46234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46234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46234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46234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46234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46234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46234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46234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44413</v>
      </c>
      <c r="E70" s="1" t="n">
        <v>46234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46234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45633</v>
      </c>
      <c r="E72" s="1" t="n">
        <v>46234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45212</v>
      </c>
      <c r="E73" s="1" t="n">
        <v>46234</v>
      </c>
      <c r="F73" t="inlineStr">
        <is>
          <t>VÄSTRA GÖTALANDS LÄN</t>
        </is>
      </c>
      <c r="G73" t="inlineStr">
        <is>
          <t>UDDEVALLA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46234</v>
      </c>
      <c r="F74" t="inlineStr">
        <is>
          <t>VÄSTRA GÖTALANDS LÄN</t>
        </is>
      </c>
      <c r="G74" t="inlineStr">
        <is>
          <t>UDDEVALLA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44959</v>
      </c>
      <c r="E75" s="1" t="n">
        <v>46234</v>
      </c>
      <c r="F75" t="inlineStr">
        <is>
          <t>VÄSTRA GÖTALANDS LÄN</t>
        </is>
      </c>
      <c r="G75" t="inlineStr">
        <is>
          <t>UDDEVALLA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44823</v>
      </c>
      <c r="E76" s="1" t="n">
        <v>46234</v>
      </c>
      <c r="F76" t="inlineStr">
        <is>
          <t>VÄSTRA GÖTALANDS LÄN</t>
        </is>
      </c>
      <c r="G76" t="inlineStr">
        <is>
          <t>UDDEVALLA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46234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46234</v>
      </c>
      <c r="F78" t="inlineStr">
        <is>
          <t>VÄSTRA GÖTALANDS LÄN</t>
        </is>
      </c>
      <c r="G78" t="inlineStr">
        <is>
          <t>UDDEVALLA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45656</v>
      </c>
      <c r="E79" s="1" t="n">
        <v>46234</v>
      </c>
      <c r="F79" t="inlineStr">
        <is>
          <t>VÄSTRA GÖTALANDS LÄN</t>
        </is>
      </c>
      <c r="G79" t="inlineStr">
        <is>
          <t>UDDEVALLA</t>
        </is>
      </c>
      <c r="H79" t="inlineStr">
        <is>
          <t>Kommuner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45656</v>
      </c>
      <c r="E80" s="1" t="n">
        <v>46234</v>
      </c>
      <c r="F80" t="inlineStr">
        <is>
          <t>VÄSTRA GÖTALANDS LÄN</t>
        </is>
      </c>
      <c r="G80" t="inlineStr">
        <is>
          <t>UDDEVALLA</t>
        </is>
      </c>
      <c r="H80" t="inlineStr">
        <is>
          <t>Kommuner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21332-2024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45440</v>
      </c>
      <c r="E81" s="1" t="n">
        <v>46234</v>
      </c>
      <c r="F81" t="inlineStr">
        <is>
          <t>VÄSTRA GÖTALANDS LÄN</t>
        </is>
      </c>
      <c r="G81" t="inlineStr">
        <is>
          <t>UDDEVALLA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45656</v>
      </c>
      <c r="E82" s="1" t="n">
        <v>46234</v>
      </c>
      <c r="F82" t="inlineStr">
        <is>
          <t>VÄSTRA GÖTALANDS LÄN</t>
        </is>
      </c>
      <c r="G82" t="inlineStr">
        <is>
          <t>UDDEVALLA</t>
        </is>
      </c>
      <c r="H82" t="inlineStr">
        <is>
          <t>Kommuner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45656</v>
      </c>
      <c r="E83" s="1" t="n">
        <v>46234</v>
      </c>
      <c r="F83" t="inlineStr">
        <is>
          <t>VÄSTRA GÖTALANDS LÄN</t>
        </is>
      </c>
      <c r="G83" t="inlineStr">
        <is>
          <t>UDDEVALLA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62077-2024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45656</v>
      </c>
      <c r="E84" s="1" t="n">
        <v>46234</v>
      </c>
      <c r="F84" t="inlineStr">
        <is>
          <t>VÄSTRA GÖTALANDS LÄN</t>
        </is>
      </c>
      <c r="G84" t="inlineStr">
        <is>
          <t>UDDEVALLA</t>
        </is>
      </c>
      <c r="H84" t="inlineStr">
        <is>
          <t>Kommuner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46234</v>
      </c>
      <c r="F85" t="inlineStr">
        <is>
          <t>VÄSTRA GÖTALANDS LÄN</t>
        </is>
      </c>
      <c r="G85" t="inlineStr">
        <is>
          <t>UDDEVALLA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45644</v>
      </c>
      <c r="E86" s="1" t="n">
        <v>46234</v>
      </c>
      <c r="F86" t="inlineStr">
        <is>
          <t>VÄSTRA GÖTALANDS LÄN</t>
        </is>
      </c>
      <c r="G86" t="inlineStr">
        <is>
          <t>UDDEVALLA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60241-2024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45642</v>
      </c>
      <c r="E87" s="1" t="n">
        <v>46234</v>
      </c>
      <c r="F87" t="inlineStr">
        <is>
          <t>VÄSTRA GÖTALANDS LÄN</t>
        </is>
      </c>
      <c r="G87" t="inlineStr">
        <is>
          <t>UDDEVALLA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46234</v>
      </c>
      <c r="F88" t="inlineStr">
        <is>
          <t>VÄSTRA GÖTALANDS LÄN</t>
        </is>
      </c>
      <c r="G88" t="inlineStr">
        <is>
          <t>UDDEVALLA</t>
        </is>
      </c>
      <c r="I88" t="n">
        <v>12.9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46234</v>
      </c>
      <c r="F89" t="inlineStr">
        <is>
          <t>VÄSTRA GÖTALANDS LÄN</t>
        </is>
      </c>
      <c r="G89" t="inlineStr">
        <is>
          <t>UDDEVALLA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45470</v>
      </c>
      <c r="E90" s="1" t="n">
        <v>46234</v>
      </c>
      <c r="F90" t="inlineStr">
        <is>
          <t>VÄSTRA GÖTALANDS LÄN</t>
        </is>
      </c>
      <c r="G90" t="inlineStr">
        <is>
          <t>UDDEVALLA</t>
        </is>
      </c>
      <c r="H90" t="inlineStr">
        <is>
          <t>Kommuner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45656</v>
      </c>
      <c r="E91" s="1" t="n">
        <v>46234</v>
      </c>
      <c r="F91" t="inlineStr">
        <is>
          <t>VÄSTRA GÖTALANDS LÄN</t>
        </is>
      </c>
      <c r="G91" t="inlineStr">
        <is>
          <t>UDDEVALLA</t>
        </is>
      </c>
      <c r="H91" t="inlineStr">
        <is>
          <t>Kommuner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46234</v>
      </c>
      <c r="F92" t="inlineStr">
        <is>
          <t>VÄSTRA GÖTALANDS LÄN</t>
        </is>
      </c>
      <c r="G92" t="inlineStr">
        <is>
          <t>UDDEVALLA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45684</v>
      </c>
      <c r="E93" s="1" t="n">
        <v>46234</v>
      </c>
      <c r="F93" t="inlineStr">
        <is>
          <t>VÄSTRA GÖTALANDS LÄN</t>
        </is>
      </c>
      <c r="G93" t="inlineStr">
        <is>
          <t>UDDEVALLA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46234</v>
      </c>
      <c r="F94" t="inlineStr">
        <is>
          <t>VÄSTRA GÖTALANDS LÄN</t>
        </is>
      </c>
      <c r="G94" t="inlineStr">
        <is>
          <t>UDDEVALLA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46234</v>
      </c>
      <c r="F95" t="inlineStr">
        <is>
          <t>VÄSTRA GÖTALANDS LÄN</t>
        </is>
      </c>
      <c r="G95" t="inlineStr">
        <is>
          <t>UDDEVALLA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46234</v>
      </c>
      <c r="F96" t="inlineStr">
        <is>
          <t>VÄSTRA GÖTALANDS LÄN</t>
        </is>
      </c>
      <c r="G96" t="inlineStr">
        <is>
          <t>UDDEVALLA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39121-2024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46234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73437-2021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44551</v>
      </c>
      <c r="E98" s="1" t="n">
        <v>46234</v>
      </c>
      <c r="F98" t="inlineStr">
        <is>
          <t>VÄSTRA GÖTALANDS LÄN</t>
        </is>
      </c>
      <c r="G98" t="inlineStr">
        <is>
          <t>UDDEVALLA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46234</v>
      </c>
      <c r="F99" t="inlineStr">
        <is>
          <t>VÄSTRA GÖTALANDS LÄN</t>
        </is>
      </c>
      <c r="G99" t="inlineStr">
        <is>
          <t>UDDEVALLA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50609-2025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46234</v>
      </c>
      <c r="F100" t="inlineStr">
        <is>
          <t>VÄSTRA GÖTALANDS LÄN</t>
        </is>
      </c>
      <c r="G100" t="inlineStr">
        <is>
          <t>UDDEVALLA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46234</v>
      </c>
      <c r="F101" t="inlineStr">
        <is>
          <t>VÄSTRA GÖTALANDS LÄN</t>
        </is>
      </c>
      <c r="G101" t="inlineStr">
        <is>
          <t>UDDEVALLA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46234</v>
      </c>
      <c r="F102" t="inlineStr">
        <is>
          <t>VÄSTRA GÖTALANDS LÄN</t>
        </is>
      </c>
      <c r="G102" t="inlineStr">
        <is>
          <t>UDDEVALLA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46234</v>
      </c>
      <c r="F103" t="inlineStr">
        <is>
          <t>VÄSTRA GÖTALANDS LÄN</t>
        </is>
      </c>
      <c r="G103" t="inlineStr">
        <is>
          <t>UDDEVALLA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46234</v>
      </c>
      <c r="F104" t="inlineStr">
        <is>
          <t>VÄSTRA GÖTALANDS LÄN</t>
        </is>
      </c>
      <c r="G104" t="inlineStr">
        <is>
          <t>UDDEVALLA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46234</v>
      </c>
      <c r="F105" t="inlineStr">
        <is>
          <t>VÄSTRA GÖTALANDS LÄN</t>
        </is>
      </c>
      <c r="G105" t="inlineStr">
        <is>
          <t>UDDEVALLA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46234</v>
      </c>
      <c r="F106" t="inlineStr">
        <is>
          <t>VÄSTRA GÖTALANDS LÄN</t>
        </is>
      </c>
      <c r="G106" t="inlineStr">
        <is>
          <t>UDDEVALLA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46234</v>
      </c>
      <c r="F107" t="inlineStr">
        <is>
          <t>VÄSTRA GÖTALANDS LÄN</t>
        </is>
      </c>
      <c r="G107" t="inlineStr">
        <is>
          <t>UDDEVALLA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46234</v>
      </c>
      <c r="F108" t="inlineStr">
        <is>
          <t>VÄSTRA GÖTALANDS LÄN</t>
        </is>
      </c>
      <c r="G108" t="inlineStr">
        <is>
          <t>UDDEVALLA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45568</v>
      </c>
      <c r="E109" s="1" t="n">
        <v>46234</v>
      </c>
      <c r="F109" t="inlineStr">
        <is>
          <t>VÄSTRA GÖTALANDS LÄN</t>
        </is>
      </c>
      <c r="G109" t="inlineStr">
        <is>
          <t>UDDEVALLA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46234</v>
      </c>
      <c r="F110" t="inlineStr">
        <is>
          <t>VÄSTRA GÖTALANDS LÄN</t>
        </is>
      </c>
      <c r="G110" t="inlineStr">
        <is>
          <t>UDDEVALLA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46234</v>
      </c>
      <c r="F111" t="inlineStr">
        <is>
          <t>VÄSTRA GÖTALANDS LÄN</t>
        </is>
      </c>
      <c r="G111" t="inlineStr">
        <is>
          <t>UDDEVALLA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46234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46234</v>
      </c>
      <c r="F113" t="inlineStr">
        <is>
          <t>VÄSTRA GÖTALANDS LÄN</t>
        </is>
      </c>
      <c r="G113" t="inlineStr">
        <is>
          <t>UDDEVALLA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46234</v>
      </c>
      <c r="F114" t="inlineStr">
        <is>
          <t>VÄSTRA GÖTALANDS LÄN</t>
        </is>
      </c>
      <c r="G114" t="inlineStr">
        <is>
          <t>UDDEVALLA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46234</v>
      </c>
      <c r="F115" t="inlineStr">
        <is>
          <t>VÄSTRA GÖTALANDS LÄN</t>
        </is>
      </c>
      <c r="G115" t="inlineStr">
        <is>
          <t>UDDEVALLA</t>
        </is>
      </c>
      <c r="I115" t="n">
        <v>12.2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46234</v>
      </c>
      <c r="F116" t="inlineStr">
        <is>
          <t>VÄSTRA GÖTALANDS LÄN</t>
        </is>
      </c>
      <c r="G116" t="inlineStr">
        <is>
          <t>UDDEVALLA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46234</v>
      </c>
      <c r="F117" t="inlineStr">
        <is>
          <t>VÄSTRA GÖTALANDS LÄN</t>
        </is>
      </c>
      <c r="G117" t="inlineStr">
        <is>
          <t>UDDEVALLA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45551</v>
      </c>
      <c r="E118" s="1" t="n">
        <v>46234</v>
      </c>
      <c r="F118" t="inlineStr">
        <is>
          <t>VÄSTRA GÖTALANDS LÄN</t>
        </is>
      </c>
      <c r="G118" t="inlineStr">
        <is>
          <t>UDDEVALLA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46234</v>
      </c>
      <c r="F119" t="inlineStr">
        <is>
          <t>VÄSTRA GÖTALANDS LÄN</t>
        </is>
      </c>
      <c r="G119" t="inlineStr">
        <is>
          <t>UDDEVALLA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45537</v>
      </c>
      <c r="E120" s="1" t="n">
        <v>46234</v>
      </c>
      <c r="F120" t="inlineStr">
        <is>
          <t>VÄSTRA GÖTALANDS LÄN</t>
        </is>
      </c>
      <c r="G120" t="inlineStr">
        <is>
          <t>UDDEVALLA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46234</v>
      </c>
      <c r="F121" t="inlineStr">
        <is>
          <t>VÄSTRA GÖTALANDS LÄN</t>
        </is>
      </c>
      <c r="G121" t="inlineStr">
        <is>
          <t>UDDEVALLA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51747-2025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45950</v>
      </c>
      <c r="E122" s="1" t="n">
        <v>46234</v>
      </c>
      <c r="F122" t="inlineStr">
        <is>
          <t>VÄSTRA GÖTALANDS LÄN</t>
        </is>
      </c>
      <c r="G122" t="inlineStr">
        <is>
          <t>UDDEVALLA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46234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45940</v>
      </c>
      <c r="E124" s="1" t="n">
        <v>46234</v>
      </c>
      <c r="F124" t="inlineStr">
        <is>
          <t>VÄSTRA GÖTALANDS LÄN</t>
        </is>
      </c>
      <c r="G124" t="inlineStr">
        <is>
          <t>UDDEVALLA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46234</v>
      </c>
      <c r="F125" t="inlineStr">
        <is>
          <t>VÄSTRA GÖTALANDS LÄN</t>
        </is>
      </c>
      <c r="G125" t="inlineStr">
        <is>
          <t>UDDEVALLA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45914</v>
      </c>
      <c r="E126" s="1" t="n">
        <v>46234</v>
      </c>
      <c r="F126" t="inlineStr">
        <is>
          <t>VÄSTRA GÖTALANDS LÄN</t>
        </is>
      </c>
      <c r="G126" t="inlineStr">
        <is>
          <t>UDDEVALLA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52889-2023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46234</v>
      </c>
      <c r="F127" t="inlineStr">
        <is>
          <t>VÄSTRA GÖTALANDS LÄN</t>
        </is>
      </c>
      <c r="G127" t="inlineStr">
        <is>
          <t>UDDEVALLA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46234</v>
      </c>
      <c r="F128" t="inlineStr">
        <is>
          <t>VÄSTRA GÖTALANDS LÄN</t>
        </is>
      </c>
      <c r="G128" t="inlineStr">
        <is>
          <t>UDDEVALLA</t>
        </is>
      </c>
      <c r="I128" t="n">
        <v>19.4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46234</v>
      </c>
      <c r="F129" t="inlineStr">
        <is>
          <t>VÄSTRA GÖTALANDS LÄN</t>
        </is>
      </c>
      <c r="G129" t="inlineStr">
        <is>
          <t>UDDEVALLA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45455</v>
      </c>
      <c r="E130" s="1" t="n">
        <v>46234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44624</v>
      </c>
      <c r="E131" s="1" t="n">
        <v>46234</v>
      </c>
      <c r="F131" t="inlineStr">
        <is>
          <t>VÄSTRA GÖTALANDS LÄN</t>
        </is>
      </c>
      <c r="G131" t="inlineStr">
        <is>
          <t>UDDEVALLA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45722</v>
      </c>
      <c r="E132" s="1" t="n">
        <v>46234</v>
      </c>
      <c r="F132" t="inlineStr">
        <is>
          <t>VÄSTRA GÖTALANDS LÄN</t>
        </is>
      </c>
      <c r="G132" t="inlineStr">
        <is>
          <t>UDDEVALLA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45551</v>
      </c>
      <c r="E133" s="1" t="n">
        <v>46234</v>
      </c>
      <c r="F133" t="inlineStr">
        <is>
          <t>VÄSTRA GÖTALANDS LÄN</t>
        </is>
      </c>
      <c r="G133" t="inlineStr">
        <is>
          <t>UDDEVALLA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44592</v>
      </c>
      <c r="E134" s="1" t="n">
        <v>46234</v>
      </c>
      <c r="F134" t="inlineStr">
        <is>
          <t>VÄSTRA GÖTALANDS LÄN</t>
        </is>
      </c>
      <c r="G134" t="inlineStr">
        <is>
          <t>UDDEVALLA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45455</v>
      </c>
      <c r="E135" s="1" t="n">
        <v>46234</v>
      </c>
      <c r="F135" t="inlineStr">
        <is>
          <t>VÄSTRA GÖTALANDS LÄN</t>
        </is>
      </c>
      <c r="G135" t="inlineStr">
        <is>
          <t>UDDEVALLA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46234</v>
      </c>
      <c r="F136" t="inlineStr">
        <is>
          <t>VÄSTRA GÖTALANDS LÄN</t>
        </is>
      </c>
      <c r="G136" t="inlineStr">
        <is>
          <t>UDDEVALLA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47083-2025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46234</v>
      </c>
      <c r="F137" t="inlineStr">
        <is>
          <t>VÄSTRA GÖTALANDS LÄN</t>
        </is>
      </c>
      <c r="G137" t="inlineStr">
        <is>
          <t>UDDEVALLA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45426</v>
      </c>
      <c r="E138" s="1" t="n">
        <v>46234</v>
      </c>
      <c r="F138" t="inlineStr">
        <is>
          <t>VÄSTRA GÖTALANDS LÄN</t>
        </is>
      </c>
      <c r="G138" t="inlineStr">
        <is>
          <t>UDDEVALLA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46234</v>
      </c>
      <c r="F139" t="inlineStr">
        <is>
          <t>VÄSTRA GÖTALANDS LÄN</t>
        </is>
      </c>
      <c r="G139" t="inlineStr">
        <is>
          <t>UDDEVALLA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46234</v>
      </c>
      <c r="F140" t="inlineStr">
        <is>
          <t>VÄSTRA GÖTALANDS LÄN</t>
        </is>
      </c>
      <c r="G140" t="inlineStr">
        <is>
          <t>UDDEVALLA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45723</v>
      </c>
      <c r="E141" s="1" t="n">
        <v>46234</v>
      </c>
      <c r="F141" t="inlineStr">
        <is>
          <t>VÄSTRA GÖTALANDS LÄN</t>
        </is>
      </c>
      <c r="G141" t="inlineStr">
        <is>
          <t>UDDEVALLA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46234</v>
      </c>
      <c r="F142" t="inlineStr">
        <is>
          <t>VÄSTRA GÖTALANDS LÄN</t>
        </is>
      </c>
      <c r="G142" t="inlineStr">
        <is>
          <t>UDDEVALLA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46234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46234</v>
      </c>
      <c r="F144" t="inlineStr">
        <is>
          <t>VÄSTRA GÖTALANDS LÄN</t>
        </is>
      </c>
      <c r="G144" t="inlineStr">
        <is>
          <t>UDDEVALLA</t>
        </is>
      </c>
      <c r="I144" t="n">
        <v>7.7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46234</v>
      </c>
      <c r="F145" t="inlineStr">
        <is>
          <t>VÄSTRA GÖTALANDS LÄN</t>
        </is>
      </c>
      <c r="G145" t="inlineStr">
        <is>
          <t>UDDEVALLA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46234</v>
      </c>
      <c r="F146" t="inlineStr">
        <is>
          <t>VÄSTRA GÖTALANDS LÄN</t>
        </is>
      </c>
      <c r="G146" t="inlineStr">
        <is>
          <t>UDDEVALLA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46234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45826</v>
      </c>
      <c r="E148" s="1" t="n">
        <v>46234</v>
      </c>
      <c r="F148" t="inlineStr">
        <is>
          <t>VÄSTRA GÖTALANDS LÄN</t>
        </is>
      </c>
      <c r="G148" t="inlineStr">
        <is>
          <t>UDDEVALLA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44133-2024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46234</v>
      </c>
      <c r="F149" t="inlineStr">
        <is>
          <t>VÄSTRA GÖTALANDS LÄN</t>
        </is>
      </c>
      <c r="G149" t="inlineStr">
        <is>
          <t>UDDEVALLA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46234</v>
      </c>
      <c r="F150" t="inlineStr">
        <is>
          <t>VÄSTRA GÖTALANDS LÄN</t>
        </is>
      </c>
      <c r="G150" t="inlineStr">
        <is>
          <t>UDDEVALLA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45594</v>
      </c>
      <c r="E151" s="1" t="n">
        <v>46234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46234</v>
      </c>
      <c r="F152" t="inlineStr">
        <is>
          <t>VÄSTRA GÖTALANDS LÄN</t>
        </is>
      </c>
      <c r="G152" t="inlineStr">
        <is>
          <t>UDDEVALLA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45843</v>
      </c>
      <c r="E153" s="1" t="n">
        <v>46234</v>
      </c>
      <c r="F153" t="inlineStr">
        <is>
          <t>VÄSTRA GÖTALANDS LÄN</t>
        </is>
      </c>
      <c r="G153" t="inlineStr">
        <is>
          <t>UDDEVALLA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45847</v>
      </c>
      <c r="E154" s="1" t="n">
        <v>46234</v>
      </c>
      <c r="F154" t="inlineStr">
        <is>
          <t>VÄSTRA GÖTALANDS LÄN</t>
        </is>
      </c>
      <c r="G154" t="inlineStr">
        <is>
          <t>UDDEVALLA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58958-2021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44489</v>
      </c>
      <c r="E155" s="1" t="n">
        <v>46234</v>
      </c>
      <c r="F155" t="inlineStr">
        <is>
          <t>VÄSTRA GÖTALANDS LÄN</t>
        </is>
      </c>
      <c r="G155" t="inlineStr">
        <is>
          <t>UDDEVALLA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45588</v>
      </c>
      <c r="E156" s="1" t="n">
        <v>46234</v>
      </c>
      <c r="F156" t="inlineStr">
        <is>
          <t>VÄSTRA GÖTALANDS LÄN</t>
        </is>
      </c>
      <c r="G156" t="inlineStr">
        <is>
          <t>UDDEVALLA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46234</v>
      </c>
      <c r="F157" t="inlineStr">
        <is>
          <t>VÄSTRA GÖTALANDS LÄN</t>
        </is>
      </c>
      <c r="G157" t="inlineStr">
        <is>
          <t>UDDEVALLA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45772</v>
      </c>
      <c r="E158" s="1" t="n">
        <v>46234</v>
      </c>
      <c r="F158" t="inlineStr">
        <is>
          <t>VÄSTRA GÖTALANDS LÄN</t>
        </is>
      </c>
      <c r="G158" t="inlineStr">
        <is>
          <t>UDDEVALLA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46234</v>
      </c>
      <c r="F159" t="inlineStr">
        <is>
          <t>VÄSTRA GÖTALANDS LÄN</t>
        </is>
      </c>
      <c r="G159" t="inlineStr">
        <is>
          <t>UDDEVALLA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46234</v>
      </c>
      <c r="F160" t="inlineStr">
        <is>
          <t>VÄSTRA GÖTALANDS LÄN</t>
        </is>
      </c>
      <c r="G160" t="inlineStr">
        <is>
          <t>UDDEVALLA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46234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45672</v>
      </c>
      <c r="E162" s="1" t="n">
        <v>46234</v>
      </c>
      <c r="F162" t="inlineStr">
        <is>
          <t>VÄSTRA GÖTALANDS LÄN</t>
        </is>
      </c>
      <c r="G162" t="inlineStr">
        <is>
          <t>UDDEVALLA</t>
        </is>
      </c>
      <c r="I162" t="n">
        <v>14.1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46234</v>
      </c>
      <c r="F163" t="inlineStr">
        <is>
          <t>VÄSTRA GÖTALANDS LÄN</t>
        </is>
      </c>
      <c r="G163" t="inlineStr">
        <is>
          <t>UDDEVALLA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46234</v>
      </c>
      <c r="F164" t="inlineStr">
        <is>
          <t>VÄSTRA GÖTALANDS LÄN</t>
        </is>
      </c>
      <c r="G164" t="inlineStr">
        <is>
          <t>UDDEVALLA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46234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40037-2021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44418</v>
      </c>
      <c r="E166" s="1" t="n">
        <v>46234</v>
      </c>
      <c r="F166" t="inlineStr">
        <is>
          <t>VÄSTRA GÖTALANDS LÄN</t>
        </is>
      </c>
      <c r="G166" t="inlineStr">
        <is>
          <t>UDDEVALLA</t>
        </is>
      </c>
      <c r="I166" t="n">
        <v>10.3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45150</v>
      </c>
      <c r="E167" s="1" t="n">
        <v>46234</v>
      </c>
      <c r="F167" t="inlineStr">
        <is>
          <t>VÄSTRA GÖTALANDS LÄN</t>
        </is>
      </c>
      <c r="G167" t="inlineStr">
        <is>
          <t>UDDEVALLA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46234</v>
      </c>
      <c r="F168" t="inlineStr">
        <is>
          <t>VÄSTRA GÖTALANDS LÄN</t>
        </is>
      </c>
      <c r="G168" t="inlineStr">
        <is>
          <t>UDDEVALLA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46234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46234</v>
      </c>
      <c r="F170" t="inlineStr">
        <is>
          <t>VÄSTRA GÖTALANDS LÄN</t>
        </is>
      </c>
      <c r="G170" t="inlineStr">
        <is>
          <t>UDDEVALLA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46234</v>
      </c>
      <c r="F171" t="inlineStr">
        <is>
          <t>VÄSTRA GÖTALANDS LÄN</t>
        </is>
      </c>
      <c r="G171" t="inlineStr">
        <is>
          <t>UDDEVALLA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44834</v>
      </c>
      <c r="E172" s="1" t="n">
        <v>46234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46234</v>
      </c>
      <c r="F173" t="inlineStr">
        <is>
          <t>VÄSTRA GÖTALANDS LÄN</t>
        </is>
      </c>
      <c r="G173" t="inlineStr">
        <is>
          <t>UDDEVALLA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46234</v>
      </c>
      <c r="F174" t="inlineStr">
        <is>
          <t>VÄSTRA GÖTALANDS LÄN</t>
        </is>
      </c>
      <c r="G174" t="inlineStr">
        <is>
          <t>UDDEVALLA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45560</v>
      </c>
      <c r="E175" s="1" t="n">
        <v>46234</v>
      </c>
      <c r="F175" t="inlineStr">
        <is>
          <t>VÄSTRA GÖTALANDS LÄN</t>
        </is>
      </c>
      <c r="G175" t="inlineStr">
        <is>
          <t>UDDEVALLA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46234</v>
      </c>
      <c r="F176" t="inlineStr">
        <is>
          <t>VÄSTRA GÖTALANDS LÄN</t>
        </is>
      </c>
      <c r="G176" t="inlineStr">
        <is>
          <t>UDDEVALLA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46234</v>
      </c>
      <c r="F177" t="inlineStr">
        <is>
          <t>VÄSTRA GÖTALANDS LÄN</t>
        </is>
      </c>
      <c r="G177" t="inlineStr">
        <is>
          <t>UDDEVALLA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44715</v>
      </c>
      <c r="E178" s="1" t="n">
        <v>46234</v>
      </c>
      <c r="F178" t="inlineStr">
        <is>
          <t>VÄSTRA GÖTALANDS LÄN</t>
        </is>
      </c>
      <c r="G178" t="inlineStr">
        <is>
          <t>UDDEVALLA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44998</v>
      </c>
      <c r="E179" s="1" t="n">
        <v>46234</v>
      </c>
      <c r="F179" t="inlineStr">
        <is>
          <t>VÄSTRA GÖTALANDS LÄN</t>
        </is>
      </c>
      <c r="G179" t="inlineStr">
        <is>
          <t>UDDEVALLA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46234</v>
      </c>
      <c r="F180" t="inlineStr">
        <is>
          <t>VÄSTRA GÖTALANDS LÄN</t>
        </is>
      </c>
      <c r="G180" t="inlineStr">
        <is>
          <t>UDDEVALLA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46026</v>
      </c>
      <c r="E181" s="1" t="n">
        <v>46234</v>
      </c>
      <c r="F181" t="inlineStr">
        <is>
          <t>VÄSTRA GÖTALANDS LÄN</t>
        </is>
      </c>
      <c r="G181" t="inlineStr">
        <is>
          <t>UDDEVALLA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46027</v>
      </c>
      <c r="E182" s="1" t="n">
        <v>46234</v>
      </c>
      <c r="F182" t="inlineStr">
        <is>
          <t>VÄSTRA GÖTALANDS LÄN</t>
        </is>
      </c>
      <c r="G182" t="inlineStr">
        <is>
          <t>UDDEVALLA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46234</v>
      </c>
      <c r="F183" t="inlineStr">
        <is>
          <t>VÄSTRA GÖTALANDS LÄN</t>
        </is>
      </c>
      <c r="G183" t="inlineStr">
        <is>
          <t>UDDEVALLA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46234</v>
      </c>
      <c r="F184" t="inlineStr">
        <is>
          <t>VÄSTRA GÖTALANDS LÄN</t>
        </is>
      </c>
      <c r="G184" t="inlineStr">
        <is>
          <t>UDDEVALLA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46234</v>
      </c>
      <c r="F185" t="inlineStr">
        <is>
          <t>VÄSTRA GÖTALANDS LÄN</t>
        </is>
      </c>
      <c r="G185" t="inlineStr">
        <is>
          <t>UDDEVALLA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46234</v>
      </c>
      <c r="F186" t="inlineStr">
        <is>
          <t>VÄSTRA GÖTALANDS LÄN</t>
        </is>
      </c>
      <c r="G186" t="inlineStr">
        <is>
          <t>UDDEVALLA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46234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46234</v>
      </c>
      <c r="F188" t="inlineStr">
        <is>
          <t>VÄSTRA GÖTALANDS LÄN</t>
        </is>
      </c>
      <c r="G188" t="inlineStr">
        <is>
          <t>UDDEVALLA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46234</v>
      </c>
      <c r="F189" t="inlineStr">
        <is>
          <t>VÄSTRA GÖTALANDS LÄN</t>
        </is>
      </c>
      <c r="G189" t="inlineStr">
        <is>
          <t>UDDEVALLA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46234</v>
      </c>
      <c r="F190" t="inlineStr">
        <is>
          <t>VÄSTRA GÖTALANDS LÄN</t>
        </is>
      </c>
      <c r="G190" t="inlineStr">
        <is>
          <t>UDDEVALLA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46234</v>
      </c>
      <c r="F191" t="inlineStr">
        <is>
          <t>VÄSTRA GÖTALANDS LÄN</t>
        </is>
      </c>
      <c r="G191" t="inlineStr">
        <is>
          <t>UDDEVALLA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45149-2024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46234</v>
      </c>
      <c r="F192" t="inlineStr">
        <is>
          <t>VÄSTRA GÖTALANDS LÄN</t>
        </is>
      </c>
      <c r="G192" t="inlineStr">
        <is>
          <t>UDDEVALLA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46234</v>
      </c>
      <c r="F193" t="inlineStr">
        <is>
          <t>VÄSTRA GÖTALANDS LÄN</t>
        </is>
      </c>
      <c r="G193" t="inlineStr">
        <is>
          <t>UDDEVALLA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46234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46234</v>
      </c>
      <c r="F195" t="inlineStr">
        <is>
          <t>VÄSTRA GÖTALANDS LÄN</t>
        </is>
      </c>
      <c r="G195" t="inlineStr">
        <is>
          <t>UDDEVALLA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46234</v>
      </c>
      <c r="F196" t="inlineStr">
        <is>
          <t>VÄSTRA GÖTALANDS LÄN</t>
        </is>
      </c>
      <c r="G196" t="inlineStr">
        <is>
          <t>UDDEVALLA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44683</v>
      </c>
      <c r="E197" s="1" t="n">
        <v>46234</v>
      </c>
      <c r="F197" t="inlineStr">
        <is>
          <t>VÄSTRA GÖTALANDS LÄN</t>
        </is>
      </c>
      <c r="G197" t="inlineStr">
        <is>
          <t>UDDEVALLA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46234</v>
      </c>
      <c r="F198" t="inlineStr">
        <is>
          <t>VÄSTRA GÖTALANDS LÄN</t>
        </is>
      </c>
      <c r="G198" t="inlineStr">
        <is>
          <t>UDDEVALLA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45667</v>
      </c>
      <c r="E199" s="1" t="n">
        <v>46234</v>
      </c>
      <c r="F199" t="inlineStr">
        <is>
          <t>VÄSTRA GÖTALANDS LÄN</t>
        </is>
      </c>
      <c r="G199" t="inlineStr">
        <is>
          <t>UDDEVALLA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46234</v>
      </c>
      <c r="F200" t="inlineStr">
        <is>
          <t>VÄSTRA GÖTALANDS LÄN</t>
        </is>
      </c>
      <c r="G200" t="inlineStr">
        <is>
          <t>UDDEVALLA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46234</v>
      </c>
      <c r="F201" t="inlineStr">
        <is>
          <t>VÄSTRA GÖTALANDS LÄN</t>
        </is>
      </c>
      <c r="G201" t="inlineStr">
        <is>
          <t>UDDEVALLA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46234</v>
      </c>
      <c r="F202" t="inlineStr">
        <is>
          <t>VÄSTRA GÖTALANDS LÄN</t>
        </is>
      </c>
      <c r="G202" t="inlineStr">
        <is>
          <t>UDDEVALLA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46234</v>
      </c>
      <c r="F203" t="inlineStr">
        <is>
          <t>VÄSTRA GÖTALANDS LÄN</t>
        </is>
      </c>
      <c r="G203" t="inlineStr">
        <is>
          <t>UDDEVALLA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9574-2026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46234</v>
      </c>
      <c r="F204" t="inlineStr">
        <is>
          <t>VÄSTRA GÖTALANDS LÄN</t>
        </is>
      </c>
      <c r="G204" t="inlineStr">
        <is>
          <t>UDDEVALLA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45672</v>
      </c>
      <c r="E205" s="1" t="n">
        <v>46234</v>
      </c>
      <c r="F205" t="inlineStr">
        <is>
          <t>VÄSTRA GÖTALANDS LÄN</t>
        </is>
      </c>
      <c r="G205" t="inlineStr">
        <is>
          <t>UDDEVALLA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45664</v>
      </c>
      <c r="E206" s="1" t="n">
        <v>46234</v>
      </c>
      <c r="F206" t="inlineStr">
        <is>
          <t>VÄSTRA GÖTALANDS LÄN</t>
        </is>
      </c>
      <c r="G206" t="inlineStr">
        <is>
          <t>UDDEVALLA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10436-2026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46076</v>
      </c>
      <c r="E207" s="1" t="n">
        <v>46234</v>
      </c>
      <c r="F207" t="inlineStr">
        <is>
          <t>VÄSTRA GÖTALANDS LÄN</t>
        </is>
      </c>
      <c r="G207" t="inlineStr">
        <is>
          <t>UDDEVALLA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46083</v>
      </c>
      <c r="E208" s="1" t="n">
        <v>46234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46234</v>
      </c>
      <c r="F209" t="inlineStr">
        <is>
          <t>VÄSTRA GÖTALANDS LÄN</t>
        </is>
      </c>
      <c r="G209" t="inlineStr">
        <is>
          <t>UDDEVALLA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46234</v>
      </c>
      <c r="F210" t="inlineStr">
        <is>
          <t>VÄSTRA GÖTALANDS LÄN</t>
        </is>
      </c>
      <c r="G210" t="inlineStr">
        <is>
          <t>UDDEVALLA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46234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Kyrkan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46090</v>
      </c>
      <c r="E212" s="1" t="n">
        <v>46234</v>
      </c>
      <c r="F212" t="inlineStr">
        <is>
          <t>VÄSTRA GÖTALANDS LÄN</t>
        </is>
      </c>
      <c r="G212" t="inlineStr">
        <is>
          <t>UDDEVALLA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46234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16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45992</v>
      </c>
      <c r="E214" s="1" t="n">
        <v>46234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Kyrkan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45400</v>
      </c>
      <c r="E215" s="1" t="n">
        <v>46234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Kyrkan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37427-2024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46234</v>
      </c>
      <c r="F216" t="inlineStr">
        <is>
          <t>VÄSTRA GÖTALANDS LÄN</t>
        </is>
      </c>
      <c r="G216" t="inlineStr">
        <is>
          <t>UDDEVALLA</t>
        </is>
      </c>
      <c r="H216" t="inlineStr">
        <is>
          <t>Kyrkan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46234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Kyrkan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46234</v>
      </c>
      <c r="F218" t="inlineStr">
        <is>
          <t>VÄSTRA GÖTALANDS LÄN</t>
        </is>
      </c>
      <c r="G218" t="inlineStr">
        <is>
          <t>UDDEVALLA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46234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Kyrkan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46234</v>
      </c>
      <c r="F220" t="inlineStr">
        <is>
          <t>VÄSTRA GÖTALANDS LÄN</t>
        </is>
      </c>
      <c r="G220" t="inlineStr">
        <is>
          <t>UDDEVALLA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45374</v>
      </c>
      <c r="E221" s="1" t="n">
        <v>46234</v>
      </c>
      <c r="F221" t="inlineStr">
        <is>
          <t>VÄSTRA GÖTALANDS LÄN</t>
        </is>
      </c>
      <c r="G221" t="inlineStr">
        <is>
          <t>UDDEVALLA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44928</v>
      </c>
      <c r="E222" s="1" t="n">
        <v>46234</v>
      </c>
      <c r="F222" t="inlineStr">
        <is>
          <t>VÄSTRA GÖTALANDS LÄN</t>
        </is>
      </c>
      <c r="G222" t="inlineStr">
        <is>
          <t>UDDEVALLA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46234</v>
      </c>
      <c r="F223" t="inlineStr">
        <is>
          <t>VÄSTRA GÖTALANDS LÄN</t>
        </is>
      </c>
      <c r="G223" t="inlineStr">
        <is>
          <t>UDDEVALLA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44813</v>
      </c>
      <c r="E224" s="1" t="n">
        <v>46234</v>
      </c>
      <c r="F224" t="inlineStr">
        <is>
          <t>VÄSTRA GÖTALANDS LÄN</t>
        </is>
      </c>
      <c r="G224" t="inlineStr">
        <is>
          <t>UDDEVALLA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45021</v>
      </c>
      <c r="E225" s="1" t="n">
        <v>46234</v>
      </c>
      <c r="F225" t="inlineStr">
        <is>
          <t>VÄSTRA GÖTALANDS LÄN</t>
        </is>
      </c>
      <c r="G225" t="inlineStr">
        <is>
          <t>UDDEVALLA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45239</v>
      </c>
      <c r="E226" s="1" t="n">
        <v>46234</v>
      </c>
      <c r="F226" t="inlineStr">
        <is>
          <t>VÄSTRA GÖTALANDS LÄN</t>
        </is>
      </c>
      <c r="G226" t="inlineStr">
        <is>
          <t>UDDEVALLA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73437-2021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44551</v>
      </c>
      <c r="E227" s="1" t="n">
        <v>46234</v>
      </c>
      <c r="F227" t="inlineStr">
        <is>
          <t>VÄSTRA GÖTALANDS LÄN</t>
        </is>
      </c>
      <c r="G227" t="inlineStr">
        <is>
          <t>UDDEVALLA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44924</v>
      </c>
      <c r="E228" s="1" t="n">
        <v>46234</v>
      </c>
      <c r="F228" t="inlineStr">
        <is>
          <t>VÄSTRA GÖTALANDS LÄN</t>
        </is>
      </c>
      <c r="G228" t="inlineStr">
        <is>
          <t>UDDEVALLA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46234</v>
      </c>
      <c r="F229" t="inlineStr">
        <is>
          <t>VÄSTRA GÖTALANDS LÄN</t>
        </is>
      </c>
      <c r="G229" t="inlineStr">
        <is>
          <t>UDDEVALLA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16819-2026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46113</v>
      </c>
      <c r="E230" s="1" t="n">
        <v>46234</v>
      </c>
      <c r="F230" t="inlineStr">
        <is>
          <t>VÄSTRA GÖTALANDS LÄN</t>
        </is>
      </c>
      <c r="G230" t="inlineStr">
        <is>
          <t>UDDEVALLA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46234</v>
      </c>
      <c r="F231" t="inlineStr">
        <is>
          <t>VÄSTRA GÖTALANDS LÄN</t>
        </is>
      </c>
      <c r="G231" t="inlineStr">
        <is>
          <t>UDDEVALLA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45141</v>
      </c>
      <c r="E232" s="1" t="n">
        <v>46234</v>
      </c>
      <c r="F232" t="inlineStr">
        <is>
          <t>VÄSTRA GÖTALANDS LÄN</t>
        </is>
      </c>
      <c r="G232" t="inlineStr">
        <is>
          <t>UDDEVALLA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46234</v>
      </c>
      <c r="F233" t="inlineStr">
        <is>
          <t>VÄSTRA GÖTALANDS LÄN</t>
        </is>
      </c>
      <c r="G233" t="inlineStr">
        <is>
          <t>UDDEVALLA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46234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46234</v>
      </c>
      <c r="F235" t="inlineStr">
        <is>
          <t>VÄSTRA GÖTALANDS LÄN</t>
        </is>
      </c>
      <c r="G235" t="inlineStr">
        <is>
          <t>UDDEVALLA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46125</v>
      </c>
      <c r="E236" s="1" t="n">
        <v>46234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45133</v>
      </c>
      <c r="E237" s="1" t="n">
        <v>46234</v>
      </c>
      <c r="F237" t="inlineStr">
        <is>
          <t>VÄSTRA GÖTALANDS LÄN</t>
        </is>
      </c>
      <c r="G237" t="inlineStr">
        <is>
          <t>UDDEVALLA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18207-2026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46234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8893-2024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45355</v>
      </c>
      <c r="E239" s="1" t="n">
        <v>46234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46234</v>
      </c>
      <c r="F240" t="inlineStr">
        <is>
          <t>VÄSTRA GÖTALANDS LÄN</t>
        </is>
      </c>
      <c r="G240" t="inlineStr">
        <is>
          <t>UDDEVALLA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46234</v>
      </c>
      <c r="F241" t="inlineStr">
        <is>
          <t>VÄSTRA GÖTALANDS LÄN</t>
        </is>
      </c>
      <c r="G241" t="inlineStr">
        <is>
          <t>UDDEVALLA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2306-2022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44578</v>
      </c>
      <c r="E242" s="1" t="n">
        <v>46234</v>
      </c>
      <c r="F242" t="inlineStr">
        <is>
          <t>VÄSTRA GÖTALANDS LÄN</t>
        </is>
      </c>
      <c r="G242" t="inlineStr">
        <is>
          <t>UDDEVALLA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46234</v>
      </c>
      <c r="F243" t="inlineStr">
        <is>
          <t>VÄSTRA GÖTALANDS LÄN</t>
        </is>
      </c>
      <c r="G243" t="inlineStr">
        <is>
          <t>UDDEVALLA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46234</v>
      </c>
      <c r="F244" t="inlineStr">
        <is>
          <t>VÄSTRA GÖTALANDS LÄN</t>
        </is>
      </c>
      <c r="G244" t="inlineStr">
        <is>
          <t>UDDEVALLA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45463</v>
      </c>
      <c r="E245" s="1" t="n">
        <v>46234</v>
      </c>
      <c r="F245" t="inlineStr">
        <is>
          <t>VÄSTRA GÖTALANDS LÄN</t>
        </is>
      </c>
      <c r="G245" t="inlineStr">
        <is>
          <t>UDDEVALLA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45059-2025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45919</v>
      </c>
      <c r="E246" s="1" t="n">
        <v>46234</v>
      </c>
      <c r="F246" t="inlineStr">
        <is>
          <t>VÄSTRA GÖTALANDS LÄN</t>
        </is>
      </c>
      <c r="G246" t="inlineStr">
        <is>
          <t>UDDEVALLA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45907</v>
      </c>
      <c r="E247" s="1" t="n">
        <v>46234</v>
      </c>
      <c r="F247" t="inlineStr">
        <is>
          <t>VÄSTRA GÖTALANDS LÄN</t>
        </is>
      </c>
      <c r="G247" t="inlineStr">
        <is>
          <t>UDDEVALLA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46234</v>
      </c>
      <c r="F248" t="inlineStr">
        <is>
          <t>VÄSTRA GÖTALANDS LÄN</t>
        </is>
      </c>
      <c r="G248" t="inlineStr">
        <is>
          <t>UDDEVALLA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46234</v>
      </c>
      <c r="F249" t="inlineStr">
        <is>
          <t>VÄSTRA GÖTALANDS LÄN</t>
        </is>
      </c>
      <c r="G249" t="inlineStr">
        <is>
          <t>UDDEVALLA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46234</v>
      </c>
      <c r="F250" t="inlineStr">
        <is>
          <t>VÄSTRA GÖTALANDS LÄN</t>
        </is>
      </c>
      <c r="G250" t="inlineStr">
        <is>
          <t>UDDEVALLA</t>
        </is>
      </c>
      <c r="I250" t="n">
        <v>8.6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46234</v>
      </c>
      <c r="F251" t="inlineStr">
        <is>
          <t>VÄSTRA GÖTALANDS LÄN</t>
        </is>
      </c>
      <c r="G251" t="inlineStr">
        <is>
          <t>UDDEVALLA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46234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45656</v>
      </c>
      <c r="E253" s="1" t="n">
        <v>46234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46234</v>
      </c>
      <c r="F254" t="inlineStr">
        <is>
          <t>VÄSTRA GÖTALANDS LÄN</t>
        </is>
      </c>
      <c r="G254" t="inlineStr">
        <is>
          <t>UDDEVALLA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45127</v>
      </c>
      <c r="E255" s="1" t="n">
        <v>46234</v>
      </c>
      <c r="F255" t="inlineStr">
        <is>
          <t>VÄSTRA GÖTALANDS LÄN</t>
        </is>
      </c>
      <c r="G255" t="inlineStr">
        <is>
          <t>UDDEVALLA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46234</v>
      </c>
      <c r="F256" t="inlineStr">
        <is>
          <t>VÄSTRA GÖTALANDS LÄN</t>
        </is>
      </c>
      <c r="G256" t="inlineStr">
        <is>
          <t>UDDEVALLA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46234</v>
      </c>
      <c r="F257" t="inlineStr">
        <is>
          <t>VÄSTRA GÖTALANDS LÄN</t>
        </is>
      </c>
      <c r="G257" t="inlineStr">
        <is>
          <t>UDDEVALLA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46234</v>
      </c>
      <c r="F258" t="inlineStr">
        <is>
          <t>VÄSTRA GÖTALANDS LÄN</t>
        </is>
      </c>
      <c r="G258" t="inlineStr">
        <is>
          <t>UDDEVALLA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1147-2024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45302</v>
      </c>
      <c r="E259" s="1" t="n">
        <v>46234</v>
      </c>
      <c r="F259" t="inlineStr">
        <is>
          <t>VÄSTRA GÖTALANDS LÄN</t>
        </is>
      </c>
      <c r="G259" t="inlineStr">
        <is>
          <t>UDDEVALLA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44956</v>
      </c>
      <c r="E260" s="1" t="n">
        <v>46234</v>
      </c>
      <c r="F260" t="inlineStr">
        <is>
          <t>VÄSTRA GÖTALANDS LÄN</t>
        </is>
      </c>
      <c r="G260" t="inlineStr">
        <is>
          <t>UDDEVALLA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46234</v>
      </c>
      <c r="F261" t="inlineStr">
        <is>
          <t>VÄSTRA GÖTALANDS LÄN</t>
        </is>
      </c>
      <c r="G261" t="inlineStr">
        <is>
          <t>UDDEVALLA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45071</v>
      </c>
      <c r="E262" s="1" t="n">
        <v>46234</v>
      </c>
      <c r="F262" t="inlineStr">
        <is>
          <t>VÄSTRA GÖTALANDS LÄN</t>
        </is>
      </c>
      <c r="G262" t="inlineStr">
        <is>
          <t>UDDEVALLA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45517</v>
      </c>
      <c r="E263" s="1" t="n">
        <v>46234</v>
      </c>
      <c r="F263" t="inlineStr">
        <is>
          <t>VÄSTRA GÖTALANDS LÄN</t>
        </is>
      </c>
      <c r="G263" t="inlineStr">
        <is>
          <t>UDDEVALLA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44733</v>
      </c>
      <c r="E264" s="1" t="n">
        <v>46234</v>
      </c>
      <c r="F264" t="inlineStr">
        <is>
          <t>VÄSTRA GÖTALANDS LÄN</t>
        </is>
      </c>
      <c r="G264" t="inlineStr">
        <is>
          <t>UDDEVALLA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20401-2026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46139</v>
      </c>
      <c r="E265" s="1" t="n">
        <v>46234</v>
      </c>
      <c r="F265" t="inlineStr">
        <is>
          <t>VÄSTRA GÖTALANDS LÄN</t>
        </is>
      </c>
      <c r="G265" t="inlineStr">
        <is>
          <t>UDDEVALLA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45226</v>
      </c>
      <c r="E266" s="1" t="n">
        <v>46234</v>
      </c>
      <c r="F266" t="inlineStr">
        <is>
          <t>VÄSTRA GÖTALANDS LÄN</t>
        </is>
      </c>
      <c r="G266" t="inlineStr">
        <is>
          <t>UDDEVALLA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46234</v>
      </c>
      <c r="F267" t="inlineStr">
        <is>
          <t>VÄSTRA GÖTALANDS LÄN</t>
        </is>
      </c>
      <c r="G267" t="inlineStr">
        <is>
          <t>UDDEVALLA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73007-2021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44550</v>
      </c>
      <c r="E268" s="1" t="n">
        <v>46234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63878-2021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44509</v>
      </c>
      <c r="E269" s="1" t="n">
        <v>46234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46147</v>
      </c>
      <c r="E270" s="1" t="n">
        <v>46234</v>
      </c>
      <c r="F270" t="inlineStr">
        <is>
          <t>VÄSTRA GÖTALANDS LÄN</t>
        </is>
      </c>
      <c r="G270" t="inlineStr">
        <is>
          <t>UDDEVALLA</t>
        </is>
      </c>
      <c r="H270" t="inlineStr">
        <is>
          <t>Kommuner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21491-2026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46234</v>
      </c>
      <c r="F271" t="inlineStr">
        <is>
          <t>VÄSTRA GÖTALANDS LÄN</t>
        </is>
      </c>
      <c r="G271" t="inlineStr">
        <is>
          <t>UDDEVALLA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44602</v>
      </c>
      <c r="E272" s="1" t="n">
        <v>46234</v>
      </c>
      <c r="F272" t="inlineStr">
        <is>
          <t>VÄSTRA GÖTALANDS LÄN</t>
        </is>
      </c>
      <c r="G272" t="inlineStr">
        <is>
          <t>UDDEVALLA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46234</v>
      </c>
      <c r="F273" t="inlineStr">
        <is>
          <t>VÄSTRA GÖTALANDS LÄN</t>
        </is>
      </c>
      <c r="G273" t="inlineStr">
        <is>
          <t>UDDEVALLA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45035</v>
      </c>
      <c r="E274" s="1" t="n">
        <v>46234</v>
      </c>
      <c r="F274" t="inlineStr">
        <is>
          <t>VÄSTRA GÖTALANDS LÄN</t>
        </is>
      </c>
      <c r="G274" t="inlineStr">
        <is>
          <t>UDDEVALLA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46234</v>
      </c>
      <c r="F275" t="inlineStr">
        <is>
          <t>VÄSTRA GÖTALANDS LÄN</t>
        </is>
      </c>
      <c r="G275" t="inlineStr">
        <is>
          <t>UDDEVALLA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46234</v>
      </c>
      <c r="F276" t="inlineStr">
        <is>
          <t>VÄSTRA GÖTALANDS LÄN</t>
        </is>
      </c>
      <c r="G276" t="inlineStr">
        <is>
          <t>UDDEVALLA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46234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Kyrkan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46234</v>
      </c>
      <c r="F278" t="inlineStr">
        <is>
          <t>VÄSTRA GÖTALANDS LÄN</t>
        </is>
      </c>
      <c r="G278" t="inlineStr">
        <is>
          <t>UDDEVALLA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17058-2025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45754</v>
      </c>
      <c r="E279" s="1" t="n">
        <v>46234</v>
      </c>
      <c r="F279" t="inlineStr">
        <is>
          <t>VÄSTRA GÖTALANDS LÄN</t>
        </is>
      </c>
      <c r="G279" t="inlineStr">
        <is>
          <t>UDDEVALLA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58625-2024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45635</v>
      </c>
      <c r="E280" s="1" t="n">
        <v>46234</v>
      </c>
      <c r="F280" t="inlineStr">
        <is>
          <t>VÄSTRA GÖTALANDS LÄN</t>
        </is>
      </c>
      <c r="G280" t="inlineStr">
        <is>
          <t>UDDEVALLA</t>
        </is>
      </c>
      <c r="I280" t="n">
        <v>14.9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46234</v>
      </c>
      <c r="F281" t="inlineStr">
        <is>
          <t>VÄSTRA GÖTALANDS LÄN</t>
        </is>
      </c>
      <c r="G281" t="inlineStr">
        <is>
          <t>UDDEVALLA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46234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46234</v>
      </c>
      <c r="F283" t="inlineStr">
        <is>
          <t>VÄSTRA GÖTALANDS LÄN</t>
        </is>
      </c>
      <c r="G283" t="inlineStr">
        <is>
          <t>UDDEVALLA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46234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46234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44655</v>
      </c>
      <c r="E286" s="1" t="n">
        <v>46234</v>
      </c>
      <c r="F286" t="inlineStr">
        <is>
          <t>VÄSTRA GÖTALANDS LÄN</t>
        </is>
      </c>
      <c r="G286" t="inlineStr">
        <is>
          <t>UDDEVALLA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46234</v>
      </c>
      <c r="F287" t="inlineStr">
        <is>
          <t>VÄSTRA GÖTALANDS LÄN</t>
        </is>
      </c>
      <c r="G287" t="inlineStr">
        <is>
          <t>UDDEVALLA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46234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Övriga statliga verk och myndigheter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45771</v>
      </c>
      <c r="E289" s="1" t="n">
        <v>46234</v>
      </c>
      <c r="F289" t="inlineStr">
        <is>
          <t>VÄSTRA GÖTALANDS LÄN</t>
        </is>
      </c>
      <c r="G289" t="inlineStr">
        <is>
          <t>UDDEVALLA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45076</v>
      </c>
      <c r="E290" s="1" t="n">
        <v>46234</v>
      </c>
      <c r="F290" t="inlineStr">
        <is>
          <t>VÄSTRA GÖTALANDS LÄN</t>
        </is>
      </c>
      <c r="G290" t="inlineStr">
        <is>
          <t>UDDEVALLA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9797-2023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44984</v>
      </c>
      <c r="E291" s="1" t="n">
        <v>46234</v>
      </c>
      <c r="F291" t="inlineStr">
        <is>
          <t>VÄSTRA GÖTALANDS LÄN</t>
        </is>
      </c>
      <c r="G291" t="inlineStr">
        <is>
          <t>UDDEVALLA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46234</v>
      </c>
      <c r="F292" t="inlineStr">
        <is>
          <t>VÄSTRA GÖTALANDS LÄN</t>
        </is>
      </c>
      <c r="G292" t="inlineStr">
        <is>
          <t>UDDEVALLA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46234</v>
      </c>
      <c r="F293" t="inlineStr">
        <is>
          <t>VÄSTRA GÖTALANDS LÄN</t>
        </is>
      </c>
      <c r="G293" t="inlineStr">
        <is>
          <t>UDDEVALLA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46234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46234</v>
      </c>
      <c r="F295" t="inlineStr">
        <is>
          <t>VÄSTRA GÖTALANDS LÄN</t>
        </is>
      </c>
      <c r="G295" t="inlineStr">
        <is>
          <t>UDDEVALLA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69198-2021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46234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46234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46234</v>
      </c>
      <c r="F298" t="inlineStr">
        <is>
          <t>VÄSTRA GÖTALANDS LÄN</t>
        </is>
      </c>
      <c r="G298" t="inlineStr">
        <is>
          <t>UDDEVALLA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59674-2023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45255</v>
      </c>
      <c r="E299" s="1" t="n">
        <v>46234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46234</v>
      </c>
      <c r="F300" t="inlineStr">
        <is>
          <t>VÄSTRA GÖTALANDS LÄN</t>
        </is>
      </c>
      <c r="G300" t="inlineStr">
        <is>
          <t>UDDEVALLA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32531-2023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46234</v>
      </c>
      <c r="F301" t="inlineStr">
        <is>
          <t>VÄSTRA GÖTALANDS LÄN</t>
        </is>
      </c>
      <c r="G301" t="inlineStr">
        <is>
          <t>UDDEVALLA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45366</v>
      </c>
      <c r="E302" s="1" t="n">
        <v>46234</v>
      </c>
      <c r="F302" t="inlineStr">
        <is>
          <t>VÄSTRA GÖTALANDS LÄN</t>
        </is>
      </c>
      <c r="G302" t="inlineStr">
        <is>
          <t>UDDEVALLA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45205</v>
      </c>
      <c r="E303" s="1" t="n">
        <v>46234</v>
      </c>
      <c r="F303" t="inlineStr">
        <is>
          <t>VÄSTRA GÖTALANDS LÄN</t>
        </is>
      </c>
      <c r="G303" t="inlineStr">
        <is>
          <t>UDDEVALLA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46234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Kommuner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46210</v>
      </c>
      <c r="E305" s="1" t="n">
        <v>46234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Kommuner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45426</v>
      </c>
      <c r="E306" s="1" t="n">
        <v>46234</v>
      </c>
      <c r="F306" t="inlineStr">
        <is>
          <t>VÄSTRA GÖTALANDS LÄN</t>
        </is>
      </c>
      <c r="G306" t="inlineStr">
        <is>
          <t>UDDEVALLA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30815-2026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46212</v>
      </c>
      <c r="E307" s="1" t="n">
        <v>46234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30639-2024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45495</v>
      </c>
      <c r="E308" s="1" t="n">
        <v>46234</v>
      </c>
      <c r="F308" t="inlineStr">
        <is>
          <t>VÄSTRA GÖTALANDS LÄN</t>
        </is>
      </c>
      <c r="G308" t="inlineStr">
        <is>
          <t>UDDEVALLA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45484</v>
      </c>
      <c r="E309" s="1" t="n">
        <v>46234</v>
      </c>
      <c r="F309" t="inlineStr">
        <is>
          <t>VÄSTRA GÖTALANDS LÄN</t>
        </is>
      </c>
      <c r="G309" t="inlineStr">
        <is>
          <t>UDDEVALLA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46234</v>
      </c>
      <c r="F310" t="inlineStr">
        <is>
          <t>VÄSTRA GÖTALANDS LÄN</t>
        </is>
      </c>
      <c r="G310" t="inlineStr">
        <is>
          <t>UDDEVALLA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46234</v>
      </c>
      <c r="F311" t="inlineStr">
        <is>
          <t>VÄSTRA GÖTALANDS LÄN</t>
        </is>
      </c>
      <c r="G311" t="inlineStr">
        <is>
          <t>UDDEVALLA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46234</v>
      </c>
      <c r="F312" t="inlineStr">
        <is>
          <t>VÄSTRA GÖTALANDS LÄN</t>
        </is>
      </c>
      <c r="G312" t="inlineStr">
        <is>
          <t>UDDEVALLA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44967</v>
      </c>
      <c r="E313" s="1" t="n">
        <v>46234</v>
      </c>
      <c r="F313" t="inlineStr">
        <is>
          <t>VÄSTRA GÖTALANDS LÄN</t>
        </is>
      </c>
      <c r="G313" t="inlineStr">
        <is>
          <t>UDDEVALLA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46234</v>
      </c>
      <c r="F314" t="inlineStr">
        <is>
          <t>VÄSTRA GÖTALANDS LÄN</t>
        </is>
      </c>
      <c r="G314" t="inlineStr">
        <is>
          <t>UDDEVALLA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34555-2022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44794</v>
      </c>
      <c r="E315" s="1" t="n">
        <v>46234</v>
      </c>
      <c r="F315" t="inlineStr">
        <is>
          <t>VÄSTRA GÖTALANDS LÄN</t>
        </is>
      </c>
      <c r="G315" t="inlineStr">
        <is>
          <t>UDDEVALLA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46234</v>
      </c>
      <c r="F316" t="inlineStr">
        <is>
          <t>VÄSTRA GÖTALANDS LÄN</t>
        </is>
      </c>
      <c r="G316" t="inlineStr">
        <is>
          <t>UDDEVALLA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46234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45197</v>
      </c>
      <c r="E318" s="1" t="n">
        <v>46234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44582</v>
      </c>
      <c r="E319" s="1" t="n">
        <v>46234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43170-2021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44431</v>
      </c>
      <c r="E320" s="1" t="n">
        <v>46234</v>
      </c>
      <c r="F320" t="inlineStr">
        <is>
          <t>VÄSTRA GÖTALANDS LÄN</t>
        </is>
      </c>
      <c r="G320" t="inlineStr">
        <is>
          <t>UDDEVALLA</t>
        </is>
      </c>
      <c r="I320" t="n">
        <v>13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45484</v>
      </c>
      <c r="E321" s="1" t="n">
        <v>46234</v>
      </c>
      <c r="F321" t="inlineStr">
        <is>
          <t>VÄSTRA GÖTALANDS LÄN</t>
        </is>
      </c>
      <c r="G321" t="inlineStr">
        <is>
          <t>UDDEVALLA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46222</v>
      </c>
      <c r="E322" s="1" t="n">
        <v>46234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Kommuner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46177</v>
      </c>
      <c r="E323" s="1" t="n">
        <v>46234</v>
      </c>
      <c r="F323" t="inlineStr">
        <is>
          <t>VÄSTRA GÖTALANDS LÄN</t>
        </is>
      </c>
      <c r="G323" t="inlineStr">
        <is>
          <t>UDDEVALLA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45387</v>
      </c>
      <c r="E324" s="1" t="n">
        <v>46234</v>
      </c>
      <c r="F324" t="inlineStr">
        <is>
          <t>VÄSTRA GÖTALANDS LÄN</t>
        </is>
      </c>
      <c r="G324" t="inlineStr">
        <is>
          <t>UDDEVALLA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45453</v>
      </c>
      <c r="E325" s="1" t="n">
        <v>46234</v>
      </c>
      <c r="F325" t="inlineStr">
        <is>
          <t>VÄSTRA GÖTALANDS LÄN</t>
        </is>
      </c>
      <c r="G325" t="inlineStr">
        <is>
          <t>UDDEVALLA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46234</v>
      </c>
      <c r="F326" t="inlineStr">
        <is>
          <t>VÄSTRA GÖTALANDS LÄN</t>
        </is>
      </c>
      <c r="G326" t="inlineStr">
        <is>
          <t>UDDEVALLA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46178</v>
      </c>
      <c r="E327" s="1" t="n">
        <v>46234</v>
      </c>
      <c r="F327" t="inlineStr">
        <is>
          <t>VÄSTRA GÖTALANDS LÄN</t>
        </is>
      </c>
      <c r="G327" t="inlineStr">
        <is>
          <t>UDDEVALLA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46234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25611-2026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46234</v>
      </c>
      <c r="F329" t="inlineStr">
        <is>
          <t>VÄSTRA GÖTALANDS LÄN</t>
        </is>
      </c>
      <c r="G329" t="inlineStr">
        <is>
          <t>UDDEVALLA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46234</v>
      </c>
      <c r="F330" t="inlineStr">
        <is>
          <t>VÄSTRA GÖTALANDS LÄN</t>
        </is>
      </c>
      <c r="G330" t="inlineStr">
        <is>
          <t>UDDEVALLA</t>
        </is>
      </c>
      <c r="H330" t="inlineStr">
        <is>
          <t>Kommuner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30744-2026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46211</v>
      </c>
      <c r="E331" s="1" t="n">
        <v>46234</v>
      </c>
      <c r="F331" t="inlineStr">
        <is>
          <t>VÄSTRA GÖTALANDS LÄN</t>
        </is>
      </c>
      <c r="G331" t="inlineStr">
        <is>
          <t>UDDEVALLA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46234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46234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46234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46234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2026-07-31T01:51:27Z</dcterms:created>
  <dcterms:modified xmlns:dcterms="http://purl.org/dc/terms/" xmlns:xsi="http://www.w3.org/2001/XMLSchema-instance" xsi:type="dcterms:W3CDTF">2026-07-31T01:51:28Z</dcterms:modified>
</cp:coreProperties>
</file>