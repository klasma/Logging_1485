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46266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46266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46266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46266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46266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46266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46266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46266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46266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46266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46266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46266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14063-2025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46266</v>
      </c>
      <c r="F14" t="inlineStr">
        <is>
          <t>VÄSTRA GÖTALANDS LÄN</t>
        </is>
      </c>
      <c r="G14" t="inlineStr">
        <is>
          <t>UDDEVALLA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Granspira
Mattlummer
Lopplummer (aggregat)</t>
        </is>
      </c>
      <c r="W14">
        <f>HYPERLINK("https://klasma.github.io/Logging_1485/artfynd/A 14063-2025 artfynd.xlsx", "A 14063-2025")</f>
        <v/>
      </c>
      <c r="X14">
        <f>HYPERLINK("https://klasma.github.io/Logging_1485/kartor/A 14063-2025 karta.png", "A 14063-2025")</f>
        <v/>
      </c>
      <c r="Y14">
        <f>HYPERLINK("https://klasma.github.io/Logging_1485/kartor_geotiff/A 14063-2025 georefererad karta.tif", "A 14063-2025")</f>
        <v/>
      </c>
      <c r="AA14">
        <f>HYPERLINK("https://klasma.github.io/Logging_1485/klagomål/A 14063-2025 FSC-klagomål.docx", "A 14063-2025")</f>
        <v/>
      </c>
      <c r="AB14">
        <f>HYPERLINK("https://klasma.github.io/Logging_1485/klagomålsmail/A 14063-2025 FSC-klagomål mail.docx", "A 14063-2025")</f>
        <v/>
      </c>
      <c r="AC14">
        <f>HYPERLINK("https://klasma.github.io/Logging_1485/tillsyn/A 14063-2025 tillsynsbegäran.docx", "A 14063-2025")</f>
        <v/>
      </c>
      <c r="AD14">
        <f>HYPERLINK("https://klasma.github.io/Logging_1485/tillsynsmail/A 14063-2025 tillsynsbegäran mail.docx", "A 14063-2025")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46266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46266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46266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46266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8666-2024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45352</v>
      </c>
      <c r="E19" s="1" t="n">
        <v>46266</v>
      </c>
      <c r="F19" t="inlineStr">
        <is>
          <t>VÄSTRA GÖTALANDS LÄN</t>
        </is>
      </c>
      <c r="G19" t="inlineStr">
        <is>
          <t>UDDEVALLA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Västlig hakmossa
Spillkråka</t>
        </is>
      </c>
      <c r="W19">
        <f>HYPERLINK("https://klasma.github.io/Logging_1485/artfynd/A 8666-2024 artfynd.xlsx", "A 8666-2024")</f>
        <v/>
      </c>
      <c r="X19">
        <f>HYPERLINK("https://klasma.github.io/Logging_1485/kartor/A 8666-2024 karta.png", "A 8666-2024")</f>
        <v/>
      </c>
      <c r="Y19">
        <f>HYPERLINK("https://klasma.github.io/Logging_1485/kartor_geotiff/A 8666-2024 georefererad karta.tif", "A 8666-2024")</f>
        <v/>
      </c>
      <c r="AA19">
        <f>HYPERLINK("https://klasma.github.io/Logging_1485/klagomål/A 8666-2024 FSC-klagomål.docx", "A 8666-2024")</f>
        <v/>
      </c>
      <c r="AB19">
        <f>HYPERLINK("https://klasma.github.io/Logging_1485/klagomålsmail/A 8666-2024 FSC-klagomål mail.docx", "A 8666-2024")</f>
        <v/>
      </c>
      <c r="AC19">
        <f>HYPERLINK("https://klasma.github.io/Logging_1485/tillsyn/A 8666-2024 tillsynsbegäran.docx", "A 8666-2024")</f>
        <v/>
      </c>
      <c r="AD19">
        <f>HYPERLINK("https://klasma.github.io/Logging_1485/tillsynsmail/A 8666-2024 tillsynsbegäran mail.docx", "A 8666-2024")</f>
        <v/>
      </c>
      <c r="AE19">
        <f>HYPERLINK("https://klasma.github.io/Logging_1485/fåglar/A 8666-2024 prioriterade fågelarter.docx", "A 8666-2024")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46266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46266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46266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46266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16863-2025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45754</v>
      </c>
      <c r="E24" s="1" t="n">
        <v>46266</v>
      </c>
      <c r="F24" t="inlineStr">
        <is>
          <t>VÄSTRA GÖTALANDS LÄN</t>
        </is>
      </c>
      <c r="G24" t="inlineStr">
        <is>
          <t>UDDEVALLA</t>
        </is>
      </c>
      <c r="I24" t="n">
        <v>15.3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Kambräken
Kopparödla</t>
        </is>
      </c>
      <c r="W24">
        <f>HYPERLINK("https://klasma.github.io/Logging_1485/artfynd/A 16863-2025 artfynd.xlsx", "A 16863-2025")</f>
        <v/>
      </c>
      <c r="X24">
        <f>HYPERLINK("https://klasma.github.io/Logging_1485/kartor/A 16863-2025 karta.png", "A 16863-2025")</f>
        <v/>
      </c>
      <c r="Y24">
        <f>HYPERLINK("https://klasma.github.io/Logging_1485/kartor_geotiff/A 16863-2025 georefererad karta.tif", "A 16863-2025")</f>
        <v/>
      </c>
      <c r="AA24">
        <f>HYPERLINK("https://klasma.github.io/Logging_1485/klagomål/A 16863-2025 FSC-klagomål.docx", "A 16863-2025")</f>
        <v/>
      </c>
      <c r="AB24">
        <f>HYPERLINK("https://klasma.github.io/Logging_1485/klagomålsmail/A 16863-2025 FSC-klagomål mail.docx", "A 16863-2025")</f>
        <v/>
      </c>
      <c r="AC24">
        <f>HYPERLINK("https://klasma.github.io/Logging_1485/tillsyn/A 16863-2025 tillsynsbegäran.docx", "A 16863-2025")</f>
        <v/>
      </c>
      <c r="AD24">
        <f>HYPERLINK("https://klasma.github.io/Logging_1485/tillsynsmail/A 16863-2025 tillsynsbegäran mail.docx", "A 16863-2025")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46266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46266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41292-2022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46266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9.699999999999999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Ask
Entita</t>
        </is>
      </c>
      <c r="W27">
        <f>HYPERLINK("https://klasma.github.io/Logging_1485/artfynd/A 41292-2022 artfynd.xlsx", "A 41292-2022")</f>
        <v/>
      </c>
      <c r="X27">
        <f>HYPERLINK("https://klasma.github.io/Logging_1485/kartor/A 41292-2022 karta.png", "A 41292-2022")</f>
        <v/>
      </c>
      <c r="Y27">
        <f>HYPERLINK("https://klasma.github.io/Logging_1485/kartor_geotiff/A 41292-2022 georefererad karta.tif", "A 41292-2022")</f>
        <v/>
      </c>
      <c r="AA27">
        <f>HYPERLINK("https://klasma.github.io/Logging_1485/klagomål/A 41292-2022 FSC-klagomål.docx", "A 41292-2022")</f>
        <v/>
      </c>
      <c r="AB27">
        <f>HYPERLINK("https://klasma.github.io/Logging_1485/klagomålsmail/A 41292-2022 FSC-klagomål mail.docx", "A 41292-2022")</f>
        <v/>
      </c>
      <c r="AC27">
        <f>HYPERLINK("https://klasma.github.io/Logging_1485/tillsyn/A 41292-2022 tillsynsbegäran.docx", "A 41292-2022")</f>
        <v/>
      </c>
      <c r="AD27">
        <f>HYPERLINK("https://klasma.github.io/Logging_1485/tillsynsmail/A 41292-2022 tillsynsbegäran mail.docx", "A 41292-2022")</f>
        <v/>
      </c>
      <c r="AE27">
        <f>HYPERLINK("https://klasma.github.io/Logging_1485/fåglar/A 41292-2022 prioriterade fågelarter.docx", "A 41292-2022")</f>
        <v/>
      </c>
    </row>
    <row r="28" ht="15" customHeight="1">
      <c r="A28" t="inlineStr">
        <is>
          <t>A 3432-2024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46266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3.1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Klippfrullania
Västlig hakmossa</t>
        </is>
      </c>
      <c r="W28">
        <f>HYPERLINK("https://klasma.github.io/Logging_1485/artfynd/A 3432-2024 artfynd.xlsx", "A 3432-2024")</f>
        <v/>
      </c>
      <c r="X28">
        <f>HYPERLINK("https://klasma.github.io/Logging_1485/kartor/A 3432-2024 karta.png", "A 3432-2024")</f>
        <v/>
      </c>
      <c r="Y28">
        <f>HYPERLINK("https://klasma.github.io/Logging_1485/kartor_geotiff/A 3432-2024 georefererad karta.tif", "A 3432-2024")</f>
        <v/>
      </c>
      <c r="AA28">
        <f>HYPERLINK("https://klasma.github.io/Logging_1485/klagomål/A 3432-2024 FSC-klagomål.docx", "A 3432-2024")</f>
        <v/>
      </c>
      <c r="AB28">
        <f>HYPERLINK("https://klasma.github.io/Logging_1485/klagomålsmail/A 3432-2024 FSC-klagomål mail.docx", "A 3432-2024")</f>
        <v/>
      </c>
      <c r="AC28">
        <f>HYPERLINK("https://klasma.github.io/Logging_1485/tillsyn/A 3432-2024 tillsynsbegäran.docx", "A 3432-2024")</f>
        <v/>
      </c>
      <c r="AD28">
        <f>HYPERLINK("https://klasma.github.io/Logging_1485/tillsynsmail/A 3432-2024 tillsynsbegäran mail.docx", "A 3432-2024")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46266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46266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46266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54440-2021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44472</v>
      </c>
      <c r="E32" s="1" t="n">
        <v>46266</v>
      </c>
      <c r="F32" t="inlineStr">
        <is>
          <t>VÄSTRA GÖTALANDS LÄN</t>
        </is>
      </c>
      <c r="G32" t="inlineStr">
        <is>
          <t>UDDEVALLA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Strutbräken</t>
        </is>
      </c>
      <c r="W32">
        <f>HYPERLINK("https://klasma.github.io/Logging_1485/artfynd/A 54440-2021 artfynd.xlsx", "A 54440-2021")</f>
        <v/>
      </c>
      <c r="X32">
        <f>HYPERLINK("https://klasma.github.io/Logging_1485/kartor/A 54440-2021 karta.png", "A 54440-2021")</f>
        <v/>
      </c>
      <c r="Y32">
        <f>HYPERLINK("https://klasma.github.io/Logging_1485/kartor_geotiff/A 54440-2021 georefererad karta.tif", "A 54440-2021")</f>
        <v/>
      </c>
      <c r="AA32">
        <f>HYPERLINK("https://klasma.github.io/Logging_1485/klagomål/A 54440-2021 FSC-klagomål.docx", "A 54440-2021")</f>
        <v/>
      </c>
      <c r="AB32">
        <f>HYPERLINK("https://klasma.github.io/Logging_1485/klagomålsmail/A 54440-2021 FSC-klagomål mail.docx", "A 54440-2021")</f>
        <v/>
      </c>
      <c r="AC32">
        <f>HYPERLINK("https://klasma.github.io/Logging_1485/tillsyn/A 54440-2021 tillsynsbegäran.docx", "A 54440-2021")</f>
        <v/>
      </c>
      <c r="AD32">
        <f>HYPERLINK("https://klasma.github.io/Logging_1485/tillsynsmail/A 54440-2021 tillsynsbegäran mail.docx", "A 54440-2021")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46266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51869-2021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46266</v>
      </c>
      <c r="F34" t="inlineStr">
        <is>
          <t>VÄSTRA GÖTALANDS LÄN</t>
        </is>
      </c>
      <c r="G34" t="inlineStr">
        <is>
          <t>UDDEVALLA</t>
        </is>
      </c>
      <c r="I34" t="n">
        <v>3.2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HYPERLINK("https://klasma.github.io/Logging_1485/artfynd/A 51869-2021 artfynd.xlsx", "A 51869-2021")</f>
        <v/>
      </c>
      <c r="X34">
        <f>HYPERLINK("https://klasma.github.io/Logging_1485/kartor/A 51869-2021 karta.png", "A 51869-2021")</f>
        <v/>
      </c>
      <c r="Y34">
        <f>HYPERLINK("https://klasma.github.io/Logging_1485/kartor_geotiff/A 51869-2021 georefererad karta.tif", "A 51869-2021")</f>
        <v/>
      </c>
      <c r="AA34">
        <f>HYPERLINK("https://klasma.github.io/Logging_1485/klagomål/A 51869-2021 FSC-klagomål.docx", "A 51869-2021")</f>
        <v/>
      </c>
      <c r="AB34">
        <f>HYPERLINK("https://klasma.github.io/Logging_1485/klagomålsmail/A 51869-2021 FSC-klagomål mail.docx", "A 51869-2021")</f>
        <v/>
      </c>
      <c r="AC34">
        <f>HYPERLINK("https://klasma.github.io/Logging_1485/tillsyn/A 51869-2021 tillsynsbegäran.docx", "A 51869-2021")</f>
        <v/>
      </c>
      <c r="AD34">
        <f>HYPERLINK("https://klasma.github.io/Logging_1485/tillsynsmail/A 51869-2021 tillsynsbegäran mail.docx", "A 51869-2021")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46266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46266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46266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46266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46266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46266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46266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46266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9424-2026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46266</v>
      </c>
      <c r="F43" t="inlineStr">
        <is>
          <t>VÄSTRA GÖTALANDS LÄN</t>
        </is>
      </c>
      <c r="G43" t="inlineStr">
        <is>
          <t>UDDEVALLA</t>
        </is>
      </c>
      <c r="I43" t="n">
        <v>4.3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Flotagräs</t>
        </is>
      </c>
      <c r="W43">
        <f>HYPERLINK("https://klasma.github.io/Logging_1485/artfynd/A 9424-2026 artfynd.xlsx", "A 9424-2026")</f>
        <v/>
      </c>
      <c r="X43">
        <f>HYPERLINK("https://klasma.github.io/Logging_1485/kartor/A 9424-2026 karta.png", "A 9424-2026")</f>
        <v/>
      </c>
      <c r="Y43">
        <f>HYPERLINK("https://klasma.github.io/Logging_1485/kartor_geotiff/A 9424-2026 georefererad karta.tif", "A 9424-2026")</f>
        <v/>
      </c>
      <c r="AA43">
        <f>HYPERLINK("https://klasma.github.io/Logging_1485/klagomål/A 9424-2026 FSC-klagomål.docx", "A 9424-2026")</f>
        <v/>
      </c>
      <c r="AB43">
        <f>HYPERLINK("https://klasma.github.io/Logging_1485/klagomålsmail/A 9424-2026 FSC-klagomål mail.docx", "A 9424-2026")</f>
        <v/>
      </c>
      <c r="AC43">
        <f>HYPERLINK("https://klasma.github.io/Logging_1485/tillsyn/A 9424-2026 tillsynsbegäran.docx", "A 9424-2026")</f>
        <v/>
      </c>
      <c r="AD43">
        <f>HYPERLINK("https://klasma.github.io/Logging_1485/tillsynsmail/A 9424-2026 tillsynsbegäran mail.docx", "A 9424-2026")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46266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46266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46266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46266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50274-2024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46266</v>
      </c>
      <c r="F48" t="inlineStr">
        <is>
          <t>VÄSTRA GÖTALANDS LÄN</t>
        </is>
      </c>
      <c r="G48" t="inlineStr">
        <is>
          <t>UDDEVALLA</t>
        </is>
      </c>
      <c r="I48" t="n">
        <v>20.1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Grönsångare</t>
        </is>
      </c>
      <c r="W48">
        <f>HYPERLINK("https://klasma.github.io/Logging_1485/artfynd/A 50274-2024 artfynd.xlsx", "A 50274-2024")</f>
        <v/>
      </c>
      <c r="X48">
        <f>HYPERLINK("https://klasma.github.io/Logging_1485/kartor/A 50274-2024 karta.png", "A 50274-2024")</f>
        <v/>
      </c>
      <c r="Y48">
        <f>HYPERLINK("https://klasma.github.io/Logging_1485/kartor_geotiff/A 50274-2024 georefererad karta.tif", "A 50274-2024")</f>
        <v/>
      </c>
      <c r="AA48">
        <f>HYPERLINK("https://klasma.github.io/Logging_1485/klagomål/A 50274-2024 FSC-klagomål.docx", "A 50274-2024")</f>
        <v/>
      </c>
      <c r="AB48">
        <f>HYPERLINK("https://klasma.github.io/Logging_1485/klagomålsmail/A 50274-2024 FSC-klagomål mail.docx", "A 50274-2024")</f>
        <v/>
      </c>
      <c r="AC48">
        <f>HYPERLINK("https://klasma.github.io/Logging_1485/tillsyn/A 50274-2024 tillsynsbegäran.docx", "A 50274-2024")</f>
        <v/>
      </c>
      <c r="AD48">
        <f>HYPERLINK("https://klasma.github.io/Logging_1485/tillsynsmail/A 50274-2024 tillsynsbegäran mail.docx", "A 50274-2024")</f>
        <v/>
      </c>
      <c r="AE48">
        <f>HYPERLINK("https://klasma.github.io/Logging_1485/fåglar/A 50274-2024 prioriterade fågelarter.docx", "A 50274-2024")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46266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46266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46266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46266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46266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44449</v>
      </c>
      <c r="E54" s="1" t="n">
        <v>46266</v>
      </c>
      <c r="F54" t="inlineStr">
        <is>
          <t>VÄSTRA GÖTALANDS LÄN</t>
        </is>
      </c>
      <c r="G54" t="inlineStr">
        <is>
          <t>UDDEVALLA</t>
        </is>
      </c>
      <c r="H54" t="inlineStr">
        <is>
          <t>Kyrkan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46266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46266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46266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46266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46266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46266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46266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46266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46266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46266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46266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46266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46266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46266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46266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46266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46266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46266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46266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46266</v>
      </c>
      <c r="F74" t="inlineStr">
        <is>
          <t>VÄSTRA GÖTALANDS LÄN</t>
        </is>
      </c>
      <c r="G74" t="inlineStr">
        <is>
          <t>UDDEVALLA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45212</v>
      </c>
      <c r="E75" s="1" t="n">
        <v>46266</v>
      </c>
      <c r="F75" t="inlineStr">
        <is>
          <t>VÄSTRA GÖTALANDS LÄN</t>
        </is>
      </c>
      <c r="G75" t="inlineStr">
        <is>
          <t>UDDEVALLA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46266</v>
      </c>
      <c r="F76" t="inlineStr">
        <is>
          <t>VÄSTRA GÖTALANDS LÄN</t>
        </is>
      </c>
      <c r="G76" t="inlineStr">
        <is>
          <t>UDDEVALLA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46266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45633</v>
      </c>
      <c r="E78" s="1" t="n">
        <v>46266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46266</v>
      </c>
      <c r="F79" t="inlineStr">
        <is>
          <t>VÄSTRA GÖTALANDS LÄN</t>
        </is>
      </c>
      <c r="G79" t="inlineStr">
        <is>
          <t>UDDEVALLA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46266</v>
      </c>
      <c r="F80" t="inlineStr">
        <is>
          <t>VÄSTRA GÖTALANDS LÄN</t>
        </is>
      </c>
      <c r="G80" t="inlineStr">
        <is>
          <t>UDDEVALLA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46266</v>
      </c>
      <c r="F81" t="inlineStr">
        <is>
          <t>VÄSTRA GÖTALANDS LÄN</t>
        </is>
      </c>
      <c r="G81" t="inlineStr">
        <is>
          <t>UDDEVALLA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45656</v>
      </c>
      <c r="E82" s="1" t="n">
        <v>46266</v>
      </c>
      <c r="F82" t="inlineStr">
        <is>
          <t>VÄSTRA GÖTALANDS LÄN</t>
        </is>
      </c>
      <c r="G82" t="inlineStr">
        <is>
          <t>UDDEVALLA</t>
        </is>
      </c>
      <c r="H82" t="inlineStr">
        <is>
          <t>Kommuner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45656</v>
      </c>
      <c r="E83" s="1" t="n">
        <v>46266</v>
      </c>
      <c r="F83" t="inlineStr">
        <is>
          <t>VÄSTRA GÖTALANDS LÄN</t>
        </is>
      </c>
      <c r="G83" t="inlineStr">
        <is>
          <t>UDDEVALLA</t>
        </is>
      </c>
      <c r="H83" t="inlineStr">
        <is>
          <t>Kommuner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45440</v>
      </c>
      <c r="E84" s="1" t="n">
        <v>46266</v>
      </c>
      <c r="F84" t="inlineStr">
        <is>
          <t>VÄSTRA GÖTALANDS LÄN</t>
        </is>
      </c>
      <c r="G84" t="inlineStr">
        <is>
          <t>UDDEVALLA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45656</v>
      </c>
      <c r="E85" s="1" t="n">
        <v>46266</v>
      </c>
      <c r="F85" t="inlineStr">
        <is>
          <t>VÄSTRA GÖTALANDS LÄN</t>
        </is>
      </c>
      <c r="G85" t="inlineStr">
        <is>
          <t>UDDEVALLA</t>
        </is>
      </c>
      <c r="H85" t="inlineStr">
        <is>
          <t>Kommuner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45656</v>
      </c>
      <c r="E86" s="1" t="n">
        <v>46266</v>
      </c>
      <c r="F86" t="inlineStr">
        <is>
          <t>VÄSTRA GÖTALANDS LÄN</t>
        </is>
      </c>
      <c r="G86" t="inlineStr">
        <is>
          <t>UDDEVALLA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62077-2024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45656</v>
      </c>
      <c r="E87" s="1" t="n">
        <v>46266</v>
      </c>
      <c r="F87" t="inlineStr">
        <is>
          <t>VÄSTRA GÖTALANDS LÄN</t>
        </is>
      </c>
      <c r="G87" t="inlineStr">
        <is>
          <t>UDDEVALLA</t>
        </is>
      </c>
      <c r="H87" t="inlineStr">
        <is>
          <t>Kommuner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45644</v>
      </c>
      <c r="E88" s="1" t="n">
        <v>46266</v>
      </c>
      <c r="F88" t="inlineStr">
        <is>
          <t>VÄSTRA GÖTALANDS LÄN</t>
        </is>
      </c>
      <c r="G88" t="inlineStr">
        <is>
          <t>UDDEVALLA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46266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45777</v>
      </c>
      <c r="E90" s="1" t="n">
        <v>46266</v>
      </c>
      <c r="F90" t="inlineStr">
        <is>
          <t>VÄSTRA GÖTALANDS LÄN</t>
        </is>
      </c>
      <c r="G90" t="inlineStr">
        <is>
          <t>UDDEVALLA</t>
        </is>
      </c>
      <c r="I90" t="n">
        <v>12.9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46266</v>
      </c>
      <c r="F91" t="inlineStr">
        <is>
          <t>VÄSTRA GÖTALANDS LÄN</t>
        </is>
      </c>
      <c r="G91" t="inlineStr">
        <is>
          <t>UDDEVALLA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60241-2024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45642</v>
      </c>
      <c r="E92" s="1" t="n">
        <v>46266</v>
      </c>
      <c r="F92" t="inlineStr">
        <is>
          <t>VÄSTRA GÖTALANDS LÄN</t>
        </is>
      </c>
      <c r="G92" t="inlineStr">
        <is>
          <t>UDDEVALLA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45470</v>
      </c>
      <c r="E93" s="1" t="n">
        <v>46266</v>
      </c>
      <c r="F93" t="inlineStr">
        <is>
          <t>VÄSTRA GÖTALANDS LÄN</t>
        </is>
      </c>
      <c r="G93" t="inlineStr">
        <is>
          <t>UDDEVALLA</t>
        </is>
      </c>
      <c r="H93" t="inlineStr">
        <is>
          <t>Kommuner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46266</v>
      </c>
      <c r="F94" t="inlineStr">
        <is>
          <t>VÄSTRA GÖTALANDS LÄN</t>
        </is>
      </c>
      <c r="G94" t="inlineStr">
        <is>
          <t>UDDEVALLA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46266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45656</v>
      </c>
      <c r="E96" s="1" t="n">
        <v>46266</v>
      </c>
      <c r="F96" t="inlineStr">
        <is>
          <t>VÄSTRA GÖTALANDS LÄN</t>
        </is>
      </c>
      <c r="G96" t="inlineStr">
        <is>
          <t>UDDEVALLA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46266</v>
      </c>
      <c r="F97" t="inlineStr">
        <is>
          <t>VÄSTRA GÖTALANDS LÄN</t>
        </is>
      </c>
      <c r="G97" t="inlineStr">
        <is>
          <t>UDDEVALLA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46266</v>
      </c>
      <c r="F98" t="inlineStr">
        <is>
          <t>VÄSTRA GÖTALANDS LÄN</t>
        </is>
      </c>
      <c r="G98" t="inlineStr">
        <is>
          <t>UDDEVALLA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70491-2021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46266</v>
      </c>
      <c r="F99" t="inlineStr">
        <is>
          <t>VÄSTRA GÖTALANDS LÄN</t>
        </is>
      </c>
      <c r="G99" t="inlineStr">
        <is>
          <t>UDDEVALLA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45548</v>
      </c>
      <c r="E100" s="1" t="n">
        <v>46266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73437-2021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44551</v>
      </c>
      <c r="E101" s="1" t="n">
        <v>46266</v>
      </c>
      <c r="F101" t="inlineStr">
        <is>
          <t>VÄSTRA GÖTALANDS LÄN</t>
        </is>
      </c>
      <c r="G101" t="inlineStr">
        <is>
          <t>UDDEVALLA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46266</v>
      </c>
      <c r="F102" t="inlineStr">
        <is>
          <t>VÄSTRA GÖTALANDS LÄN</t>
        </is>
      </c>
      <c r="G102" t="inlineStr">
        <is>
          <t>UDDEVALLA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46266</v>
      </c>
      <c r="F103" t="inlineStr">
        <is>
          <t>VÄSTRA GÖTALANDS LÄN</t>
        </is>
      </c>
      <c r="G103" t="inlineStr">
        <is>
          <t>UDDEVALLA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45162</v>
      </c>
      <c r="E104" s="1" t="n">
        <v>46266</v>
      </c>
      <c r="F104" t="inlineStr">
        <is>
          <t>VÄSTRA GÖTALANDS LÄN</t>
        </is>
      </c>
      <c r="G104" t="inlineStr">
        <is>
          <t>UDDEVALLA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45699</v>
      </c>
      <c r="E105" s="1" t="n">
        <v>46266</v>
      </c>
      <c r="F105" t="inlineStr">
        <is>
          <t>VÄSTRA GÖTALANDS LÄN</t>
        </is>
      </c>
      <c r="G105" t="inlineStr">
        <is>
          <t>UDDEVALLA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45568</v>
      </c>
      <c r="E106" s="1" t="n">
        <v>46266</v>
      </c>
      <c r="F106" t="inlineStr">
        <is>
          <t>VÄSTRA GÖTALANDS LÄN</t>
        </is>
      </c>
      <c r="G106" t="inlineStr">
        <is>
          <t>UDDEVALLA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46266</v>
      </c>
      <c r="F107" t="inlineStr">
        <is>
          <t>VÄSTRA GÖTALANDS LÄN</t>
        </is>
      </c>
      <c r="G107" t="inlineStr">
        <is>
          <t>UDDEVALLA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44572</v>
      </c>
      <c r="E108" s="1" t="n">
        <v>46266</v>
      </c>
      <c r="F108" t="inlineStr">
        <is>
          <t>VÄSTRA GÖTALANDS LÄN</t>
        </is>
      </c>
      <c r="G108" t="inlineStr">
        <is>
          <t>UDDEVALLA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46266</v>
      </c>
      <c r="F109" t="inlineStr">
        <is>
          <t>VÄSTRA GÖTALANDS LÄN</t>
        </is>
      </c>
      <c r="G109" t="inlineStr">
        <is>
          <t>UDDEVALLA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45895</v>
      </c>
      <c r="E110" s="1" t="n">
        <v>46266</v>
      </c>
      <c r="F110" t="inlineStr">
        <is>
          <t>VÄSTRA GÖTALANDS LÄN</t>
        </is>
      </c>
      <c r="G110" t="inlineStr">
        <is>
          <t>UDDEVALLA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46266</v>
      </c>
      <c r="F111" t="inlineStr">
        <is>
          <t>VÄSTRA GÖTALANDS LÄN</t>
        </is>
      </c>
      <c r="G111" t="inlineStr">
        <is>
          <t>UDDEVALLA</t>
        </is>
      </c>
      <c r="I111" t="n">
        <v>12.2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46266</v>
      </c>
      <c r="F112" t="inlineStr">
        <is>
          <t>VÄSTRA GÖTALANDS LÄN</t>
        </is>
      </c>
      <c r="G112" t="inlineStr">
        <is>
          <t>UDDEVALLA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45537</v>
      </c>
      <c r="E113" s="1" t="n">
        <v>46266</v>
      </c>
      <c r="F113" t="inlineStr">
        <is>
          <t>VÄSTRA GÖTALANDS LÄN</t>
        </is>
      </c>
      <c r="G113" t="inlineStr">
        <is>
          <t>UDDEVALLA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46266</v>
      </c>
      <c r="F114" t="inlineStr">
        <is>
          <t>VÄSTRA GÖTALANDS LÄN</t>
        </is>
      </c>
      <c r="G114" t="inlineStr">
        <is>
          <t>UDDEVALLA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46266</v>
      </c>
      <c r="F115" t="inlineStr">
        <is>
          <t>VÄSTRA GÖTALANDS LÄN</t>
        </is>
      </c>
      <c r="G115" t="inlineStr">
        <is>
          <t>UDDEVALLA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46266</v>
      </c>
      <c r="F116" t="inlineStr">
        <is>
          <t>VÄSTRA GÖTALANDS LÄN</t>
        </is>
      </c>
      <c r="G116" t="inlineStr">
        <is>
          <t>UDDEVALLA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46266</v>
      </c>
      <c r="F117" t="inlineStr">
        <is>
          <t>VÄSTRA GÖTALANDS LÄN</t>
        </is>
      </c>
      <c r="G117" t="inlineStr">
        <is>
          <t>UDDEVALLA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45939</v>
      </c>
      <c r="E118" s="1" t="n">
        <v>46266</v>
      </c>
      <c r="F118" t="inlineStr">
        <is>
          <t>VÄSTRA GÖTALANDS LÄN</t>
        </is>
      </c>
      <c r="G118" t="inlineStr">
        <is>
          <t>UDDEVALLA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46266</v>
      </c>
      <c r="F119" t="inlineStr">
        <is>
          <t>VÄSTRA GÖTALANDS LÄN</t>
        </is>
      </c>
      <c r="G119" t="inlineStr">
        <is>
          <t>UDDEVALLA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46266</v>
      </c>
      <c r="F120" t="inlineStr">
        <is>
          <t>VÄSTRA GÖTALANDS LÄN</t>
        </is>
      </c>
      <c r="G120" t="inlineStr">
        <is>
          <t>UDDEVALLA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45914</v>
      </c>
      <c r="E121" s="1" t="n">
        <v>46266</v>
      </c>
      <c r="F121" t="inlineStr">
        <is>
          <t>VÄSTRA GÖTALANDS LÄN</t>
        </is>
      </c>
      <c r="G121" t="inlineStr">
        <is>
          <t>UDDEVALLA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45914</v>
      </c>
      <c r="E122" s="1" t="n">
        <v>46266</v>
      </c>
      <c r="F122" t="inlineStr">
        <is>
          <t>VÄSTRA GÖTALANDS LÄN</t>
        </is>
      </c>
      <c r="G122" t="inlineStr">
        <is>
          <t>UDDEVALLA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44624</v>
      </c>
      <c r="E123" s="1" t="n">
        <v>46266</v>
      </c>
      <c r="F123" t="inlineStr">
        <is>
          <t>VÄSTRA GÖTALANDS LÄN</t>
        </is>
      </c>
      <c r="G123" t="inlineStr">
        <is>
          <t>UDDEVALLA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45722</v>
      </c>
      <c r="E124" s="1" t="n">
        <v>46266</v>
      </c>
      <c r="F124" t="inlineStr">
        <is>
          <t>VÄSTRA GÖTALANDS LÄN</t>
        </is>
      </c>
      <c r="G124" t="inlineStr">
        <is>
          <t>UDDEVALLA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45551</v>
      </c>
      <c r="E125" s="1" t="n">
        <v>46266</v>
      </c>
      <c r="F125" t="inlineStr">
        <is>
          <t>VÄSTRA GÖTALANDS LÄN</t>
        </is>
      </c>
      <c r="G125" t="inlineStr">
        <is>
          <t>UDDEVALLA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46266</v>
      </c>
      <c r="F126" t="inlineStr">
        <is>
          <t>VÄSTRA GÖTALANDS LÄN</t>
        </is>
      </c>
      <c r="G126" t="inlineStr">
        <is>
          <t>UDDEVALLA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46266</v>
      </c>
      <c r="F127" t="inlineStr">
        <is>
          <t>VÄSTRA GÖTALANDS LÄN</t>
        </is>
      </c>
      <c r="G127" t="inlineStr">
        <is>
          <t>UDDEVALLA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46266</v>
      </c>
      <c r="F128" t="inlineStr">
        <is>
          <t>VÄSTRA GÖTALANDS LÄN</t>
        </is>
      </c>
      <c r="G128" t="inlineStr">
        <is>
          <t>UDDEVALLA</t>
        </is>
      </c>
      <c r="I128" t="n">
        <v>19.4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45945</v>
      </c>
      <c r="E129" s="1" t="n">
        <v>46266</v>
      </c>
      <c r="F129" t="inlineStr">
        <is>
          <t>VÄSTRA GÖTALANDS LÄN</t>
        </is>
      </c>
      <c r="G129" t="inlineStr">
        <is>
          <t>UDDEVALLA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46266</v>
      </c>
      <c r="F130" t="inlineStr">
        <is>
          <t>VÄSTRA GÖTALANDS LÄN</t>
        </is>
      </c>
      <c r="G130" t="inlineStr">
        <is>
          <t>UDDEVALLA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46266</v>
      </c>
      <c r="F131" t="inlineStr">
        <is>
          <t>VÄSTRA GÖTALANDS LÄN</t>
        </is>
      </c>
      <c r="G131" t="inlineStr">
        <is>
          <t>UDDEVALLA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4639-2022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44592</v>
      </c>
      <c r="E132" s="1" t="n">
        <v>46266</v>
      </c>
      <c r="F132" t="inlineStr">
        <is>
          <t>VÄSTRA GÖTALANDS LÄN</t>
        </is>
      </c>
      <c r="G132" t="inlineStr">
        <is>
          <t>UDDEVALLA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45723</v>
      </c>
      <c r="E133" s="1" t="n">
        <v>46266</v>
      </c>
      <c r="F133" t="inlineStr">
        <is>
          <t>VÄSTRA GÖTALANDS LÄN</t>
        </is>
      </c>
      <c r="G133" t="inlineStr">
        <is>
          <t>UDDEVALLA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46266</v>
      </c>
      <c r="F134" t="inlineStr">
        <is>
          <t>VÄSTRA GÖTALANDS LÄN</t>
        </is>
      </c>
      <c r="G134" t="inlineStr">
        <is>
          <t>UDDEVALLA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46266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46266</v>
      </c>
      <c r="F136" t="inlineStr">
        <is>
          <t>VÄSTRA GÖTALANDS LÄN</t>
        </is>
      </c>
      <c r="G136" t="inlineStr">
        <is>
          <t>UDDEVALLA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45426</v>
      </c>
      <c r="E137" s="1" t="n">
        <v>46266</v>
      </c>
      <c r="F137" t="inlineStr">
        <is>
          <t>VÄSTRA GÖTALANDS LÄN</t>
        </is>
      </c>
      <c r="G137" t="inlineStr">
        <is>
          <t>UDDEVALLA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15716-2025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46266</v>
      </c>
      <c r="F138" t="inlineStr">
        <is>
          <t>VÄSTRA GÖTALANDS LÄN</t>
        </is>
      </c>
      <c r="G138" t="inlineStr">
        <is>
          <t>UDDEVALLA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46266</v>
      </c>
      <c r="F139" t="inlineStr">
        <is>
          <t>VÄSTRA GÖTALANDS LÄN</t>
        </is>
      </c>
      <c r="G139" t="inlineStr">
        <is>
          <t>UDDEVALLA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45631</v>
      </c>
      <c r="E140" s="1" t="n">
        <v>46266</v>
      </c>
      <c r="F140" t="inlineStr">
        <is>
          <t>VÄSTRA GÖTALANDS LÄN</t>
        </is>
      </c>
      <c r="G140" t="inlineStr">
        <is>
          <t>UDDEVALLA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46266</v>
      </c>
      <c r="F141" t="inlineStr">
        <is>
          <t>VÄSTRA GÖTALANDS LÄN</t>
        </is>
      </c>
      <c r="G141" t="inlineStr">
        <is>
          <t>UDDEVALLA</t>
        </is>
      </c>
      <c r="I141" t="n">
        <v>11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46266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46266</v>
      </c>
      <c r="F143" t="inlineStr">
        <is>
          <t>VÄSTRA GÖTALANDS LÄN</t>
        </is>
      </c>
      <c r="G143" t="inlineStr">
        <is>
          <t>UDDEVALLA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46266</v>
      </c>
      <c r="F144" t="inlineStr">
        <is>
          <t>VÄSTRA GÖTALANDS LÄN</t>
        </is>
      </c>
      <c r="G144" t="inlineStr">
        <is>
          <t>UDDEVALLA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46266</v>
      </c>
      <c r="F145" t="inlineStr">
        <is>
          <t>VÄSTRA GÖTALANDS LÄN</t>
        </is>
      </c>
      <c r="G145" t="inlineStr">
        <is>
          <t>UDDEVALLA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46266</v>
      </c>
      <c r="F146" t="inlineStr">
        <is>
          <t>VÄSTRA GÖTALANDS LÄN</t>
        </is>
      </c>
      <c r="G146" t="inlineStr">
        <is>
          <t>UDDEVALLA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46266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45826</v>
      </c>
      <c r="E148" s="1" t="n">
        <v>46266</v>
      </c>
      <c r="F148" t="inlineStr">
        <is>
          <t>VÄSTRA GÖTALANDS LÄN</t>
        </is>
      </c>
      <c r="G148" t="inlineStr">
        <is>
          <t>UDDEVALLA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44133-2024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46266</v>
      </c>
      <c r="F149" t="inlineStr">
        <is>
          <t>VÄSTRA GÖTALANDS LÄN</t>
        </is>
      </c>
      <c r="G149" t="inlineStr">
        <is>
          <t>UDDEVALLA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51747-2025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45950</v>
      </c>
      <c r="E150" s="1" t="n">
        <v>46266</v>
      </c>
      <c r="F150" t="inlineStr">
        <is>
          <t>VÄSTRA GÖTALANDS LÄN</t>
        </is>
      </c>
      <c r="G150" t="inlineStr">
        <is>
          <t>UDDEVALLA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46266</v>
      </c>
      <c r="F151" t="inlineStr">
        <is>
          <t>VÄSTRA GÖTALANDS LÄN</t>
        </is>
      </c>
      <c r="G151" t="inlineStr">
        <is>
          <t>UDDEVALLA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46266</v>
      </c>
      <c r="F152" t="inlineStr">
        <is>
          <t>VÄSTRA GÖTALANDS LÄN</t>
        </is>
      </c>
      <c r="G152" t="inlineStr">
        <is>
          <t>UDDEVALLA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45843</v>
      </c>
      <c r="E153" s="1" t="n">
        <v>46266</v>
      </c>
      <c r="F153" t="inlineStr">
        <is>
          <t>VÄSTRA GÖTALANDS LÄN</t>
        </is>
      </c>
      <c r="G153" t="inlineStr">
        <is>
          <t>UDDEVALLA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46266</v>
      </c>
      <c r="F154" t="inlineStr">
        <is>
          <t>VÄSTRA GÖTALANDS LÄN</t>
        </is>
      </c>
      <c r="G154" t="inlineStr">
        <is>
          <t>UDDEVALLA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46266</v>
      </c>
      <c r="F155" t="inlineStr">
        <is>
          <t>VÄSTRA GÖTALANDS LÄN</t>
        </is>
      </c>
      <c r="G155" t="inlineStr">
        <is>
          <t>UDDEVALLA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58958-2021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44489</v>
      </c>
      <c r="E156" s="1" t="n">
        <v>46266</v>
      </c>
      <c r="F156" t="inlineStr">
        <is>
          <t>VÄSTRA GÖTALANDS LÄN</t>
        </is>
      </c>
      <c r="G156" t="inlineStr">
        <is>
          <t>UDDEVALLA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46266</v>
      </c>
      <c r="F157" t="inlineStr">
        <is>
          <t>VÄSTRA GÖTALANDS LÄN</t>
        </is>
      </c>
      <c r="G157" t="inlineStr">
        <is>
          <t>UDDEVALLA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23806-2024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45455</v>
      </c>
      <c r="E158" s="1" t="n">
        <v>46266</v>
      </c>
      <c r="F158" t="inlineStr">
        <is>
          <t>VÄSTRA GÖTALANDS LÄN</t>
        </is>
      </c>
      <c r="G158" t="inlineStr">
        <is>
          <t>UDDEVALLA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45772</v>
      </c>
      <c r="E159" s="1" t="n">
        <v>46266</v>
      </c>
      <c r="F159" t="inlineStr">
        <is>
          <t>VÄSTRA GÖTALANDS LÄN</t>
        </is>
      </c>
      <c r="G159" t="inlineStr">
        <is>
          <t>UDDEVALLA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46266</v>
      </c>
      <c r="F160" t="inlineStr">
        <is>
          <t>VÄSTRA GÖTALANDS LÄN</t>
        </is>
      </c>
      <c r="G160" t="inlineStr">
        <is>
          <t>UDDEVALLA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46266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45672</v>
      </c>
      <c r="E162" s="1" t="n">
        <v>46266</v>
      </c>
      <c r="F162" t="inlineStr">
        <is>
          <t>VÄSTRA GÖTALANDS LÄN</t>
        </is>
      </c>
      <c r="G162" t="inlineStr">
        <is>
          <t>UDDEVALLA</t>
        </is>
      </c>
      <c r="I162" t="n">
        <v>14.1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46266</v>
      </c>
      <c r="F163" t="inlineStr">
        <is>
          <t>VÄSTRA GÖTALANDS LÄN</t>
        </is>
      </c>
      <c r="G163" t="inlineStr">
        <is>
          <t>UDDEVALLA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46266</v>
      </c>
      <c r="F164" t="inlineStr">
        <is>
          <t>VÄSTRA GÖTALANDS LÄN</t>
        </is>
      </c>
      <c r="G164" t="inlineStr">
        <is>
          <t>UDDEVALLA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46266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36236-2023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45150</v>
      </c>
      <c r="E166" s="1" t="n">
        <v>46266</v>
      </c>
      <c r="F166" t="inlineStr">
        <is>
          <t>VÄSTRA GÖTALANDS LÄN</t>
        </is>
      </c>
      <c r="G166" t="inlineStr">
        <is>
          <t>UDDEVALLA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46266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46266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46266</v>
      </c>
      <c r="F169" t="inlineStr">
        <is>
          <t>VÄSTRA GÖTALANDS LÄN</t>
        </is>
      </c>
      <c r="G169" t="inlineStr">
        <is>
          <t>UDDEVALLA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46266</v>
      </c>
      <c r="F170" t="inlineStr">
        <is>
          <t>VÄSTRA GÖTALANDS LÄN</t>
        </is>
      </c>
      <c r="G170" t="inlineStr">
        <is>
          <t>UDDEVALLA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44834</v>
      </c>
      <c r="E171" s="1" t="n">
        <v>46266</v>
      </c>
      <c r="F171" t="inlineStr">
        <is>
          <t>VÄSTRA GÖTALANDS LÄN</t>
        </is>
      </c>
      <c r="G171" t="inlineStr">
        <is>
          <t>UDDEVALLA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46266</v>
      </c>
      <c r="F172" t="inlineStr">
        <is>
          <t>VÄSTRA GÖTALANDS LÄN</t>
        </is>
      </c>
      <c r="G172" t="inlineStr">
        <is>
          <t>UDDEVALLA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46266</v>
      </c>
      <c r="F173" t="inlineStr">
        <is>
          <t>VÄSTRA GÖTALANDS LÄN</t>
        </is>
      </c>
      <c r="G173" t="inlineStr">
        <is>
          <t>UDDEVALLA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46266</v>
      </c>
      <c r="F174" t="inlineStr">
        <is>
          <t>VÄSTRA GÖTALANDS LÄN</t>
        </is>
      </c>
      <c r="G174" t="inlineStr">
        <is>
          <t>UDDEVALLA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46266</v>
      </c>
      <c r="F175" t="inlineStr">
        <is>
          <t>VÄSTRA GÖTALANDS LÄN</t>
        </is>
      </c>
      <c r="G175" t="inlineStr">
        <is>
          <t>UDDEVALLA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44715</v>
      </c>
      <c r="E176" s="1" t="n">
        <v>46266</v>
      </c>
      <c r="F176" t="inlineStr">
        <is>
          <t>VÄSTRA GÖTALANDS LÄN</t>
        </is>
      </c>
      <c r="G176" t="inlineStr">
        <is>
          <t>UDDEVALLA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46266</v>
      </c>
      <c r="F177" t="inlineStr">
        <is>
          <t>VÄSTRA GÖTALANDS LÄN</t>
        </is>
      </c>
      <c r="G177" t="inlineStr">
        <is>
          <t>UDDEVALLA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45994</v>
      </c>
      <c r="E178" s="1" t="n">
        <v>46266</v>
      </c>
      <c r="F178" t="inlineStr">
        <is>
          <t>VÄSTRA GÖTALANDS LÄN</t>
        </is>
      </c>
      <c r="G178" t="inlineStr">
        <is>
          <t>UDDEVALLA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44998</v>
      </c>
      <c r="E179" s="1" t="n">
        <v>46266</v>
      </c>
      <c r="F179" t="inlineStr">
        <is>
          <t>VÄSTRA GÖTALANDS LÄN</t>
        </is>
      </c>
      <c r="G179" t="inlineStr">
        <is>
          <t>UDDEVALLA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46266</v>
      </c>
      <c r="F180" t="inlineStr">
        <is>
          <t>VÄSTRA GÖTALANDS LÄN</t>
        </is>
      </c>
      <c r="G180" t="inlineStr">
        <is>
          <t>UDDEVALLA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62365-2025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46266</v>
      </c>
      <c r="F181" t="inlineStr">
        <is>
          <t>VÄSTRA GÖTALANDS LÄN</t>
        </is>
      </c>
      <c r="G181" t="inlineStr">
        <is>
          <t>UDDEVALLA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46266</v>
      </c>
      <c r="F182" t="inlineStr">
        <is>
          <t>VÄSTRA GÖTALANDS LÄN</t>
        </is>
      </c>
      <c r="G182" t="inlineStr">
        <is>
          <t>UDDEVALLA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46266</v>
      </c>
      <c r="F183" t="inlineStr">
        <is>
          <t>VÄSTRA GÖTALANDS LÄN</t>
        </is>
      </c>
      <c r="G183" t="inlineStr">
        <is>
          <t>UDDEVALLA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45575</v>
      </c>
      <c r="E184" s="1" t="n">
        <v>46266</v>
      </c>
      <c r="F184" t="inlineStr">
        <is>
          <t>VÄSTRA GÖTALANDS LÄN</t>
        </is>
      </c>
      <c r="G184" t="inlineStr">
        <is>
          <t>UDDEVALLA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46266</v>
      </c>
      <c r="F185" t="inlineStr">
        <is>
          <t>VÄSTRA GÖTALANDS LÄN</t>
        </is>
      </c>
      <c r="G185" t="inlineStr">
        <is>
          <t>UDDEVALLA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46026</v>
      </c>
      <c r="E186" s="1" t="n">
        <v>46266</v>
      </c>
      <c r="F186" t="inlineStr">
        <is>
          <t>VÄSTRA GÖTALANDS LÄN</t>
        </is>
      </c>
      <c r="G186" t="inlineStr">
        <is>
          <t>UDDEVALLA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46027</v>
      </c>
      <c r="E187" s="1" t="n">
        <v>46266</v>
      </c>
      <c r="F187" t="inlineStr">
        <is>
          <t>VÄSTRA GÖTALANDS LÄN</t>
        </is>
      </c>
      <c r="G187" t="inlineStr">
        <is>
          <t>UDDEVALLA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46266</v>
      </c>
      <c r="F188" t="inlineStr">
        <is>
          <t>VÄSTRA GÖTALANDS LÄN</t>
        </is>
      </c>
      <c r="G188" t="inlineStr">
        <is>
          <t>UDDEVALLA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46266</v>
      </c>
      <c r="F189" t="inlineStr">
        <is>
          <t>VÄSTRA GÖTALANDS LÄN</t>
        </is>
      </c>
      <c r="G189" t="inlineStr">
        <is>
          <t>UDDEVALLA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46266</v>
      </c>
      <c r="F190" t="inlineStr">
        <is>
          <t>VÄSTRA GÖTALANDS LÄN</t>
        </is>
      </c>
      <c r="G190" t="inlineStr">
        <is>
          <t>UDDEVALLA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46266</v>
      </c>
      <c r="F191" t="inlineStr">
        <is>
          <t>VÄSTRA GÖTALANDS LÄN</t>
        </is>
      </c>
      <c r="G191" t="inlineStr">
        <is>
          <t>UDDEVALLA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46266</v>
      </c>
      <c r="F192" t="inlineStr">
        <is>
          <t>VÄSTRA GÖTALANDS LÄN</t>
        </is>
      </c>
      <c r="G192" t="inlineStr">
        <is>
          <t>UDDEVALLA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46266</v>
      </c>
      <c r="F193" t="inlineStr">
        <is>
          <t>VÄSTRA GÖTALANDS LÄN</t>
        </is>
      </c>
      <c r="G193" t="inlineStr">
        <is>
          <t>UDDEVALLA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17964-2022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44683</v>
      </c>
      <c r="E194" s="1" t="n">
        <v>46266</v>
      </c>
      <c r="F194" t="inlineStr">
        <is>
          <t>VÄSTRA GÖTALANDS LÄN</t>
        </is>
      </c>
      <c r="G194" t="inlineStr">
        <is>
          <t>UDDEVALLA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46266</v>
      </c>
      <c r="F195" t="inlineStr">
        <is>
          <t>VÄSTRA GÖTALANDS LÄN</t>
        </is>
      </c>
      <c r="G195" t="inlineStr">
        <is>
          <t>UDDEVALLA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46266</v>
      </c>
      <c r="F196" t="inlineStr">
        <is>
          <t>VÄSTRA GÖTALANDS LÄN</t>
        </is>
      </c>
      <c r="G196" t="inlineStr">
        <is>
          <t>UDDEVALLA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46266</v>
      </c>
      <c r="F197" t="inlineStr">
        <is>
          <t>VÄSTRA GÖTALANDS LÄN</t>
        </is>
      </c>
      <c r="G197" t="inlineStr">
        <is>
          <t>UDDEVALLA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46266</v>
      </c>
      <c r="F198" t="inlineStr">
        <is>
          <t>VÄSTRA GÖTALANDS LÄN</t>
        </is>
      </c>
      <c r="G198" t="inlineStr">
        <is>
          <t>UDDEVALLA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45667</v>
      </c>
      <c r="E199" s="1" t="n">
        <v>46266</v>
      </c>
      <c r="F199" t="inlineStr">
        <is>
          <t>VÄSTRA GÖTALANDS LÄN</t>
        </is>
      </c>
      <c r="G199" t="inlineStr">
        <is>
          <t>UDDEVALLA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46266</v>
      </c>
      <c r="F200" t="inlineStr">
        <is>
          <t>VÄSTRA GÖTALANDS LÄN</t>
        </is>
      </c>
      <c r="G200" t="inlineStr">
        <is>
          <t>UDDEVALLA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46266</v>
      </c>
      <c r="F201" t="inlineStr">
        <is>
          <t>VÄSTRA GÖTALANDS LÄN</t>
        </is>
      </c>
      <c r="G201" t="inlineStr">
        <is>
          <t>UDDEVALLA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46266</v>
      </c>
      <c r="F202" t="inlineStr">
        <is>
          <t>VÄSTRA GÖTALANDS LÄN</t>
        </is>
      </c>
      <c r="G202" t="inlineStr">
        <is>
          <t>UDDEVALLA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45664</v>
      </c>
      <c r="E203" s="1" t="n">
        <v>46266</v>
      </c>
      <c r="F203" t="inlineStr">
        <is>
          <t>VÄSTRA GÖTALANDS LÄN</t>
        </is>
      </c>
      <c r="G203" t="inlineStr">
        <is>
          <t>UDDEVALLA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46266</v>
      </c>
      <c r="F204" t="inlineStr">
        <is>
          <t>VÄSTRA GÖTALANDS LÄN</t>
        </is>
      </c>
      <c r="G204" t="inlineStr">
        <is>
          <t>UDDEVALLA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46266</v>
      </c>
      <c r="F205" t="inlineStr">
        <is>
          <t>VÄSTRA GÖTALANDS LÄN</t>
        </is>
      </c>
      <c r="G205" t="inlineStr">
        <is>
          <t>UDDEVALLA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46266</v>
      </c>
      <c r="F206" t="inlineStr">
        <is>
          <t>VÄSTRA GÖTALANDS LÄN</t>
        </is>
      </c>
      <c r="G206" t="inlineStr">
        <is>
          <t>UDDEVALLA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46266</v>
      </c>
      <c r="F207" t="inlineStr">
        <is>
          <t>VÄSTRA GÖTALANDS LÄN</t>
        </is>
      </c>
      <c r="G207" t="inlineStr">
        <is>
          <t>UDDEVALLA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45764</v>
      </c>
      <c r="E208" s="1" t="n">
        <v>46266</v>
      </c>
      <c r="F208" t="inlineStr">
        <is>
          <t>VÄSTRA GÖTALANDS LÄN</t>
        </is>
      </c>
      <c r="G208" t="inlineStr">
        <is>
          <t>UDDEVALLA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46266</v>
      </c>
      <c r="F209" t="inlineStr">
        <is>
          <t>VÄSTRA GÖTALANDS LÄN</t>
        </is>
      </c>
      <c r="G209" t="inlineStr">
        <is>
          <t>UDDEVALLA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46266</v>
      </c>
      <c r="F210" t="inlineStr">
        <is>
          <t>VÄSTRA GÖTALANDS LÄN</t>
        </is>
      </c>
      <c r="G210" t="inlineStr">
        <is>
          <t>UDDEVALLA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10436-2026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46076</v>
      </c>
      <c r="E211" s="1" t="n">
        <v>46266</v>
      </c>
      <c r="F211" t="inlineStr">
        <is>
          <t>VÄSTRA GÖTALANDS LÄN</t>
        </is>
      </c>
      <c r="G211" t="inlineStr">
        <is>
          <t>UDDEVALLA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45374</v>
      </c>
      <c r="E212" s="1" t="n">
        <v>46266</v>
      </c>
      <c r="F212" t="inlineStr">
        <is>
          <t>VÄSTRA GÖTALANDS LÄN</t>
        </is>
      </c>
      <c r="G212" t="inlineStr">
        <is>
          <t>UDDEVALLA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46266</v>
      </c>
      <c r="F213" t="inlineStr">
        <is>
          <t>VÄSTRA GÖTALANDS LÄN</t>
        </is>
      </c>
      <c r="G213" t="inlineStr">
        <is>
          <t>UDDEVALLA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24081-2024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45456</v>
      </c>
      <c r="E214" s="1" t="n">
        <v>46266</v>
      </c>
      <c r="F214" t="inlineStr">
        <is>
          <t>VÄSTRA GÖTALANDS LÄN</t>
        </is>
      </c>
      <c r="G214" t="inlineStr">
        <is>
          <t>UDDEVALLA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46266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Kyrkan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44813</v>
      </c>
      <c r="E216" s="1" t="n">
        <v>46266</v>
      </c>
      <c r="F216" t="inlineStr">
        <is>
          <t>VÄSTRA GÖTALANDS LÄN</t>
        </is>
      </c>
      <c r="G216" t="inlineStr">
        <is>
          <t>UDDEVALLA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45021</v>
      </c>
      <c r="E217" s="1" t="n">
        <v>46266</v>
      </c>
      <c r="F217" t="inlineStr">
        <is>
          <t>VÄSTRA GÖTALANDS LÄN</t>
        </is>
      </c>
      <c r="G217" t="inlineStr">
        <is>
          <t>UDDEVALLA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46266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Kyrkan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46266</v>
      </c>
      <c r="F219" t="inlineStr">
        <is>
          <t>VÄSTRA GÖTALANDS LÄN</t>
        </is>
      </c>
      <c r="G219" t="inlineStr">
        <is>
          <t>UDDEVALLA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46266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16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46266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Kyrkan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45400</v>
      </c>
      <c r="E222" s="1" t="n">
        <v>46266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45540</v>
      </c>
      <c r="E223" s="1" t="n">
        <v>46266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46266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46266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46266</v>
      </c>
      <c r="F226" t="inlineStr">
        <is>
          <t>VÄSTRA GÖTALANDS LÄN</t>
        </is>
      </c>
      <c r="G226" t="inlineStr">
        <is>
          <t>UDDEVALLA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46266</v>
      </c>
      <c r="F227" t="inlineStr">
        <is>
          <t>VÄSTRA GÖTALANDS LÄN</t>
        </is>
      </c>
      <c r="G227" t="inlineStr">
        <is>
          <t>UDDEVALLA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73437-2021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44551</v>
      </c>
      <c r="E228" s="1" t="n">
        <v>46266</v>
      </c>
      <c r="F228" t="inlineStr">
        <is>
          <t>VÄSTRA GÖTALANDS LÄN</t>
        </is>
      </c>
      <c r="G228" t="inlineStr">
        <is>
          <t>UDDEVALLA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44924</v>
      </c>
      <c r="E229" s="1" t="n">
        <v>46266</v>
      </c>
      <c r="F229" t="inlineStr">
        <is>
          <t>VÄSTRA GÖTALANDS LÄN</t>
        </is>
      </c>
      <c r="G229" t="inlineStr">
        <is>
          <t>UDDEVALLA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45141</v>
      </c>
      <c r="E230" s="1" t="n">
        <v>46266</v>
      </c>
      <c r="F230" t="inlineStr">
        <is>
          <t>VÄSTRA GÖTALANDS LÄN</t>
        </is>
      </c>
      <c r="G230" t="inlineStr">
        <is>
          <t>UDDEVALLA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46266</v>
      </c>
      <c r="F231" t="inlineStr">
        <is>
          <t>VÄSTRA GÖTALANDS LÄN</t>
        </is>
      </c>
      <c r="G231" t="inlineStr">
        <is>
          <t>UDDEVALLA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16819-2026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46113</v>
      </c>
      <c r="E232" s="1" t="n">
        <v>46266</v>
      </c>
      <c r="F232" t="inlineStr">
        <is>
          <t>VÄSTRA GÖTALANDS LÄN</t>
        </is>
      </c>
      <c r="G232" t="inlineStr">
        <is>
          <t>UDDEVALLA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46266</v>
      </c>
      <c r="F233" t="inlineStr">
        <is>
          <t>VÄSTRA GÖTALANDS LÄN</t>
        </is>
      </c>
      <c r="G233" t="inlineStr">
        <is>
          <t>UDDEVALLA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33761-2023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45133</v>
      </c>
      <c r="E234" s="1" t="n">
        <v>46266</v>
      </c>
      <c r="F234" t="inlineStr">
        <is>
          <t>VÄSTRA GÖTALANDS LÄN</t>
        </is>
      </c>
      <c r="G234" t="inlineStr">
        <is>
          <t>UDDEVALLA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17244-2026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46119</v>
      </c>
      <c r="E235" s="1" t="n">
        <v>46266</v>
      </c>
      <c r="F235" t="inlineStr">
        <is>
          <t>VÄSTRA GÖTALANDS LÄN</t>
        </is>
      </c>
      <c r="G235" t="inlineStr">
        <is>
          <t>UDDEVALLA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46120</v>
      </c>
      <c r="E236" s="1" t="n">
        <v>46266</v>
      </c>
      <c r="F236" t="inlineStr">
        <is>
          <t>VÄSTRA GÖTALANDS LÄN</t>
        </is>
      </c>
      <c r="G236" t="inlineStr">
        <is>
          <t>UDDEVALLA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8893-2024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45355</v>
      </c>
      <c r="E237" s="1" t="n">
        <v>46266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46266</v>
      </c>
      <c r="F238" t="inlineStr">
        <is>
          <t>VÄSTRA GÖTALANDS LÄN</t>
        </is>
      </c>
      <c r="G238" t="inlineStr">
        <is>
          <t>UDDEVALLA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18123-2026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46266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Kommuner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46266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44578</v>
      </c>
      <c r="E241" s="1" t="n">
        <v>46266</v>
      </c>
      <c r="F241" t="inlineStr">
        <is>
          <t>VÄSTRA GÖTALANDS LÄN</t>
        </is>
      </c>
      <c r="G241" t="inlineStr">
        <is>
          <t>UDDEVALLA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18767-2026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46266</v>
      </c>
      <c r="F242" t="inlineStr">
        <is>
          <t>VÄSTRA GÖTALANDS LÄN</t>
        </is>
      </c>
      <c r="G242" t="inlineStr">
        <is>
          <t>UDDEVALLA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46128</v>
      </c>
      <c r="E243" s="1" t="n">
        <v>46266</v>
      </c>
      <c r="F243" t="inlineStr">
        <is>
          <t>VÄSTRA GÖTALANDS LÄN</t>
        </is>
      </c>
      <c r="G243" t="inlineStr">
        <is>
          <t>UDDEVALLA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45463</v>
      </c>
      <c r="E244" s="1" t="n">
        <v>46266</v>
      </c>
      <c r="F244" t="inlineStr">
        <is>
          <t>VÄSTRA GÖTALANDS LÄN</t>
        </is>
      </c>
      <c r="G244" t="inlineStr">
        <is>
          <t>UDDEVALLA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45063</v>
      </c>
      <c r="E245" s="1" t="n">
        <v>46266</v>
      </c>
      <c r="F245" t="inlineStr">
        <is>
          <t>VÄSTRA GÖTALANDS LÄN</t>
        </is>
      </c>
      <c r="G245" t="inlineStr">
        <is>
          <t>UDDEVALLA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45059-2025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45919</v>
      </c>
      <c r="E246" s="1" t="n">
        <v>46266</v>
      </c>
      <c r="F246" t="inlineStr">
        <is>
          <t>VÄSTRA GÖTALANDS LÄN</t>
        </is>
      </c>
      <c r="G246" t="inlineStr">
        <is>
          <t>UDDEVALLA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45097</v>
      </c>
      <c r="E247" s="1" t="n">
        <v>46266</v>
      </c>
      <c r="F247" t="inlineStr">
        <is>
          <t>VÄSTRA GÖTALANDS LÄN</t>
        </is>
      </c>
      <c r="G247" t="inlineStr">
        <is>
          <t>UDDEVALLA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45907</v>
      </c>
      <c r="E248" s="1" t="n">
        <v>46266</v>
      </c>
      <c r="F248" t="inlineStr">
        <is>
          <t>VÄSTRA GÖTALANDS LÄN</t>
        </is>
      </c>
      <c r="G248" t="inlineStr">
        <is>
          <t>UDDEVALLA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45349</v>
      </c>
      <c r="E249" s="1" t="n">
        <v>46266</v>
      </c>
      <c r="F249" t="inlineStr">
        <is>
          <t>VÄSTRA GÖTALANDS LÄN</t>
        </is>
      </c>
      <c r="G249" t="inlineStr">
        <is>
          <t>UDDEVALLA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46266</v>
      </c>
      <c r="F250" t="inlineStr">
        <is>
          <t>VÄSTRA GÖTALANDS LÄN</t>
        </is>
      </c>
      <c r="G250" t="inlineStr">
        <is>
          <t>UDDEVALLA</t>
        </is>
      </c>
      <c r="I250" t="n">
        <v>8.6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46266</v>
      </c>
      <c r="F251" t="inlineStr">
        <is>
          <t>VÄSTRA GÖTALANDS LÄN</t>
        </is>
      </c>
      <c r="G251" t="inlineStr">
        <is>
          <t>UDDEVALLA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46266</v>
      </c>
      <c r="F252" t="inlineStr">
        <is>
          <t>VÄSTRA GÖTALANDS LÄN</t>
        </is>
      </c>
      <c r="G252" t="inlineStr">
        <is>
          <t>UDDEVALLA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45656</v>
      </c>
      <c r="E253" s="1" t="n">
        <v>46266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46266</v>
      </c>
      <c r="F254" t="inlineStr">
        <is>
          <t>VÄSTRA GÖTALANDS LÄN</t>
        </is>
      </c>
      <c r="G254" t="inlineStr">
        <is>
          <t>UDDEVALLA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46266</v>
      </c>
      <c r="F255" t="inlineStr">
        <is>
          <t>VÄSTRA GÖTALANDS LÄN</t>
        </is>
      </c>
      <c r="G255" t="inlineStr">
        <is>
          <t>UDDEVALLA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46266</v>
      </c>
      <c r="F256" t="inlineStr">
        <is>
          <t>VÄSTRA GÖTALANDS LÄN</t>
        </is>
      </c>
      <c r="G256" t="inlineStr">
        <is>
          <t>UDDEVALLA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46266</v>
      </c>
      <c r="F257" t="inlineStr">
        <is>
          <t>VÄSTRA GÖTALANDS LÄN</t>
        </is>
      </c>
      <c r="G257" t="inlineStr">
        <is>
          <t>UDDEVALLA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46266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1147-2024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45302</v>
      </c>
      <c r="E259" s="1" t="n">
        <v>46266</v>
      </c>
      <c r="F259" t="inlineStr">
        <is>
          <t>VÄSTRA GÖTALANDS LÄN</t>
        </is>
      </c>
      <c r="G259" t="inlineStr">
        <is>
          <t>UDDEVALLA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46266</v>
      </c>
      <c r="F260" t="inlineStr">
        <is>
          <t>VÄSTRA GÖTALANDS LÄN</t>
        </is>
      </c>
      <c r="G260" t="inlineStr">
        <is>
          <t>UDDEVALLA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46266</v>
      </c>
      <c r="F261" t="inlineStr">
        <is>
          <t>VÄSTRA GÖTALANDS LÄN</t>
        </is>
      </c>
      <c r="G261" t="inlineStr">
        <is>
          <t>UDDEVALLA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46266</v>
      </c>
      <c r="F262" t="inlineStr">
        <is>
          <t>VÄSTRA GÖTALANDS LÄN</t>
        </is>
      </c>
      <c r="G262" t="inlineStr">
        <is>
          <t>UDDEVALLA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46266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20401-2026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46139</v>
      </c>
      <c r="E264" s="1" t="n">
        <v>46266</v>
      </c>
      <c r="F264" t="inlineStr">
        <is>
          <t>VÄSTRA GÖTALANDS LÄN</t>
        </is>
      </c>
      <c r="G264" t="inlineStr">
        <is>
          <t>UDDEVALLA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45226</v>
      </c>
      <c r="E265" s="1" t="n">
        <v>46266</v>
      </c>
      <c r="F265" t="inlineStr">
        <is>
          <t>VÄSTRA GÖTALANDS LÄN</t>
        </is>
      </c>
      <c r="G265" t="inlineStr">
        <is>
          <t>UDDEVALLA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46266</v>
      </c>
      <c r="F266" t="inlineStr">
        <is>
          <t>VÄSTRA GÖTALANDS LÄN</t>
        </is>
      </c>
      <c r="G266" t="inlineStr">
        <is>
          <t>UDDEVALLA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73007-2021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44550</v>
      </c>
      <c r="E267" s="1" t="n">
        <v>46266</v>
      </c>
      <c r="F267" t="inlineStr">
        <is>
          <t>VÄSTRA GÖTALANDS LÄN</t>
        </is>
      </c>
      <c r="G267" t="inlineStr">
        <is>
          <t>UDDEVALLA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63878-2021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44509</v>
      </c>
      <c r="E268" s="1" t="n">
        <v>46266</v>
      </c>
      <c r="F268" t="inlineStr">
        <is>
          <t>VÄSTRA GÖTALANDS LÄN</t>
        </is>
      </c>
      <c r="G268" t="inlineStr">
        <is>
          <t>UDDEVALLA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46147</v>
      </c>
      <c r="E269" s="1" t="n">
        <v>46266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Kommuner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46266</v>
      </c>
      <c r="F270" t="inlineStr">
        <is>
          <t>VÄSTRA GÖTALANDS LÄN</t>
        </is>
      </c>
      <c r="G270" t="inlineStr">
        <is>
          <t>UDDEVALLA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6875-2022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44602</v>
      </c>
      <c r="E271" s="1" t="n">
        <v>46266</v>
      </c>
      <c r="F271" t="inlineStr">
        <is>
          <t>VÄSTRA GÖTALANDS LÄN</t>
        </is>
      </c>
      <c r="G271" t="inlineStr">
        <is>
          <t>UDDEVALLA</t>
        </is>
      </c>
      <c r="I271" t="n">
        <v>9.6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45035</v>
      </c>
      <c r="E272" s="1" t="n">
        <v>46266</v>
      </c>
      <c r="F272" t="inlineStr">
        <is>
          <t>VÄSTRA GÖTALANDS LÄN</t>
        </is>
      </c>
      <c r="G272" t="inlineStr">
        <is>
          <t>UDDEVALLA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46266</v>
      </c>
      <c r="F273" t="inlineStr">
        <is>
          <t>VÄSTRA GÖTALANDS LÄN</t>
        </is>
      </c>
      <c r="G273" t="inlineStr">
        <is>
          <t>UDDEVALLA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46266</v>
      </c>
      <c r="F274" t="inlineStr">
        <is>
          <t>VÄSTRA GÖTALANDS LÄN</t>
        </is>
      </c>
      <c r="G274" t="inlineStr">
        <is>
          <t>UDDEVALLA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46266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Kyrkan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46266</v>
      </c>
      <c r="F276" t="inlineStr">
        <is>
          <t>VÄSTRA GÖTALANDS LÄN</t>
        </is>
      </c>
      <c r="G276" t="inlineStr">
        <is>
          <t>UDDEVALLA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46266</v>
      </c>
      <c r="F277" t="inlineStr">
        <is>
          <t>VÄSTRA GÖTALANDS LÄN</t>
        </is>
      </c>
      <c r="G277" t="inlineStr">
        <is>
          <t>UDDEVALLA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46198</v>
      </c>
      <c r="E278" s="1" t="n">
        <v>46266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Övriga statliga verk och myndigheter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17058-2025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45754</v>
      </c>
      <c r="E279" s="1" t="n">
        <v>46266</v>
      </c>
      <c r="F279" t="inlineStr">
        <is>
          <t>VÄSTRA GÖTALANDS LÄN</t>
        </is>
      </c>
      <c r="G279" t="inlineStr">
        <is>
          <t>UDDEVALLA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58625-2024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45635</v>
      </c>
      <c r="E280" s="1" t="n">
        <v>46266</v>
      </c>
      <c r="F280" t="inlineStr">
        <is>
          <t>VÄSTRA GÖTALANDS LÄN</t>
        </is>
      </c>
      <c r="G280" t="inlineStr">
        <is>
          <t>UDDEVALLA</t>
        </is>
      </c>
      <c r="I280" t="n">
        <v>14.9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46164</v>
      </c>
      <c r="E281" s="1" t="n">
        <v>46266</v>
      </c>
      <c r="F281" t="inlineStr">
        <is>
          <t>VÄSTRA GÖTALANDS LÄN</t>
        </is>
      </c>
      <c r="G281" t="inlineStr">
        <is>
          <t>UDDEVALLA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46266</v>
      </c>
      <c r="F282" t="inlineStr">
        <is>
          <t>VÄSTRA GÖTALANDS LÄN</t>
        </is>
      </c>
      <c r="G282" t="inlineStr">
        <is>
          <t>UDDEVALLA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46266</v>
      </c>
      <c r="F283" t="inlineStr">
        <is>
          <t>VÄSTRA GÖTALANDS LÄN</t>
        </is>
      </c>
      <c r="G283" t="inlineStr">
        <is>
          <t>UDDEVALLA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46266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46266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45495</v>
      </c>
      <c r="E286" s="1" t="n">
        <v>46266</v>
      </c>
      <c r="F286" t="inlineStr">
        <is>
          <t>VÄSTRA GÖTALANDS LÄN</t>
        </is>
      </c>
      <c r="G286" t="inlineStr">
        <is>
          <t>UDDEVALLA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46266</v>
      </c>
      <c r="F287" t="inlineStr">
        <is>
          <t>VÄSTRA GÖTALANDS LÄN</t>
        </is>
      </c>
      <c r="G287" t="inlineStr">
        <is>
          <t>UDDEVALLA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46266</v>
      </c>
      <c r="F288" t="inlineStr">
        <is>
          <t>VÄSTRA GÖTALANDS LÄN</t>
        </is>
      </c>
      <c r="G288" t="inlineStr">
        <is>
          <t>UDDEVALLA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44655</v>
      </c>
      <c r="E289" s="1" t="n">
        <v>46266</v>
      </c>
      <c r="F289" t="inlineStr">
        <is>
          <t>VÄSTRA GÖTALANDS LÄN</t>
        </is>
      </c>
      <c r="G289" t="inlineStr">
        <is>
          <t>UDDEVALLA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46266</v>
      </c>
      <c r="F290" t="inlineStr">
        <is>
          <t>VÄSTRA GÖTALANDS LÄN</t>
        </is>
      </c>
      <c r="G290" t="inlineStr">
        <is>
          <t>UDDEVALLA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46266</v>
      </c>
      <c r="F291" t="inlineStr">
        <is>
          <t>VÄSTRA GÖTALANDS LÄN</t>
        </is>
      </c>
      <c r="G291" t="inlineStr">
        <is>
          <t>UDDEVALLA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46266</v>
      </c>
      <c r="F292" t="inlineStr">
        <is>
          <t>VÄSTRA GÖTALANDS LÄN</t>
        </is>
      </c>
      <c r="G292" t="inlineStr">
        <is>
          <t>UDDEVALLA</t>
        </is>
      </c>
      <c r="I292" t="n">
        <v>12.2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9797-2023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44984</v>
      </c>
      <c r="E293" s="1" t="n">
        <v>46266</v>
      </c>
      <c r="F293" t="inlineStr">
        <is>
          <t>VÄSTRA GÖTALANDS LÄN</t>
        </is>
      </c>
      <c r="G293" t="inlineStr">
        <is>
          <t>UDDEVALLA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46266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46266</v>
      </c>
      <c r="F295" t="inlineStr">
        <is>
          <t>VÄSTRA GÖTALANDS LÄN</t>
        </is>
      </c>
      <c r="G295" t="inlineStr">
        <is>
          <t>UDDEVALLA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46266</v>
      </c>
      <c r="F296" t="inlineStr">
        <is>
          <t>VÄSTRA GÖTALANDS LÄN</t>
        </is>
      </c>
      <c r="G296" t="inlineStr">
        <is>
          <t>UDDEVALLA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46266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46266</v>
      </c>
      <c r="F298" t="inlineStr">
        <is>
          <t>VÄSTRA GÖTALANDS LÄN</t>
        </is>
      </c>
      <c r="G298" t="inlineStr">
        <is>
          <t>UDDEVALLA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46266</v>
      </c>
      <c r="F299" t="inlineStr">
        <is>
          <t>VÄSTRA GÖTALANDS LÄN</t>
        </is>
      </c>
      <c r="G299" t="inlineStr">
        <is>
          <t>UDDEVALLA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69198-2021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46266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46266</v>
      </c>
      <c r="F301" t="inlineStr">
        <is>
          <t>VÄSTRA GÖTALANDS LÄN</t>
        </is>
      </c>
      <c r="G301" t="inlineStr">
        <is>
          <t>UDDEVALLA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46266</v>
      </c>
      <c r="F302" t="inlineStr">
        <is>
          <t>VÄSTRA GÖTALANDS LÄN</t>
        </is>
      </c>
      <c r="G302" t="inlineStr">
        <is>
          <t>UDDEVALLA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46266</v>
      </c>
      <c r="F303" t="inlineStr">
        <is>
          <t>VÄSTRA GÖTALANDS LÄN</t>
        </is>
      </c>
      <c r="G303" t="inlineStr">
        <is>
          <t>UDDEVALLA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25611-2026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46266</v>
      </c>
      <c r="F304" t="inlineStr">
        <is>
          <t>VÄSTRA GÖTALANDS LÄN</t>
        </is>
      </c>
      <c r="G304" t="inlineStr">
        <is>
          <t>UDDEVALLA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59674-2023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45255</v>
      </c>
      <c r="E305" s="1" t="n">
        <v>46266</v>
      </c>
      <c r="F305" t="inlineStr">
        <is>
          <t>VÄSTRA GÖTALANDS LÄN</t>
        </is>
      </c>
      <c r="G305" t="inlineStr">
        <is>
          <t>UDDEVALLA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45121</v>
      </c>
      <c r="E306" s="1" t="n">
        <v>46266</v>
      </c>
      <c r="F306" t="inlineStr">
        <is>
          <t>VÄSTRA GÖTALANDS LÄN</t>
        </is>
      </c>
      <c r="G306" t="inlineStr">
        <is>
          <t>UDDEVALLA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46266</v>
      </c>
      <c r="F307" t="inlineStr">
        <is>
          <t>VÄSTRA GÖTALANDS LÄN</t>
        </is>
      </c>
      <c r="G307" t="inlineStr">
        <is>
          <t>UDDEVALLA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46266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Kommuner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45205</v>
      </c>
      <c r="E309" s="1" t="n">
        <v>46266</v>
      </c>
      <c r="F309" t="inlineStr">
        <is>
          <t>VÄSTRA GÖTALANDS LÄN</t>
        </is>
      </c>
      <c r="G309" t="inlineStr">
        <is>
          <t>UDDEVALLA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45426</v>
      </c>
      <c r="E310" s="1" t="n">
        <v>46266</v>
      </c>
      <c r="F310" t="inlineStr">
        <is>
          <t>VÄSTRA GÖTALANDS LÄN</t>
        </is>
      </c>
      <c r="G310" t="inlineStr">
        <is>
          <t>UDDEVALLA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45484</v>
      </c>
      <c r="E311" s="1" t="n">
        <v>46266</v>
      </c>
      <c r="F311" t="inlineStr">
        <is>
          <t>VÄSTRA GÖTALANDS LÄN</t>
        </is>
      </c>
      <c r="G311" t="inlineStr">
        <is>
          <t>UDDEVALLA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46266</v>
      </c>
      <c r="F312" t="inlineStr">
        <is>
          <t>VÄSTRA GÖTALANDS LÄN</t>
        </is>
      </c>
      <c r="G312" t="inlineStr">
        <is>
          <t>UDDEVALLA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44967</v>
      </c>
      <c r="E313" s="1" t="n">
        <v>46266</v>
      </c>
      <c r="F313" t="inlineStr">
        <is>
          <t>VÄSTRA GÖTALANDS LÄN</t>
        </is>
      </c>
      <c r="G313" t="inlineStr">
        <is>
          <t>UDDEVALLA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44794</v>
      </c>
      <c r="E314" s="1" t="n">
        <v>46266</v>
      </c>
      <c r="F314" t="inlineStr">
        <is>
          <t>VÄSTRA GÖTALANDS LÄN</t>
        </is>
      </c>
      <c r="G314" t="inlineStr">
        <is>
          <t>UDDEVALLA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46266</v>
      </c>
      <c r="F315" t="inlineStr">
        <is>
          <t>VÄSTRA GÖTALANDS LÄN</t>
        </is>
      </c>
      <c r="G315" t="inlineStr">
        <is>
          <t>UDDEVALLA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46266</v>
      </c>
      <c r="F316" t="inlineStr">
        <is>
          <t>VÄSTRA GÖTALANDS LÄN</t>
        </is>
      </c>
      <c r="G316" t="inlineStr">
        <is>
          <t>UDDEVALLA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44582</v>
      </c>
      <c r="E317" s="1" t="n">
        <v>46266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45484</v>
      </c>
      <c r="E318" s="1" t="n">
        <v>46266</v>
      </c>
      <c r="F318" t="inlineStr">
        <is>
          <t>VÄSTRA GÖTALANDS LÄN</t>
        </is>
      </c>
      <c r="G318" t="inlineStr">
        <is>
          <t>UDDEVALLA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45387</v>
      </c>
      <c r="E319" s="1" t="n">
        <v>46266</v>
      </c>
      <c r="F319" t="inlineStr">
        <is>
          <t>VÄSTRA GÖTALANDS LÄN</t>
        </is>
      </c>
      <c r="G319" t="inlineStr">
        <is>
          <t>UDDEVALLA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23462-2024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45453</v>
      </c>
      <c r="E320" s="1" t="n">
        <v>46266</v>
      </c>
      <c r="F320" t="inlineStr">
        <is>
          <t>VÄSTRA GÖTALANDS LÄN</t>
        </is>
      </c>
      <c r="G320" t="inlineStr">
        <is>
          <t>UDDEVALLA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46266</v>
      </c>
      <c r="F321" t="inlineStr">
        <is>
          <t>VÄSTRA GÖTALANDS LÄN</t>
        </is>
      </c>
      <c r="G321" t="inlineStr">
        <is>
          <t>UDDEVALLA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46266</v>
      </c>
      <c r="F322" t="inlineStr">
        <is>
          <t>VÄSTRA GÖTALANDS LÄN</t>
        </is>
      </c>
      <c r="G322" t="inlineStr">
        <is>
          <t>UDDEVALLA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46266</v>
      </c>
      <c r="F323" t="inlineStr">
        <is>
          <t>VÄSTRA GÖTALANDS LÄN</t>
        </is>
      </c>
      <c r="G323" t="inlineStr">
        <is>
          <t>UDDEVALLA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46266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46266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Kommuner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46266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Kommuner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46266</v>
      </c>
      <c r="F327" t="inlineStr">
        <is>
          <t>VÄSTRA GÖTALANDS LÄN</t>
        </is>
      </c>
      <c r="G327" t="inlineStr">
        <is>
          <t>UDDEVALLA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46212</v>
      </c>
      <c r="E328" s="1" t="n">
        <v>46266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Kyrkan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46266</v>
      </c>
      <c r="F329" t="inlineStr">
        <is>
          <t>VÄSTRA GÖTALANDS LÄN</t>
        </is>
      </c>
      <c r="G329" t="inlineStr">
        <is>
          <t>UDDEVALLA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46222</v>
      </c>
      <c r="E330" s="1" t="n">
        <v>46266</v>
      </c>
      <c r="F330" t="inlineStr">
        <is>
          <t>VÄSTRA GÖTALANDS LÄN</t>
        </is>
      </c>
      <c r="G330" t="inlineStr">
        <is>
          <t>UDDEVALLA</t>
        </is>
      </c>
      <c r="H330" t="inlineStr">
        <is>
          <t>Kommuner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46266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46266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46266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46266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2026-09-01T02:10:03Z</dcterms:created>
  <dcterms:modified xmlns:dcterms="http://purl.org/dc/terms/" xmlns:xsi="http://www.w3.org/2001/XMLSchema-instance" xsi:type="dcterms:W3CDTF">2026-09-01T02:10:04Z</dcterms:modified>
</cp:coreProperties>
</file>