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46265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46265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46265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46265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11824-2025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45728</v>
      </c>
      <c r="E6" s="1" t="n">
        <v>46265</v>
      </c>
      <c r="F6" t="inlineStr">
        <is>
          <t>VÄSTRA GÖTALANDS LÄN</t>
        </is>
      </c>
      <c r="G6" t="inlineStr">
        <is>
          <t>UDDEVALLA</t>
        </is>
      </c>
      <c r="I6" t="n">
        <v>2.9</v>
      </c>
      <c r="J6" t="n">
        <v>3</v>
      </c>
      <c r="K6" t="n">
        <v>0</v>
      </c>
      <c r="L6" t="n">
        <v>1</v>
      </c>
      <c r="M6" t="n">
        <v>1</v>
      </c>
      <c r="N6" t="n">
        <v>2</v>
      </c>
      <c r="O6" t="n">
        <v>0</v>
      </c>
      <c r="P6" t="n">
        <v>0</v>
      </c>
      <c r="Q6" t="n">
        <v>4</v>
      </c>
      <c r="R6" t="n">
        <v>3</v>
      </c>
      <c r="S6" t="n">
        <v>6</v>
      </c>
      <c r="T6" t="n">
        <v>7</v>
      </c>
      <c r="U6" t="n">
        <v>6</v>
      </c>
      <c r="V6" s="2" t="inlineStr">
        <is>
          <t>Ask
Långskägg
Garnlav
Stjärntagging
Kungsfågel
Skogsduva</t>
        </is>
      </c>
      <c r="W6">
        <f>HYPERLINK("https://klasma.github.io/Logging_1485/artfynd/A 11824-2025 artfynd.xlsx", "A 11824-2025")</f>
        <v/>
      </c>
      <c r="X6">
        <f>HYPERLINK("https://klasma.github.io/Logging_1485/kartor/A 11824-2025 karta.png", "A 11824-2025")</f>
        <v/>
      </c>
      <c r="Y6">
        <f>HYPERLINK("https://klasma.github.io/Logging_1485/kartor_geotiff/A 11824-2025 georefererad karta.tif", "A 11824-2025")</f>
        <v/>
      </c>
      <c r="AA6">
        <f>HYPERLINK("https://klasma.github.io/Logging_1485/klagomål/A 11824-2025 FSC-klagomål.docx", "A 11824-2025")</f>
        <v/>
      </c>
      <c r="AB6">
        <f>HYPERLINK("https://klasma.github.io/Logging_1485/klagomålsmail/A 11824-2025 FSC-klagomål mail.docx", "A 11824-2025")</f>
        <v/>
      </c>
      <c r="AC6">
        <f>HYPERLINK("https://klasma.github.io/Logging_1485/tillsyn/A 11824-2025 tillsynsbegäran.docx", "A 11824-2025")</f>
        <v/>
      </c>
      <c r="AD6">
        <f>HYPERLINK("https://klasma.github.io/Logging_1485/tillsynsmail/A 11824-2025 tillsynsbegäran mail.docx", "A 11824-2025")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46265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46265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46265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46265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46265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14063-2025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46265</v>
      </c>
      <c r="F12" t="inlineStr">
        <is>
          <t>VÄSTRA GÖTALANDS LÄN</t>
        </is>
      </c>
      <c r="G12" t="inlineStr">
        <is>
          <t>UDDEVALLA</t>
        </is>
      </c>
      <c r="I12" t="n">
        <v>8.800000000000001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Granspira
Mattlummer
Lopplummer (aggregat)</t>
        </is>
      </c>
      <c r="W12">
        <f>HYPERLINK("https://klasma.github.io/Logging_1485/artfynd/A 14063-2025 artfynd.xlsx", "A 14063-2025")</f>
        <v/>
      </c>
      <c r="X12">
        <f>HYPERLINK("https://klasma.github.io/Logging_1485/kartor/A 14063-2025 karta.png", "A 14063-2025")</f>
        <v/>
      </c>
      <c r="Y12">
        <f>HYPERLINK("https://klasma.github.io/Logging_1485/kartor_geotiff/A 14063-2025 georefererad karta.tif", "A 14063-2025")</f>
        <v/>
      </c>
      <c r="AA12">
        <f>HYPERLINK("https://klasma.github.io/Logging_1485/klagomål/A 14063-2025 FSC-klagomål.docx", "A 14063-2025")</f>
        <v/>
      </c>
      <c r="AB12">
        <f>HYPERLINK("https://klasma.github.io/Logging_1485/klagomålsmail/A 14063-2025 FSC-klagomål mail.docx", "A 14063-2025")</f>
        <v/>
      </c>
      <c r="AC12">
        <f>HYPERLINK("https://klasma.github.io/Logging_1485/tillsyn/A 14063-2025 tillsynsbegäran.docx", "A 14063-2025")</f>
        <v/>
      </c>
      <c r="AD12">
        <f>HYPERLINK("https://klasma.github.io/Logging_1485/tillsynsmail/A 14063-2025 tillsynsbegäran mail.docx", "A 14063-2025")</f>
        <v/>
      </c>
    </row>
    <row r="13" ht="15" customHeight="1">
      <c r="A13" t="inlineStr">
        <is>
          <t>A 45582-2025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45922</v>
      </c>
      <c r="E13" s="1" t="n">
        <v>46265</v>
      </c>
      <c r="F13" t="inlineStr">
        <is>
          <t>VÄSTRA GÖTALANDS LÄN</t>
        </is>
      </c>
      <c r="G13" t="inlineStr">
        <is>
          <t>UDDEVALLA</t>
        </is>
      </c>
      <c r="I13" t="n">
        <v>1.4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Ryl
Mandelriska
Mattlummer</t>
        </is>
      </c>
      <c r="W13">
        <f>HYPERLINK("https://klasma.github.io/Logging_1485/artfynd/A 45582-2025 artfynd.xlsx", "A 45582-2025")</f>
        <v/>
      </c>
      <c r="X13">
        <f>HYPERLINK("https://klasma.github.io/Logging_1485/kartor/A 45582-2025 karta.png", "A 45582-2025")</f>
        <v/>
      </c>
      <c r="Y13">
        <f>HYPERLINK("https://klasma.github.io/Logging_1485/kartor_geotiff/A 45582-2025 georefererad karta.tif", "A 45582-2025")</f>
        <v/>
      </c>
      <c r="AA13">
        <f>HYPERLINK("https://klasma.github.io/Logging_1485/klagomål/A 45582-2025 FSC-klagomål.docx", "A 45582-2025")</f>
        <v/>
      </c>
      <c r="AB13">
        <f>HYPERLINK("https://klasma.github.io/Logging_1485/klagomålsmail/A 45582-2025 FSC-klagomål mail.docx", "A 45582-2025")</f>
        <v/>
      </c>
      <c r="AC13">
        <f>HYPERLINK("https://klasma.github.io/Logging_1485/tillsyn/A 45582-2025 tillsynsbegäran.docx", "A 45582-2025")</f>
        <v/>
      </c>
      <c r="AD13">
        <f>HYPERLINK("https://klasma.github.io/Logging_1485/tillsynsmail/A 45582-2025 tillsynsbegäran mail.docx", "A 45582-2025")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46265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46265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59552-2025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45990</v>
      </c>
      <c r="E16" s="1" t="n">
        <v>46265</v>
      </c>
      <c r="F16" t="inlineStr">
        <is>
          <t>VÄSTRA GÖTALANDS LÄN</t>
        </is>
      </c>
      <c r="G16" t="inlineStr">
        <is>
          <t>UDDEVALLA</t>
        </is>
      </c>
      <c r="I16" t="n">
        <v>5.1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Kattfotslav
Stor revmossa
Revlummer</t>
        </is>
      </c>
      <c r="W16">
        <f>HYPERLINK("https://klasma.github.io/Logging_1485/artfynd/A 59552-2025 artfynd.xlsx", "A 59552-2025")</f>
        <v/>
      </c>
      <c r="X16">
        <f>HYPERLINK("https://klasma.github.io/Logging_1485/kartor/A 59552-2025 karta.png", "A 59552-2025")</f>
        <v/>
      </c>
      <c r="Y16">
        <f>HYPERLINK("https://klasma.github.io/Logging_1485/kartor_geotiff/A 59552-2025 georefererad karta.tif", "A 59552-2025")</f>
        <v/>
      </c>
      <c r="AA16">
        <f>HYPERLINK("https://klasma.github.io/Logging_1485/klagomål/A 59552-2025 FSC-klagomål.docx", "A 59552-2025")</f>
        <v/>
      </c>
      <c r="AB16">
        <f>HYPERLINK("https://klasma.github.io/Logging_1485/klagomålsmail/A 59552-2025 FSC-klagomål mail.docx", "A 59552-2025")</f>
        <v/>
      </c>
      <c r="AC16">
        <f>HYPERLINK("https://klasma.github.io/Logging_1485/tillsyn/A 59552-2025 tillsynsbegäran.docx", "A 59552-2025")</f>
        <v/>
      </c>
      <c r="AD16">
        <f>HYPERLINK("https://klasma.github.io/Logging_1485/tillsynsmail/A 59552-2025 tillsynsbegäran mail.docx", "A 59552-2025")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46265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46265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45653</v>
      </c>
      <c r="E19" s="1" t="n">
        <v>46265</v>
      </c>
      <c r="F19" t="inlineStr">
        <is>
          <t>VÄSTRA GÖTALANDS LÄN</t>
        </is>
      </c>
      <c r="G19" t="inlineStr">
        <is>
          <t>UDDEVALLA</t>
        </is>
      </c>
      <c r="I19" t="n">
        <v>3.4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Brunpudrad nållav
Blåmossa</t>
        </is>
      </c>
      <c r="W19">
        <f>HYPERLINK("https://klasma.github.io/Logging_1485/artfynd/A 266-2025 artfynd.xlsx", "A 266-2025")</f>
        <v/>
      </c>
      <c r="X19">
        <f>HYPERLINK("https://klasma.github.io/Logging_1485/kartor/A 266-2025 karta.png", "A 266-2025")</f>
        <v/>
      </c>
      <c r="Y19">
        <f>HYPERLINK("https://klasma.github.io/Logging_1485/kartor_geotiff/A 266-2025 georefererad karta.tif", "A 266-2025")</f>
        <v/>
      </c>
      <c r="AA19">
        <f>HYPERLINK("https://klasma.github.io/Logging_1485/klagomål/A 266-2025 FSC-klagomål.docx", "A 266-2025")</f>
        <v/>
      </c>
      <c r="AB19">
        <f>HYPERLINK("https://klasma.github.io/Logging_1485/klagomålsmail/A 266-2025 FSC-klagomål mail.docx", "A 266-2025")</f>
        <v/>
      </c>
      <c r="AC19">
        <f>HYPERLINK("https://klasma.github.io/Logging_1485/tillsyn/A 266-2025 tillsynsbegäran.docx", "A 266-2025")</f>
        <v/>
      </c>
      <c r="AD19">
        <f>HYPERLINK("https://klasma.github.io/Logging_1485/tillsynsmail/A 266-2025 tillsynsbegäran mail.docx", "A 266-2025")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46265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8666-2024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45352</v>
      </c>
      <c r="E21" s="1" t="n">
        <v>46265</v>
      </c>
      <c r="F21" t="inlineStr">
        <is>
          <t>VÄSTRA GÖTALANDS LÄN</t>
        </is>
      </c>
      <c r="G21" t="inlineStr">
        <is>
          <t>UDDEVALLA</t>
        </is>
      </c>
      <c r="I21" t="n">
        <v>4.6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Västlig hakmossa
Spillkråka</t>
        </is>
      </c>
      <c r="W21">
        <f>HYPERLINK("https://klasma.github.io/Logging_1485/artfynd/A 8666-2024 artfynd.xlsx", "A 8666-2024")</f>
        <v/>
      </c>
      <c r="X21">
        <f>HYPERLINK("https://klasma.github.io/Logging_1485/kartor/A 8666-2024 karta.png", "A 8666-2024")</f>
        <v/>
      </c>
      <c r="Y21">
        <f>HYPERLINK("https://klasma.github.io/Logging_1485/kartor_geotiff/A 8666-2024 georefererad karta.tif", "A 8666-2024")</f>
        <v/>
      </c>
      <c r="AA21">
        <f>HYPERLINK("https://klasma.github.io/Logging_1485/klagomål/A 8666-2024 FSC-klagomål.docx", "A 8666-2024")</f>
        <v/>
      </c>
      <c r="AB21">
        <f>HYPERLINK("https://klasma.github.io/Logging_1485/klagomålsmail/A 8666-2024 FSC-klagomål mail.docx", "A 8666-2024")</f>
        <v/>
      </c>
      <c r="AC21">
        <f>HYPERLINK("https://klasma.github.io/Logging_1485/tillsyn/A 8666-2024 tillsynsbegäran.docx", "A 8666-2024")</f>
        <v/>
      </c>
      <c r="AD21">
        <f>HYPERLINK("https://klasma.github.io/Logging_1485/tillsynsmail/A 8666-2024 tillsynsbegäran mail.docx", "A 8666-2024")</f>
        <v/>
      </c>
      <c r="AE21">
        <f>HYPERLINK("https://klasma.github.io/Logging_1485/fåglar/A 8666-2024 prioriterade fågelarter.docx", "A 8666-2024")</f>
        <v/>
      </c>
    </row>
    <row r="22" ht="15" customHeight="1">
      <c r="A22" t="inlineStr">
        <is>
          <t>A 41292-2022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44825</v>
      </c>
      <c r="E22" s="1" t="n">
        <v>46265</v>
      </c>
      <c r="F22" t="inlineStr">
        <is>
          <t>VÄSTRA GÖTALANDS LÄN</t>
        </is>
      </c>
      <c r="G22" t="inlineStr">
        <is>
          <t>UDDEVALLA</t>
        </is>
      </c>
      <c r="H22" t="inlineStr">
        <is>
          <t>Kyrkan</t>
        </is>
      </c>
      <c r="I22" t="n">
        <v>9.699999999999999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Entita</t>
        </is>
      </c>
      <c r="W22">
        <f>HYPERLINK("https://klasma.github.io/Logging_1485/artfynd/A 41292-2022 artfynd.xlsx", "A 41292-2022")</f>
        <v/>
      </c>
      <c r="X22">
        <f>HYPERLINK("https://klasma.github.io/Logging_1485/kartor/A 41292-2022 karta.png", "A 41292-2022")</f>
        <v/>
      </c>
      <c r="Y22">
        <f>HYPERLINK("https://klasma.github.io/Logging_1485/kartor_geotiff/A 41292-2022 georefererad karta.tif", "A 41292-2022")</f>
        <v/>
      </c>
      <c r="AA22">
        <f>HYPERLINK("https://klasma.github.io/Logging_1485/klagomål/A 41292-2022 FSC-klagomål.docx", "A 41292-2022")</f>
        <v/>
      </c>
      <c r="AB22">
        <f>HYPERLINK("https://klasma.github.io/Logging_1485/klagomålsmail/A 41292-2022 FSC-klagomål mail.docx", "A 41292-2022")</f>
        <v/>
      </c>
      <c r="AC22">
        <f>HYPERLINK("https://klasma.github.io/Logging_1485/tillsyn/A 41292-2022 tillsynsbegäran.docx", "A 41292-2022")</f>
        <v/>
      </c>
      <c r="AD22">
        <f>HYPERLINK("https://klasma.github.io/Logging_1485/tillsynsmail/A 41292-2022 tillsynsbegäran mail.docx", "A 41292-2022")</f>
        <v/>
      </c>
      <c r="AE22">
        <f>HYPERLINK("https://klasma.github.io/Logging_1485/fåglar/A 41292-2022 prioriterade fågelarter.docx", "A 41292-2022")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46265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46265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16882-2026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46113</v>
      </c>
      <c r="E25" s="1" t="n">
        <v>46265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Iller
Svinrot</t>
        </is>
      </c>
      <c r="W25">
        <f>HYPERLINK("https://klasma.github.io/Logging_1485/artfynd/A 16882-2026 artfynd.xlsx", "A 16882-2026")</f>
        <v/>
      </c>
      <c r="X25">
        <f>HYPERLINK("https://klasma.github.io/Logging_1485/kartor/A 16882-2026 karta.png", "A 16882-2026")</f>
        <v/>
      </c>
      <c r="Y25">
        <f>HYPERLINK("https://klasma.github.io/Logging_1485/kartor_geotiff/A 16882-2026 georefererad karta.tif", "A 16882-2026")</f>
        <v/>
      </c>
      <c r="AA25">
        <f>HYPERLINK("https://klasma.github.io/Logging_1485/klagomål/A 16882-2026 FSC-klagomål.docx", "A 16882-2026")</f>
        <v/>
      </c>
      <c r="AB25">
        <f>HYPERLINK("https://klasma.github.io/Logging_1485/klagomålsmail/A 16882-2026 FSC-klagomål mail.docx", "A 16882-2026")</f>
        <v/>
      </c>
      <c r="AC25">
        <f>HYPERLINK("https://klasma.github.io/Logging_1485/tillsyn/A 16882-2026 tillsynsbegäran.docx", "A 16882-2026")</f>
        <v/>
      </c>
      <c r="AD25">
        <f>HYPERLINK("https://klasma.github.io/Logging_1485/tillsynsmail/A 16882-2026 tillsynsbegäran mail.docx", "A 16882-2026")</f>
        <v/>
      </c>
    </row>
    <row r="26" ht="15" customHeight="1">
      <c r="A26" t="inlineStr">
        <is>
          <t>A 17995-2026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46124</v>
      </c>
      <c r="E26" s="1" t="n">
        <v>46265</v>
      </c>
      <c r="F26" t="inlineStr">
        <is>
          <t>VÄSTRA GÖTALANDS LÄN</t>
        </is>
      </c>
      <c r="G26" t="inlineStr">
        <is>
          <t>UDDEVALLA</t>
        </is>
      </c>
      <c r="I26" t="n">
        <v>3.8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Spillkråka
Revlummer</t>
        </is>
      </c>
      <c r="W26">
        <f>HYPERLINK("https://klasma.github.io/Logging_1485/artfynd/A 17995-2026 artfynd.xlsx", "A 17995-2026")</f>
        <v/>
      </c>
      <c r="X26">
        <f>HYPERLINK("https://klasma.github.io/Logging_1485/kartor/A 17995-2026 karta.png", "A 17995-2026")</f>
        <v/>
      </c>
      <c r="Y26">
        <f>HYPERLINK("https://klasma.github.io/Logging_1485/kartor_geotiff/A 17995-2026 georefererad karta.tif", "A 17995-2026")</f>
        <v/>
      </c>
      <c r="AA26">
        <f>HYPERLINK("https://klasma.github.io/Logging_1485/klagomål/A 17995-2026 FSC-klagomål.docx", "A 17995-2026")</f>
        <v/>
      </c>
      <c r="AB26">
        <f>HYPERLINK("https://klasma.github.io/Logging_1485/klagomålsmail/A 17995-2026 FSC-klagomål mail.docx", "A 17995-2026")</f>
        <v/>
      </c>
      <c r="AC26">
        <f>HYPERLINK("https://klasma.github.io/Logging_1485/tillsyn/A 17995-2026 tillsynsbegäran.docx", "A 17995-2026")</f>
        <v/>
      </c>
      <c r="AD26">
        <f>HYPERLINK("https://klasma.github.io/Logging_1485/tillsynsmail/A 17995-2026 tillsynsbegäran mail.docx", "A 17995-2026")</f>
        <v/>
      </c>
      <c r="AE26">
        <f>HYPERLINK("https://klasma.github.io/Logging_1485/fåglar/A 17995-2026 prioriterade fågelarter.docx", "A 17995-2026")</f>
        <v/>
      </c>
    </row>
    <row r="27" ht="15" customHeight="1">
      <c r="A27" t="inlineStr">
        <is>
          <t>A 3432-2024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45317</v>
      </c>
      <c r="E27" s="1" t="n">
        <v>46265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3.1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Klippfrullania
Västlig hakmossa</t>
        </is>
      </c>
      <c r="W27">
        <f>HYPERLINK("https://klasma.github.io/Logging_1485/artfynd/A 3432-2024 artfynd.xlsx", "A 3432-2024")</f>
        <v/>
      </c>
      <c r="X27">
        <f>HYPERLINK("https://klasma.github.io/Logging_1485/kartor/A 3432-2024 karta.png", "A 3432-2024")</f>
        <v/>
      </c>
      <c r="Y27">
        <f>HYPERLINK("https://klasma.github.io/Logging_1485/kartor_geotiff/A 3432-2024 georefererad karta.tif", "A 3432-2024")</f>
        <v/>
      </c>
      <c r="AA27">
        <f>HYPERLINK("https://klasma.github.io/Logging_1485/klagomål/A 3432-2024 FSC-klagomål.docx", "A 3432-2024")</f>
        <v/>
      </c>
      <c r="AB27">
        <f>HYPERLINK("https://klasma.github.io/Logging_1485/klagomålsmail/A 3432-2024 FSC-klagomål mail.docx", "A 3432-2024")</f>
        <v/>
      </c>
      <c r="AC27">
        <f>HYPERLINK("https://klasma.github.io/Logging_1485/tillsyn/A 3432-2024 tillsynsbegäran.docx", "A 3432-2024")</f>
        <v/>
      </c>
      <c r="AD27">
        <f>HYPERLINK("https://klasma.github.io/Logging_1485/tillsynsmail/A 3432-2024 tillsynsbegäran mail.docx", "A 3432-2024")</f>
        <v/>
      </c>
    </row>
    <row r="28" ht="15" customHeight="1">
      <c r="A28" t="inlineStr">
        <is>
          <t>A 32528-2024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46265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32528-2024 artfynd.xlsx", "A 32528-2024")</f>
        <v/>
      </c>
      <c r="X28">
        <f>HYPERLINK("https://klasma.github.io/Logging_1485/kartor/A 32528-2024 karta.png", "A 32528-2024")</f>
        <v/>
      </c>
      <c r="Y28">
        <f>HYPERLINK("https://klasma.github.io/Logging_1485/kartor_geotiff/A 32528-2024 georefererad karta.tif", "A 32528-2024")</f>
        <v/>
      </c>
      <c r="AA28">
        <f>HYPERLINK("https://klasma.github.io/Logging_1485/klagomål/A 32528-2024 FSC-klagomål.docx", "A 32528-2024")</f>
        <v/>
      </c>
      <c r="AB28">
        <f>HYPERLINK("https://klasma.github.io/Logging_1485/klagomålsmail/A 32528-2024 FSC-klagomål mail.docx", "A 32528-2024")</f>
        <v/>
      </c>
      <c r="AC28">
        <f>HYPERLINK("https://klasma.github.io/Logging_1485/tillsyn/A 32528-2024 tillsynsbegäran.docx", "A 32528-2024")</f>
        <v/>
      </c>
      <c r="AD28">
        <f>HYPERLINK("https://klasma.github.io/Logging_1485/tillsynsmail/A 32528-2024 tillsynsbegäran mail.docx", "A 32528-2024")</f>
        <v/>
      </c>
    </row>
    <row r="29" ht="15" customHeight="1">
      <c r="A29" t="inlineStr">
        <is>
          <t>A 65109-2023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45288</v>
      </c>
      <c r="E29" s="1" t="n">
        <v>46265</v>
      </c>
      <c r="F29" t="inlineStr">
        <is>
          <t>VÄSTRA GÖTALANDS LÄN</t>
        </is>
      </c>
      <c r="G29" t="inlineStr">
        <is>
          <t>UDDEVALLA</t>
        </is>
      </c>
      <c r="I29" t="n">
        <v>1.8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Åttafläckig praktbagge</t>
        </is>
      </c>
      <c r="W29">
        <f>HYPERLINK("https://klasma.github.io/Logging_1485/artfynd/A 65109-2023 artfynd.xlsx", "A 65109-2023")</f>
        <v/>
      </c>
      <c r="X29">
        <f>HYPERLINK("https://klasma.github.io/Logging_1485/kartor/A 65109-2023 karta.png", "A 65109-2023")</f>
        <v/>
      </c>
      <c r="Y29">
        <f>HYPERLINK("https://klasma.github.io/Logging_1485/kartor_geotiff/A 65109-2023 georefererad karta.tif", "A 65109-2023")</f>
        <v/>
      </c>
      <c r="AA29">
        <f>HYPERLINK("https://klasma.github.io/Logging_1485/klagomål/A 65109-2023 FSC-klagomål.docx", "A 65109-2023")</f>
        <v/>
      </c>
      <c r="AB29">
        <f>HYPERLINK("https://klasma.github.io/Logging_1485/klagomålsmail/A 65109-2023 FSC-klagomål mail.docx", "A 65109-2023")</f>
        <v/>
      </c>
      <c r="AC29">
        <f>HYPERLINK("https://klasma.github.io/Logging_1485/tillsyn/A 65109-2023 tillsynsbegäran.docx", "A 65109-2023")</f>
        <v/>
      </c>
      <c r="AD29">
        <f>HYPERLINK("https://klasma.github.io/Logging_1485/tillsynsmail/A 65109-2023 tillsynsbegäran mail.docx", "A 65109-2023")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46265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46265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54440-2021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44472</v>
      </c>
      <c r="E32" s="1" t="n">
        <v>46265</v>
      </c>
      <c r="F32" t="inlineStr">
        <is>
          <t>VÄSTRA GÖTALANDS LÄN</t>
        </is>
      </c>
      <c r="G32" t="inlineStr">
        <is>
          <t>UDDEVALLA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Strutbräken</t>
        </is>
      </c>
      <c r="W32">
        <f>HYPERLINK("https://klasma.github.io/Logging_1485/artfynd/A 54440-2021 artfynd.xlsx", "A 54440-2021")</f>
        <v/>
      </c>
      <c r="X32">
        <f>HYPERLINK("https://klasma.github.io/Logging_1485/kartor/A 54440-2021 karta.png", "A 54440-2021")</f>
        <v/>
      </c>
      <c r="Y32">
        <f>HYPERLINK("https://klasma.github.io/Logging_1485/kartor_geotiff/A 54440-2021 georefererad karta.tif", "A 54440-2021")</f>
        <v/>
      </c>
      <c r="AA32">
        <f>HYPERLINK("https://klasma.github.io/Logging_1485/klagomål/A 54440-2021 FSC-klagomål.docx", "A 54440-2021")</f>
        <v/>
      </c>
      <c r="AB32">
        <f>HYPERLINK("https://klasma.github.io/Logging_1485/klagomålsmail/A 54440-2021 FSC-klagomål mail.docx", "A 54440-2021")</f>
        <v/>
      </c>
      <c r="AC32">
        <f>HYPERLINK("https://klasma.github.io/Logging_1485/tillsyn/A 54440-2021 tillsynsbegäran.docx", "A 54440-2021")</f>
        <v/>
      </c>
      <c r="AD32">
        <f>HYPERLINK("https://klasma.github.io/Logging_1485/tillsynsmail/A 54440-2021 tillsynsbegäran mail.docx", "A 54440-2021")</f>
        <v/>
      </c>
    </row>
    <row r="33" ht="15" customHeight="1">
      <c r="A33" t="inlineStr">
        <is>
          <t>A 25806-2022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44733</v>
      </c>
      <c r="E33" s="1" t="n">
        <v>46265</v>
      </c>
      <c r="F33" t="inlineStr">
        <is>
          <t>VÄSTRA GÖTALANDS LÄN</t>
        </is>
      </c>
      <c r="G33" t="inlineStr">
        <is>
          <t>UDDEVALLA</t>
        </is>
      </c>
      <c r="I33" t="n">
        <v>31.2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HYPERLINK("https://klasma.github.io/Logging_1485/artfynd/A 25806-2022 artfynd.xlsx", "A 25806-2022")</f>
        <v/>
      </c>
      <c r="X33">
        <f>HYPERLINK("https://klasma.github.io/Logging_1485/kartor/A 25806-2022 karta.png", "A 25806-2022")</f>
        <v/>
      </c>
      <c r="Y33">
        <f>HYPERLINK("https://klasma.github.io/Logging_1485/kartor_geotiff/A 25806-2022 georefererad karta.tif", "A 25806-2022")</f>
        <v/>
      </c>
      <c r="AA33">
        <f>HYPERLINK("https://klasma.github.io/Logging_1485/klagomål/A 25806-2022 FSC-klagomål.docx", "A 25806-2022")</f>
        <v/>
      </c>
      <c r="AB33">
        <f>HYPERLINK("https://klasma.github.io/Logging_1485/klagomålsmail/A 25806-2022 FSC-klagomål mail.docx", "A 25806-2022")</f>
        <v/>
      </c>
      <c r="AC33">
        <f>HYPERLINK("https://klasma.github.io/Logging_1485/tillsyn/A 25806-2022 tillsynsbegäran.docx", "A 25806-2022")</f>
        <v/>
      </c>
      <c r="AD33">
        <f>HYPERLINK("https://klasma.github.io/Logging_1485/tillsynsmail/A 25806-2022 tillsynsbegäran mail.docx", "A 25806-2022")</f>
        <v/>
      </c>
      <c r="AE33">
        <f>HYPERLINK("https://klasma.github.io/Logging_1485/fåglar/A 25806-2022 prioriterade fågelarter.docx", "A 25806-2022")</f>
        <v/>
      </c>
    </row>
    <row r="34" ht="15" customHeight="1">
      <c r="A34" t="inlineStr">
        <is>
          <t>A 51869-2021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46265</v>
      </c>
      <c r="F34" t="inlineStr">
        <is>
          <t>VÄSTRA GÖTALANDS LÄN</t>
        </is>
      </c>
      <c r="G34" t="inlineStr">
        <is>
          <t>UDDEVALLA</t>
        </is>
      </c>
      <c r="I34" t="n">
        <v>3.2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Gullklöver</t>
        </is>
      </c>
      <c r="W34">
        <f>HYPERLINK("https://klasma.github.io/Logging_1485/artfynd/A 51869-2021 artfynd.xlsx", "A 51869-2021")</f>
        <v/>
      </c>
      <c r="X34">
        <f>HYPERLINK("https://klasma.github.io/Logging_1485/kartor/A 51869-2021 karta.png", "A 51869-2021")</f>
        <v/>
      </c>
      <c r="Y34">
        <f>HYPERLINK("https://klasma.github.io/Logging_1485/kartor_geotiff/A 51869-2021 georefererad karta.tif", "A 51869-2021")</f>
        <v/>
      </c>
      <c r="AA34">
        <f>HYPERLINK("https://klasma.github.io/Logging_1485/klagomål/A 51869-2021 FSC-klagomål.docx", "A 51869-2021")</f>
        <v/>
      </c>
      <c r="AB34">
        <f>HYPERLINK("https://klasma.github.io/Logging_1485/klagomålsmail/A 51869-2021 FSC-klagomål mail.docx", "A 51869-2021")</f>
        <v/>
      </c>
      <c r="AC34">
        <f>HYPERLINK("https://klasma.github.io/Logging_1485/tillsyn/A 51869-2021 tillsynsbegäran.docx", "A 51869-2021")</f>
        <v/>
      </c>
      <c r="AD34">
        <f>HYPERLINK("https://klasma.github.io/Logging_1485/tillsynsmail/A 51869-2021 tillsynsbegäran mail.docx", "A 51869-2021")</f>
        <v/>
      </c>
    </row>
    <row r="35" ht="15" customHeight="1">
      <c r="A35" t="inlineStr">
        <is>
          <t>A 23322-2025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46265</v>
      </c>
      <c r="F35" t="inlineStr">
        <is>
          <t>VÄSTRA GÖTALANDS LÄN</t>
        </is>
      </c>
      <c r="G35" t="inlineStr">
        <is>
          <t>UDDEVALLA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Kungsörn</t>
        </is>
      </c>
      <c r="W35">
        <f>HYPERLINK("https://klasma.github.io/Logging_1485/artfynd/A 23322-2025 artfynd.xlsx", "A 23322-2025")</f>
        <v/>
      </c>
      <c r="X35">
        <f>HYPERLINK("https://klasma.github.io/Logging_1485/kartor/A 23322-2025 karta.png", "A 23322-2025")</f>
        <v/>
      </c>
      <c r="Y35">
        <f>HYPERLINK("https://klasma.github.io/Logging_1485/kartor_geotiff/A 23322-2025 georefererad karta.tif", "A 23322-2025")</f>
        <v/>
      </c>
      <c r="AA35">
        <f>HYPERLINK("https://klasma.github.io/Logging_1485/klagomål/A 23322-2025 FSC-klagomål.docx", "A 23322-2025")</f>
        <v/>
      </c>
      <c r="AB35">
        <f>HYPERLINK("https://klasma.github.io/Logging_1485/klagomålsmail/A 23322-2025 FSC-klagomål mail.docx", "A 23322-2025")</f>
        <v/>
      </c>
      <c r="AC35">
        <f>HYPERLINK("https://klasma.github.io/Logging_1485/tillsyn/A 23322-2025 tillsynsbegäran.docx", "A 23322-2025")</f>
        <v/>
      </c>
      <c r="AD35">
        <f>HYPERLINK("https://klasma.github.io/Logging_1485/tillsynsmail/A 23322-2025 tillsynsbegäran mail.docx", "A 23322-2025")</f>
        <v/>
      </c>
      <c r="AE35">
        <f>HYPERLINK("https://klasma.github.io/Logging_1485/fåglar/A 23322-2025 prioriterade fågelarter.docx", "A 23322-2025")</f>
        <v/>
      </c>
    </row>
    <row r="36" ht="15" customHeight="1">
      <c r="A36" t="inlineStr">
        <is>
          <t>A 34058-2023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45135</v>
      </c>
      <c r="E36" s="1" t="n">
        <v>46265</v>
      </c>
      <c r="F36" t="inlineStr">
        <is>
          <t>VÄSTRA GÖTALANDS LÄN</t>
        </is>
      </c>
      <c r="G36" t="inlineStr">
        <is>
          <t>UDDEVALLA</t>
        </is>
      </c>
      <c r="I36" t="n">
        <v>1.3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Lundvaxskivling</t>
        </is>
      </c>
      <c r="W36">
        <f>HYPERLINK("https://klasma.github.io/Logging_1485/artfynd/A 34058-2023 artfynd.xlsx", "A 34058-2023")</f>
        <v/>
      </c>
      <c r="X36">
        <f>HYPERLINK("https://klasma.github.io/Logging_1485/kartor/A 34058-2023 karta.png", "A 34058-2023")</f>
        <v/>
      </c>
      <c r="Y36">
        <f>HYPERLINK("https://klasma.github.io/Logging_1485/kartor_geotiff/A 34058-2023 georefererad karta.tif", "A 34058-2023")</f>
        <v/>
      </c>
      <c r="AA36">
        <f>HYPERLINK("https://klasma.github.io/Logging_1485/klagomål/A 34058-2023 FSC-klagomål.docx", "A 34058-2023")</f>
        <v/>
      </c>
      <c r="AB36">
        <f>HYPERLINK("https://klasma.github.io/Logging_1485/klagomålsmail/A 34058-2023 FSC-klagomål mail.docx", "A 34058-2023")</f>
        <v/>
      </c>
      <c r="AC36">
        <f>HYPERLINK("https://klasma.github.io/Logging_1485/tillsyn/A 34058-2023 tillsynsbegäran.docx", "A 34058-2023")</f>
        <v/>
      </c>
      <c r="AD36">
        <f>HYPERLINK("https://klasma.github.io/Logging_1485/tillsynsmail/A 34058-2023 tillsynsbegäran mail.docx", "A 34058-2023")</f>
        <v/>
      </c>
    </row>
    <row r="37" ht="15" customHeight="1">
      <c r="A37" t="inlineStr">
        <is>
          <t>A 495-2023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44930</v>
      </c>
      <c r="E37" s="1" t="n">
        <v>46265</v>
      </c>
      <c r="F37" t="inlineStr">
        <is>
          <t>VÄSTRA GÖTALANDS LÄN</t>
        </is>
      </c>
      <c r="G37" t="inlineStr">
        <is>
          <t>UDDEVALLA</t>
        </is>
      </c>
      <c r="H37" t="inlineStr">
        <is>
          <t>Kommuner</t>
        </is>
      </c>
      <c r="I37" t="n">
        <v>3.7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HYPERLINK("https://klasma.github.io/Logging_1485/artfynd/A 495-2023 artfynd.xlsx", "A 495-2023")</f>
        <v/>
      </c>
      <c r="X37">
        <f>HYPERLINK("https://klasma.github.io/Logging_1485/kartor/A 495-2023 karta.png", "A 495-2023")</f>
        <v/>
      </c>
      <c r="Y37">
        <f>HYPERLINK("https://klasma.github.io/Logging_1485/kartor_geotiff/A 495-2023 georefererad karta.tif", "A 495-2023")</f>
        <v/>
      </c>
      <c r="AA37">
        <f>HYPERLINK("https://klasma.github.io/Logging_1485/klagomål/A 495-2023 FSC-klagomål.docx", "A 495-2023")</f>
        <v/>
      </c>
      <c r="AB37">
        <f>HYPERLINK("https://klasma.github.io/Logging_1485/klagomålsmail/A 495-2023 FSC-klagomål mail.docx", "A 495-2023")</f>
        <v/>
      </c>
      <c r="AC37">
        <f>HYPERLINK("https://klasma.github.io/Logging_1485/tillsyn/A 495-2023 tillsynsbegäran.docx", "A 495-2023")</f>
        <v/>
      </c>
      <c r="AD37">
        <f>HYPERLINK("https://klasma.github.io/Logging_1485/tillsynsmail/A 495-2023 tillsynsbegäran mail.docx", "A 495-2023")</f>
        <v/>
      </c>
      <c r="AE37">
        <f>HYPERLINK("https://klasma.github.io/Logging_1485/fåglar/A 495-2023 prioriterade fågelarter.docx", "A 495-2023")</f>
        <v/>
      </c>
    </row>
    <row r="38" ht="15" customHeight="1">
      <c r="A38" t="inlineStr">
        <is>
          <t>A 30954-2025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46265</v>
      </c>
      <c r="F38" t="inlineStr">
        <is>
          <t>VÄSTRA GÖTALANDS LÄN</t>
        </is>
      </c>
      <c r="G38" t="inlineStr">
        <is>
          <t>UDDEVALLA</t>
        </is>
      </c>
      <c r="I38" t="n">
        <v>11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HYPERLINK("https://klasma.github.io/Logging_1485/artfynd/A 30954-2025 artfynd.xlsx", "A 30954-2025")</f>
        <v/>
      </c>
      <c r="X38">
        <f>HYPERLINK("https://klasma.github.io/Logging_1485/kartor/A 30954-2025 karta.png", "A 30954-2025")</f>
        <v/>
      </c>
      <c r="Y38">
        <f>HYPERLINK("https://klasma.github.io/Logging_1485/kartor_geotiff/A 30954-2025 georefererad karta.tif", "A 30954-2025")</f>
        <v/>
      </c>
      <c r="AA38">
        <f>HYPERLINK("https://klasma.github.io/Logging_1485/klagomål/A 30954-2025 FSC-klagomål.docx", "A 30954-2025")</f>
        <v/>
      </c>
      <c r="AB38">
        <f>HYPERLINK("https://klasma.github.io/Logging_1485/klagomålsmail/A 30954-2025 FSC-klagomål mail.docx", "A 30954-2025")</f>
        <v/>
      </c>
      <c r="AC38">
        <f>HYPERLINK("https://klasma.github.io/Logging_1485/tillsyn/A 30954-2025 tillsynsbegäran.docx", "A 30954-2025")</f>
        <v/>
      </c>
      <c r="AD38">
        <f>HYPERLINK("https://klasma.github.io/Logging_1485/tillsynsmail/A 30954-2025 tillsynsbegäran mail.docx", "A 30954-2025")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46265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29691-2023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46265</v>
      </c>
      <c r="F40" t="inlineStr">
        <is>
          <t>VÄSTRA GÖTALANDS LÄN</t>
        </is>
      </c>
      <c r="G40" t="inlineStr">
        <is>
          <t>UDDEVALLA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Kopparödla</t>
        </is>
      </c>
      <c r="W40">
        <f>HYPERLINK("https://klasma.github.io/Logging_1485/artfynd/A 29691-2023 artfynd.xlsx", "A 29691-2023")</f>
        <v/>
      </c>
      <c r="X40">
        <f>HYPERLINK("https://klasma.github.io/Logging_1485/kartor/A 29691-2023 karta.png", "A 29691-2023")</f>
        <v/>
      </c>
      <c r="Y40">
        <f>HYPERLINK("https://klasma.github.io/Logging_1485/kartor_geotiff/A 29691-2023 georefererad karta.tif", "A 29691-2023")</f>
        <v/>
      </c>
      <c r="AA40">
        <f>HYPERLINK("https://klasma.github.io/Logging_1485/klagomål/A 29691-2023 FSC-klagomål.docx", "A 29691-2023")</f>
        <v/>
      </c>
      <c r="AB40">
        <f>HYPERLINK("https://klasma.github.io/Logging_1485/klagomålsmail/A 29691-2023 FSC-klagomål mail.docx", "A 29691-2023")</f>
        <v/>
      </c>
      <c r="AC40">
        <f>HYPERLINK("https://klasma.github.io/Logging_1485/tillsyn/A 29691-2023 tillsynsbegäran.docx", "A 29691-2023")</f>
        <v/>
      </c>
      <c r="AD40">
        <f>HYPERLINK("https://klasma.github.io/Logging_1485/tillsynsmail/A 29691-2023 tillsynsbegäran mail.docx", "A 29691-2023")</f>
        <v/>
      </c>
    </row>
    <row r="41" ht="15" customHeight="1">
      <c r="A41" t="inlineStr">
        <is>
          <t>A 9424-2026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46265</v>
      </c>
      <c r="F41" t="inlineStr">
        <is>
          <t>VÄSTRA GÖTALANDS LÄN</t>
        </is>
      </c>
      <c r="G41" t="inlineStr">
        <is>
          <t>UDDEVALLA</t>
        </is>
      </c>
      <c r="I41" t="n">
        <v>4.3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Flotagräs</t>
        </is>
      </c>
      <c r="W41">
        <f>HYPERLINK("https://klasma.github.io/Logging_1485/artfynd/A 9424-2026 artfynd.xlsx", "A 9424-2026")</f>
        <v/>
      </c>
      <c r="X41">
        <f>HYPERLINK("https://klasma.github.io/Logging_1485/kartor/A 9424-2026 karta.png", "A 9424-2026")</f>
        <v/>
      </c>
      <c r="Y41">
        <f>HYPERLINK("https://klasma.github.io/Logging_1485/kartor_geotiff/A 9424-2026 georefererad karta.tif", "A 9424-2026")</f>
        <v/>
      </c>
      <c r="AA41">
        <f>HYPERLINK("https://klasma.github.io/Logging_1485/klagomål/A 9424-2026 FSC-klagomål.docx", "A 9424-2026")</f>
        <v/>
      </c>
      <c r="AB41">
        <f>HYPERLINK("https://klasma.github.io/Logging_1485/klagomålsmail/A 9424-2026 FSC-klagomål mail.docx", "A 9424-2026")</f>
        <v/>
      </c>
      <c r="AC41">
        <f>HYPERLINK("https://klasma.github.io/Logging_1485/tillsyn/A 9424-2026 tillsynsbegäran.docx", "A 9424-2026")</f>
        <v/>
      </c>
      <c r="AD41">
        <f>HYPERLINK("https://klasma.github.io/Logging_1485/tillsynsmail/A 9424-2026 tillsynsbegäran mail.docx", "A 9424-2026")</f>
        <v/>
      </c>
    </row>
    <row r="42" ht="15" customHeight="1">
      <c r="A42" t="inlineStr">
        <is>
          <t>A 7770-2024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46265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Kyrkan</t>
        </is>
      </c>
      <c r="I42" t="n">
        <v>6.2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HYPERLINK("https://klasma.github.io/Logging_1485/artfynd/A 7770-2024 artfynd.xlsx", "A 7770-2024")</f>
        <v/>
      </c>
      <c r="X42">
        <f>HYPERLINK("https://klasma.github.io/Logging_1485/kartor/A 7770-2024 karta.png", "A 7770-2024")</f>
        <v/>
      </c>
      <c r="Y42">
        <f>HYPERLINK("https://klasma.github.io/Logging_1485/kartor_geotiff/A 7770-2024 georefererad karta.tif", "A 7770-2024")</f>
        <v/>
      </c>
      <c r="AA42">
        <f>HYPERLINK("https://klasma.github.io/Logging_1485/klagomål/A 7770-2024 FSC-klagomål.docx", "A 7770-2024")</f>
        <v/>
      </c>
      <c r="AB42">
        <f>HYPERLINK("https://klasma.github.io/Logging_1485/klagomålsmail/A 7770-2024 FSC-klagomål mail.docx", "A 7770-2024")</f>
        <v/>
      </c>
      <c r="AC42">
        <f>HYPERLINK("https://klasma.github.io/Logging_1485/tillsyn/A 7770-2024 tillsynsbegäran.docx", "A 7770-2024")</f>
        <v/>
      </c>
      <c r="AD42">
        <f>HYPERLINK("https://klasma.github.io/Logging_1485/tillsynsmail/A 7770-2024 tillsynsbegäran mail.docx", "A 7770-2024")</f>
        <v/>
      </c>
    </row>
    <row r="43" ht="15" customHeight="1">
      <c r="A43" t="inlineStr">
        <is>
          <t>A 22603-2023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46265</v>
      </c>
      <c r="F43" t="inlineStr">
        <is>
          <t>VÄSTRA GÖTALANDS LÄN</t>
        </is>
      </c>
      <c r="G43" t="inlineStr">
        <is>
          <t>UDDEVALLA</t>
        </is>
      </c>
      <c r="I43" t="n">
        <v>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HYPERLINK("https://klasma.github.io/Logging_1485/artfynd/A 22603-2023 artfynd.xlsx", "A 22603-2023")</f>
        <v/>
      </c>
      <c r="X43">
        <f>HYPERLINK("https://klasma.github.io/Logging_1485/kartor/A 22603-2023 karta.png", "A 22603-2023")</f>
        <v/>
      </c>
      <c r="Y43">
        <f>HYPERLINK("https://klasma.github.io/Logging_1485/kartor_geotiff/A 22603-2023 georefererad karta.tif", "A 22603-2023")</f>
        <v/>
      </c>
      <c r="AA43">
        <f>HYPERLINK("https://klasma.github.io/Logging_1485/klagomål/A 22603-2023 FSC-klagomål.docx", "A 22603-2023")</f>
        <v/>
      </c>
      <c r="AB43">
        <f>HYPERLINK("https://klasma.github.io/Logging_1485/klagomålsmail/A 22603-2023 FSC-klagomål mail.docx", "A 22603-2023")</f>
        <v/>
      </c>
      <c r="AC43">
        <f>HYPERLINK("https://klasma.github.io/Logging_1485/tillsyn/A 22603-2023 tillsynsbegäran.docx", "A 22603-2023")</f>
        <v/>
      </c>
      <c r="AD43">
        <f>HYPERLINK("https://klasma.github.io/Logging_1485/tillsynsmail/A 22603-2023 tillsynsbegäran mail.docx", "A 22603-2023")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46265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55288-2023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45237</v>
      </c>
      <c r="E45" s="1" t="n">
        <v>46265</v>
      </c>
      <c r="F45" t="inlineStr">
        <is>
          <t>VÄSTRA GÖTALANDS LÄN</t>
        </is>
      </c>
      <c r="G45" t="inlineStr">
        <is>
          <t>UDDEVALLA</t>
        </is>
      </c>
      <c r="I45" t="n">
        <v>5.2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Revlummer</t>
        </is>
      </c>
      <c r="W45">
        <f>HYPERLINK("https://klasma.github.io/Logging_1485/artfynd/A 55288-2023 artfynd.xlsx", "A 55288-2023")</f>
        <v/>
      </c>
      <c r="X45">
        <f>HYPERLINK("https://klasma.github.io/Logging_1485/kartor/A 55288-2023 karta.png", "A 55288-2023")</f>
        <v/>
      </c>
      <c r="Y45">
        <f>HYPERLINK("https://klasma.github.io/Logging_1485/kartor_geotiff/A 55288-2023 georefererad karta.tif", "A 55288-2023")</f>
        <v/>
      </c>
      <c r="AA45">
        <f>HYPERLINK("https://klasma.github.io/Logging_1485/klagomål/A 55288-2023 FSC-klagomål.docx", "A 55288-2023")</f>
        <v/>
      </c>
      <c r="AB45">
        <f>HYPERLINK("https://klasma.github.io/Logging_1485/klagomålsmail/A 55288-2023 FSC-klagomål mail.docx", "A 55288-2023")</f>
        <v/>
      </c>
      <c r="AC45">
        <f>HYPERLINK("https://klasma.github.io/Logging_1485/tillsyn/A 55288-2023 tillsynsbegäran.docx", "A 55288-2023")</f>
        <v/>
      </c>
      <c r="AD45">
        <f>HYPERLINK("https://klasma.github.io/Logging_1485/tillsynsmail/A 55288-2023 tillsynsbegäran mail.docx", "A 55288-2023")</f>
        <v/>
      </c>
    </row>
    <row r="46" ht="15" customHeight="1">
      <c r="A46" t="inlineStr">
        <is>
          <t>A 50274-2024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46265</v>
      </c>
      <c r="F46" t="inlineStr">
        <is>
          <t>VÄSTRA GÖTALANDS LÄN</t>
        </is>
      </c>
      <c r="G46" t="inlineStr">
        <is>
          <t>UDDEVALLA</t>
        </is>
      </c>
      <c r="I46" t="n">
        <v>20.1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Grönsångare</t>
        </is>
      </c>
      <c r="W46">
        <f>HYPERLINK("https://klasma.github.io/Logging_1485/artfynd/A 50274-2024 artfynd.xlsx", "A 50274-2024")</f>
        <v/>
      </c>
      <c r="X46">
        <f>HYPERLINK("https://klasma.github.io/Logging_1485/kartor/A 50274-2024 karta.png", "A 50274-2024")</f>
        <v/>
      </c>
      <c r="Y46">
        <f>HYPERLINK("https://klasma.github.io/Logging_1485/kartor_geotiff/A 50274-2024 georefererad karta.tif", "A 50274-2024")</f>
        <v/>
      </c>
      <c r="AA46">
        <f>HYPERLINK("https://klasma.github.io/Logging_1485/klagomål/A 50274-2024 FSC-klagomål.docx", "A 50274-2024")</f>
        <v/>
      </c>
      <c r="AB46">
        <f>HYPERLINK("https://klasma.github.io/Logging_1485/klagomålsmail/A 50274-2024 FSC-klagomål mail.docx", "A 50274-2024")</f>
        <v/>
      </c>
      <c r="AC46">
        <f>HYPERLINK("https://klasma.github.io/Logging_1485/tillsyn/A 50274-2024 tillsynsbegäran.docx", "A 50274-2024")</f>
        <v/>
      </c>
      <c r="AD46">
        <f>HYPERLINK("https://klasma.github.io/Logging_1485/tillsynsmail/A 50274-2024 tillsynsbegäran mail.docx", "A 50274-2024")</f>
        <v/>
      </c>
      <c r="AE46">
        <f>HYPERLINK("https://klasma.github.io/Logging_1485/fåglar/A 50274-2024 prioriterade fågelarter.docx", "A 50274-2024")</f>
        <v/>
      </c>
    </row>
    <row r="47" ht="15" customHeight="1">
      <c r="A47" t="inlineStr">
        <is>
          <t>A 236-2023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44928</v>
      </c>
      <c r="E47" s="1" t="n">
        <v>46265</v>
      </c>
      <c r="F47" t="inlineStr">
        <is>
          <t>VÄSTRA GÖTALANDS LÄN</t>
        </is>
      </c>
      <c r="G47" t="inlineStr">
        <is>
          <t>UDDEVALLA</t>
        </is>
      </c>
      <c r="I47" t="n">
        <v>16.7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Rödgul trumpetsvamp</t>
        </is>
      </c>
      <c r="W47">
        <f>HYPERLINK("https://klasma.github.io/Logging_1485/artfynd/A 236-2023 artfynd.xlsx", "A 236-2023")</f>
        <v/>
      </c>
      <c r="X47">
        <f>HYPERLINK("https://klasma.github.io/Logging_1485/kartor/A 236-2023 karta.png", "A 236-2023")</f>
        <v/>
      </c>
      <c r="Y47">
        <f>HYPERLINK("https://klasma.github.io/Logging_1485/kartor_geotiff/A 236-2023 georefererad karta.tif", "A 236-2023")</f>
        <v/>
      </c>
      <c r="AA47">
        <f>HYPERLINK("https://klasma.github.io/Logging_1485/klagomål/A 236-2023 FSC-klagomål.docx", "A 236-2023")</f>
        <v/>
      </c>
      <c r="AB47">
        <f>HYPERLINK("https://klasma.github.io/Logging_1485/klagomålsmail/A 236-2023 FSC-klagomål mail.docx", "A 236-2023")</f>
        <v/>
      </c>
      <c r="AC47">
        <f>HYPERLINK("https://klasma.github.io/Logging_1485/tillsyn/A 236-2023 tillsynsbegäran.docx", "A 236-2023")</f>
        <v/>
      </c>
      <c r="AD47">
        <f>HYPERLINK("https://klasma.github.io/Logging_1485/tillsynsmail/A 236-2023 tillsynsbegäran mail.docx", "A 236-2023")</f>
        <v/>
      </c>
    </row>
    <row r="48" ht="15" customHeight="1">
      <c r="A48" t="inlineStr">
        <is>
          <t>A 23401-2023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45076</v>
      </c>
      <c r="E48" s="1" t="n">
        <v>46265</v>
      </c>
      <c r="F48" t="inlineStr">
        <is>
          <t>VÄSTRA GÖTALANDS LÄN</t>
        </is>
      </c>
      <c r="G48" t="inlineStr">
        <is>
          <t>UDDEVALLA</t>
        </is>
      </c>
      <c r="I48" t="n">
        <v>3.3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Vedticka</t>
        </is>
      </c>
      <c r="W48">
        <f>HYPERLINK("https://klasma.github.io/Logging_1485/artfynd/A 23401-2023 artfynd.xlsx", "A 23401-2023")</f>
        <v/>
      </c>
      <c r="X48">
        <f>HYPERLINK("https://klasma.github.io/Logging_1485/kartor/A 23401-2023 karta.png", "A 23401-2023")</f>
        <v/>
      </c>
      <c r="Y48">
        <f>HYPERLINK("https://klasma.github.io/Logging_1485/kartor_geotiff/A 23401-2023 georefererad karta.tif", "A 23401-2023")</f>
        <v/>
      </c>
      <c r="AA48">
        <f>HYPERLINK("https://klasma.github.io/Logging_1485/klagomål/A 23401-2023 FSC-klagomål.docx", "A 23401-2023")</f>
        <v/>
      </c>
      <c r="AB48">
        <f>HYPERLINK("https://klasma.github.io/Logging_1485/klagomålsmail/A 23401-2023 FSC-klagomål mail.docx", "A 23401-2023")</f>
        <v/>
      </c>
      <c r="AC48">
        <f>HYPERLINK("https://klasma.github.io/Logging_1485/tillsyn/A 23401-2023 tillsynsbegäran.docx", "A 23401-2023")</f>
        <v/>
      </c>
      <c r="AD48">
        <f>HYPERLINK("https://klasma.github.io/Logging_1485/tillsynsmail/A 23401-2023 tillsynsbegäran mail.docx", "A 23401-2023")</f>
        <v/>
      </c>
    </row>
    <row r="49" ht="15" customHeight="1">
      <c r="A49" t="inlineStr">
        <is>
          <t>A 2429-2026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46036</v>
      </c>
      <c r="E49" s="1" t="n">
        <v>46265</v>
      </c>
      <c r="F49" t="inlineStr">
        <is>
          <t>VÄSTRA GÖTALANDS LÄN</t>
        </is>
      </c>
      <c r="G49" t="inlineStr">
        <is>
          <t>UDDEVALLA</t>
        </is>
      </c>
      <c r="I49" t="n">
        <v>7.6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HYPERLINK("https://klasma.github.io/Logging_1485/artfynd/A 2429-2026 artfynd.xlsx", "A 2429-2026")</f>
        <v/>
      </c>
      <c r="X49">
        <f>HYPERLINK("https://klasma.github.io/Logging_1485/kartor/A 2429-2026 karta.png", "A 2429-2026")</f>
        <v/>
      </c>
      <c r="Y49">
        <f>HYPERLINK("https://klasma.github.io/Logging_1485/kartor_geotiff/A 2429-2026 georefererad karta.tif", "A 2429-2026")</f>
        <v/>
      </c>
      <c r="AA49">
        <f>HYPERLINK("https://klasma.github.io/Logging_1485/klagomål/A 2429-2026 FSC-klagomål.docx", "A 2429-2026")</f>
        <v/>
      </c>
      <c r="AB49">
        <f>HYPERLINK("https://klasma.github.io/Logging_1485/klagomålsmail/A 2429-2026 FSC-klagomål mail.docx", "A 2429-2026")</f>
        <v/>
      </c>
      <c r="AC49">
        <f>HYPERLINK("https://klasma.github.io/Logging_1485/tillsyn/A 2429-2026 tillsynsbegäran.docx", "A 2429-2026")</f>
        <v/>
      </c>
      <c r="AD49">
        <f>HYPERLINK("https://klasma.github.io/Logging_1485/tillsynsmail/A 2429-2026 tillsynsbegäran mail.docx", "A 2429-2026")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46265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S 337-2024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45328</v>
      </c>
      <c r="E51" s="1" t="n">
        <v>46265</v>
      </c>
      <c r="F51" t="inlineStr">
        <is>
          <t>VÄSTRA GÖTALANDS LÄN</t>
        </is>
      </c>
      <c r="G51" t="inlineStr">
        <is>
          <t>UDDEVALLA</t>
        </is>
      </c>
      <c r="I51" t="n">
        <v>38.5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HYPERLINK("https://klasma.github.io/Logging_1485/artfynd/S 337-2024 artfynd.xlsx", "S 337-2024")</f>
        <v/>
      </c>
      <c r="X51">
        <f>HYPERLINK("https://klasma.github.io/Logging_1485/kartor/S 337-2024 karta.png", "S 337-2024")</f>
        <v/>
      </c>
      <c r="Y51">
        <f>HYPERLINK("https://klasma.github.io/Logging_1485/kartor_geotiff/S 337-2024 georefererad karta.tif", "S 337-2024")</f>
        <v/>
      </c>
      <c r="AA51">
        <f>HYPERLINK("https://klasma.github.io/Logging_1485/klagomål/S 337-2024 FSC-klagomål.docx", "S 337-2024")</f>
        <v/>
      </c>
      <c r="AB51">
        <f>HYPERLINK("https://klasma.github.io/Logging_1485/klagomålsmail/S 337-2024 FSC-klagomål mail.docx", "S 337-2024")</f>
        <v/>
      </c>
      <c r="AC51">
        <f>HYPERLINK("https://klasma.github.io/Logging_1485/tillsyn/S 337-2024 tillsynsbegäran.docx", "S 337-2024")</f>
        <v/>
      </c>
      <c r="AD51">
        <f>HYPERLINK("https://klasma.github.io/Logging_1485/tillsynsmail/S 337-2024 tillsynsbegäran mail.docx", "S 337-2024")</f>
        <v/>
      </c>
      <c r="AE51">
        <f>HYPERLINK("https://klasma.github.io/Logging_1485/fåglar/S 337-2024 prioriterade fågelarter.docx", "S 337-2024")</f>
        <v/>
      </c>
    </row>
    <row r="52" ht="15" customHeight="1">
      <c r="A52" t="inlineStr">
        <is>
          <t>A 41964-2022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46265</v>
      </c>
      <c r="F52" t="inlineStr">
        <is>
          <t>VÄSTRA GÖTALANDS LÄN</t>
        </is>
      </c>
      <c r="G52" t="inlineStr">
        <is>
          <t>UDDEVALLA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46265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48088-2021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44449</v>
      </c>
      <c r="E54" s="1" t="n">
        <v>46265</v>
      </c>
      <c r="F54" t="inlineStr">
        <is>
          <t>VÄSTRA GÖTALANDS LÄN</t>
        </is>
      </c>
      <c r="G54" t="inlineStr">
        <is>
          <t>UDDEVALLA</t>
        </is>
      </c>
      <c r="H54" t="inlineStr">
        <is>
          <t>Kyrkan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46265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46265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44445</v>
      </c>
      <c r="E57" s="1" t="n">
        <v>46265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46265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46265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44462</v>
      </c>
      <c r="E60" s="1" t="n">
        <v>46265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58933-2021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46265</v>
      </c>
      <c r="F61" t="inlineStr">
        <is>
          <t>VÄSTRA GÖTALANDS LÄN</t>
        </is>
      </c>
      <c r="G61" t="inlineStr">
        <is>
          <t>UDDEVALLA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46265</v>
      </c>
      <c r="F62" t="inlineStr">
        <is>
          <t>VÄSTRA GÖTALANDS LÄN</t>
        </is>
      </c>
      <c r="G62" t="inlineStr">
        <is>
          <t>UDDEVALLA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44733</v>
      </c>
      <c r="E63" s="1" t="n">
        <v>46265</v>
      </c>
      <c r="F63" t="inlineStr">
        <is>
          <t>VÄSTRA GÖTALANDS LÄN</t>
        </is>
      </c>
      <c r="G63" t="inlineStr">
        <is>
          <t>UDDEVALLA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46265</v>
      </c>
      <c r="F64" t="inlineStr">
        <is>
          <t>VÄSTRA GÖTALANDS LÄN</t>
        </is>
      </c>
      <c r="G64" t="inlineStr">
        <is>
          <t>UDDEVALLA</t>
        </is>
      </c>
      <c r="I64" t="n">
        <v>14.4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46265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56650-2021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46265</v>
      </c>
      <c r="F66" t="inlineStr">
        <is>
          <t>VÄSTRA GÖTALANDS LÄN</t>
        </is>
      </c>
      <c r="G66" t="inlineStr">
        <is>
          <t>UDDEVALLA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51876-2021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46265</v>
      </c>
      <c r="F67" t="inlineStr">
        <is>
          <t>VÄSTRA GÖTALANDS LÄN</t>
        </is>
      </c>
      <c r="G67" t="inlineStr">
        <is>
          <t>UDDEVALLA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44572</v>
      </c>
      <c r="E68" s="1" t="n">
        <v>46265</v>
      </c>
      <c r="F68" t="inlineStr">
        <is>
          <t>VÄSTRA GÖTALANDS LÄN</t>
        </is>
      </c>
      <c r="G68" t="inlineStr">
        <is>
          <t>UDDEVALLA</t>
        </is>
      </c>
      <c r="H68" t="inlineStr">
        <is>
          <t>Kommuner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46265</v>
      </c>
      <c r="F69" t="inlineStr">
        <is>
          <t>VÄSTRA GÖTALANDS LÄN</t>
        </is>
      </c>
      <c r="G69" t="inlineStr">
        <is>
          <t>UDDEVALLA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46265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46265</v>
      </c>
      <c r="F71" t="inlineStr">
        <is>
          <t>VÄSTRA GÖTALANDS LÄN</t>
        </is>
      </c>
      <c r="G71" t="inlineStr">
        <is>
          <t>UDDEVALLA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61904-2021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46265</v>
      </c>
      <c r="F72" t="inlineStr">
        <is>
          <t>VÄSTRA GÖTALANDS LÄN</t>
        </is>
      </c>
      <c r="G72" t="inlineStr">
        <is>
          <t>UDDEVALLA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46265</v>
      </c>
      <c r="F73" t="inlineStr">
        <is>
          <t>VÄSTRA GÖTALANDS LÄN</t>
        </is>
      </c>
      <c r="G73" t="inlineStr">
        <is>
          <t>UDDEVALLA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43276-2022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44834</v>
      </c>
      <c r="E74" s="1" t="n">
        <v>46265</v>
      </c>
      <c r="F74" t="inlineStr">
        <is>
          <t>VÄSTRA GÖTALANDS LÄN</t>
        </is>
      </c>
      <c r="G74" t="inlineStr">
        <is>
          <t>UDDEVALLA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38557-2022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46265</v>
      </c>
      <c r="F75" t="inlineStr">
        <is>
          <t>VÄSTRA GÖTALANDS LÄN</t>
        </is>
      </c>
      <c r="G75" t="inlineStr">
        <is>
          <t>UDDEVALLA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34555-2022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44794</v>
      </c>
      <c r="E76" s="1" t="n">
        <v>46265</v>
      </c>
      <c r="F76" t="inlineStr">
        <is>
          <t>VÄSTRA GÖTALANDS LÄN</t>
        </is>
      </c>
      <c r="G76" t="inlineStr">
        <is>
          <t>UDDEVALLA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45644</v>
      </c>
      <c r="E77" s="1" t="n">
        <v>46265</v>
      </c>
      <c r="F77" t="inlineStr">
        <is>
          <t>VÄSTRA GÖTALANDS LÄN</t>
        </is>
      </c>
      <c r="G77" t="inlineStr">
        <is>
          <t>UDDEVALLA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21102-2025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45777</v>
      </c>
      <c r="E78" s="1" t="n">
        <v>46265</v>
      </c>
      <c r="F78" t="inlineStr">
        <is>
          <t>VÄSTRA GÖTALANDS LÄN</t>
        </is>
      </c>
      <c r="G78" t="inlineStr">
        <is>
          <t>UDDEVALLA</t>
        </is>
      </c>
      <c r="I78" t="n">
        <v>12.9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46265</v>
      </c>
      <c r="F79" t="inlineStr">
        <is>
          <t>VÄSTRA GÖTALANDS LÄN</t>
        </is>
      </c>
      <c r="G79" t="inlineStr">
        <is>
          <t>UDDEVALLA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26916-2023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45093</v>
      </c>
      <c r="E80" s="1" t="n">
        <v>46265</v>
      </c>
      <c r="F80" t="inlineStr">
        <is>
          <t>VÄSTRA GÖTALANDS LÄN</t>
        </is>
      </c>
      <c r="G80" t="inlineStr">
        <is>
          <t>UDDEVALLA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11788-2024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45374</v>
      </c>
      <c r="E81" s="1" t="n">
        <v>46265</v>
      </c>
      <c r="F81" t="inlineStr">
        <is>
          <t>VÄSTRA GÖTALANDS LÄN</t>
        </is>
      </c>
      <c r="G81" t="inlineStr">
        <is>
          <t>UDDEVALLA</t>
        </is>
      </c>
      <c r="I81" t="n">
        <v>8.5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45672</v>
      </c>
      <c r="E82" s="1" t="n">
        <v>46265</v>
      </c>
      <c r="F82" t="inlineStr">
        <is>
          <t>VÄSTRA GÖTALANDS LÄN</t>
        </is>
      </c>
      <c r="G82" t="inlineStr">
        <is>
          <t>UDDEVALLA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18806-2024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45426</v>
      </c>
      <c r="E83" s="1" t="n">
        <v>46265</v>
      </c>
      <c r="F83" t="inlineStr">
        <is>
          <t>VÄSTRA GÖTALANDS LÄN</t>
        </is>
      </c>
      <c r="G83" t="inlineStr">
        <is>
          <t>UDDEVALLA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45772</v>
      </c>
      <c r="E84" s="1" t="n">
        <v>46265</v>
      </c>
      <c r="F84" t="inlineStr">
        <is>
          <t>VÄSTRA GÖTALANDS LÄN</t>
        </is>
      </c>
      <c r="G84" t="inlineStr">
        <is>
          <t>UDDEVALLA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46265</v>
      </c>
      <c r="F85" t="inlineStr">
        <is>
          <t>VÄSTRA GÖTALANDS LÄN</t>
        </is>
      </c>
      <c r="G85" t="inlineStr">
        <is>
          <t>UDDEVALLA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46265</v>
      </c>
      <c r="F86" t="inlineStr">
        <is>
          <t>VÄSTRA GÖTALANDS LÄN</t>
        </is>
      </c>
      <c r="G86" t="inlineStr">
        <is>
          <t>UDDEVALLA</t>
        </is>
      </c>
      <c r="I86" t="n">
        <v>8.1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46265</v>
      </c>
      <c r="F87" t="inlineStr">
        <is>
          <t>VÄSTRA GÖTALANDS LÄN</t>
        </is>
      </c>
      <c r="G87" t="inlineStr">
        <is>
          <t>UDDEVALLA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45453</v>
      </c>
      <c r="E88" s="1" t="n">
        <v>46265</v>
      </c>
      <c r="F88" t="inlineStr">
        <is>
          <t>VÄSTRA GÖTALANDS LÄN</t>
        </is>
      </c>
      <c r="G88" t="inlineStr">
        <is>
          <t>UDDEVALLA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45463</v>
      </c>
      <c r="E89" s="1" t="n">
        <v>46265</v>
      </c>
      <c r="F89" t="inlineStr">
        <is>
          <t>VÄSTRA GÖTALANDS LÄN</t>
        </is>
      </c>
      <c r="G89" t="inlineStr">
        <is>
          <t>UDDEVALLA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10585-2024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45366</v>
      </c>
      <c r="E90" s="1" t="n">
        <v>46265</v>
      </c>
      <c r="F90" t="inlineStr">
        <is>
          <t>VÄSTRA GÖTALANDS LÄN</t>
        </is>
      </c>
      <c r="G90" t="inlineStr">
        <is>
          <t>UDDEVALLA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46265</v>
      </c>
      <c r="F91" t="inlineStr">
        <is>
          <t>VÄSTRA GÖTALANDS LÄN</t>
        </is>
      </c>
      <c r="G91" t="inlineStr">
        <is>
          <t>UDDEVALLA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46265</v>
      </c>
      <c r="F92" t="inlineStr">
        <is>
          <t>VÄSTRA GÖTALANDS LÄN</t>
        </is>
      </c>
      <c r="G92" t="inlineStr">
        <is>
          <t>UDDEVALLA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46265</v>
      </c>
      <c r="F93" t="inlineStr">
        <is>
          <t>VÄSTRA GÖTALANDS LÄN</t>
        </is>
      </c>
      <c r="G93" t="inlineStr">
        <is>
          <t>UDDEVALLA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45740</v>
      </c>
      <c r="E94" s="1" t="n">
        <v>46265</v>
      </c>
      <c r="F94" t="inlineStr">
        <is>
          <t>VÄSTRA GÖTALANDS LÄN</t>
        </is>
      </c>
      <c r="G94" t="inlineStr">
        <is>
          <t>UDDEVALLA</t>
        </is>
      </c>
      <c r="I94" t="n">
        <v>7.5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40331-2025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45895</v>
      </c>
      <c r="E95" s="1" t="n">
        <v>46265</v>
      </c>
      <c r="F95" t="inlineStr">
        <is>
          <t>VÄSTRA GÖTALANDS LÄN</t>
        </is>
      </c>
      <c r="G95" t="inlineStr">
        <is>
          <t>UDDEVALLA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45972</v>
      </c>
      <c r="E96" s="1" t="n">
        <v>46265</v>
      </c>
      <c r="F96" t="inlineStr">
        <is>
          <t>VÄSTRA GÖTALANDS LÄN</t>
        </is>
      </c>
      <c r="G96" t="inlineStr">
        <is>
          <t>UDDEVALLA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46265</v>
      </c>
      <c r="F97" t="inlineStr">
        <is>
          <t>VÄSTRA GÖTALANDS LÄN</t>
        </is>
      </c>
      <c r="G97" t="inlineStr">
        <is>
          <t>UDDEVALLA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46265</v>
      </c>
      <c r="F98" t="inlineStr">
        <is>
          <t>VÄSTRA GÖTALANDS LÄN</t>
        </is>
      </c>
      <c r="G98" t="inlineStr">
        <is>
          <t>UDDEVALLA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41576-2025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45901</v>
      </c>
      <c r="E99" s="1" t="n">
        <v>46265</v>
      </c>
      <c r="F99" t="inlineStr">
        <is>
          <t>VÄSTRA GÖTALANDS LÄN</t>
        </is>
      </c>
      <c r="G99" t="inlineStr">
        <is>
          <t>UDDEVALLA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36562-2024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45537</v>
      </c>
      <c r="E100" s="1" t="n">
        <v>46265</v>
      </c>
      <c r="F100" t="inlineStr">
        <is>
          <t>VÄSTRA GÖTALANDS LÄN</t>
        </is>
      </c>
      <c r="G100" t="inlineStr">
        <is>
          <t>UDDEVALLA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45484</v>
      </c>
      <c r="E101" s="1" t="n">
        <v>46265</v>
      </c>
      <c r="F101" t="inlineStr">
        <is>
          <t>VÄSTRA GÖTALANDS LÄN</t>
        </is>
      </c>
      <c r="G101" t="inlineStr">
        <is>
          <t>UDDEVALLA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46265</v>
      </c>
      <c r="F102" t="inlineStr">
        <is>
          <t>VÄSTRA GÖTALANDS LÄN</t>
        </is>
      </c>
      <c r="G102" t="inlineStr">
        <is>
          <t>UDDEVALLA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44086-2025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45914</v>
      </c>
      <c r="E103" s="1" t="n">
        <v>46265</v>
      </c>
      <c r="F103" t="inlineStr">
        <is>
          <t>VÄSTRA GÖTALANDS LÄN</t>
        </is>
      </c>
      <c r="G103" t="inlineStr">
        <is>
          <t>UDDEVALLA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56585-2025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46265</v>
      </c>
      <c r="F104" t="inlineStr">
        <is>
          <t>VÄSTRA GÖTALANDS LÄN</t>
        </is>
      </c>
      <c r="G104" t="inlineStr">
        <is>
          <t>UDDEVALLA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45914</v>
      </c>
      <c r="E105" s="1" t="n">
        <v>46265</v>
      </c>
      <c r="F105" t="inlineStr">
        <is>
          <t>VÄSTRA GÖTALANDS LÄN</t>
        </is>
      </c>
      <c r="G105" t="inlineStr">
        <is>
          <t>UDDEVALLA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45034</v>
      </c>
      <c r="E106" s="1" t="n">
        <v>46265</v>
      </c>
      <c r="F106" t="inlineStr">
        <is>
          <t>VÄSTRA GÖTALANDS LÄN</t>
        </is>
      </c>
      <c r="G106" t="inlineStr">
        <is>
          <t>UDDEVALLA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45035</v>
      </c>
      <c r="E107" s="1" t="n">
        <v>46265</v>
      </c>
      <c r="F107" t="inlineStr">
        <is>
          <t>VÄSTRA GÖTALANDS LÄN</t>
        </is>
      </c>
      <c r="G107" t="inlineStr">
        <is>
          <t>UDDEVALLA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17242-2023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45035</v>
      </c>
      <c r="E108" s="1" t="n">
        <v>46265</v>
      </c>
      <c r="F108" t="inlineStr">
        <is>
          <t>VÄSTRA GÖTALANDS LÄN</t>
        </is>
      </c>
      <c r="G108" t="inlineStr">
        <is>
          <t>UDDEVALLA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45919</v>
      </c>
      <c r="E109" s="1" t="n">
        <v>46265</v>
      </c>
      <c r="F109" t="inlineStr">
        <is>
          <t>VÄSTRA GÖTALANDS LÄN</t>
        </is>
      </c>
      <c r="G109" t="inlineStr">
        <is>
          <t>UDDEVALLA</t>
        </is>
      </c>
      <c r="I109" t="n">
        <v>19.4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45567-2025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45922</v>
      </c>
      <c r="E110" s="1" t="n">
        <v>46265</v>
      </c>
      <c r="F110" t="inlineStr">
        <is>
          <t>VÄSTRA GÖTALANDS LÄN</t>
        </is>
      </c>
      <c r="G110" t="inlineStr">
        <is>
          <t>UDDEVALLA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59513-2024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45638</v>
      </c>
      <c r="E111" s="1" t="n">
        <v>46265</v>
      </c>
      <c r="F111" t="inlineStr">
        <is>
          <t>VÄSTRA GÖTALANDS LÄN</t>
        </is>
      </c>
      <c r="G111" t="inlineStr">
        <is>
          <t>UDDEVALLA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46304-2025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45925</v>
      </c>
      <c r="E112" s="1" t="n">
        <v>46265</v>
      </c>
      <c r="F112" t="inlineStr">
        <is>
          <t>VÄSTRA GÖTALANDS LÄN</t>
        </is>
      </c>
      <c r="G112" t="inlineStr">
        <is>
          <t>UDDEVALLA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49145-2024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45594</v>
      </c>
      <c r="E113" s="1" t="n">
        <v>46265</v>
      </c>
      <c r="F113" t="inlineStr">
        <is>
          <t>VÄSTRA GÖTALANDS LÄN</t>
        </is>
      </c>
      <c r="G113" t="inlineStr">
        <is>
          <t>UDDEVALLA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45517</v>
      </c>
      <c r="E114" s="1" t="n">
        <v>46265</v>
      </c>
      <c r="F114" t="inlineStr">
        <is>
          <t>VÄSTRA GÖTALANDS LÄN</t>
        </is>
      </c>
      <c r="G114" t="inlineStr">
        <is>
          <t>UDDEVALLA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46265</v>
      </c>
      <c r="F115" t="inlineStr">
        <is>
          <t>VÄSTRA GÖTALANDS LÄN</t>
        </is>
      </c>
      <c r="G115" t="inlineStr">
        <is>
          <t>UDDEVALLA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46265</v>
      </c>
      <c r="F116" t="inlineStr">
        <is>
          <t>VÄSTRA GÖTALANDS LÄN</t>
        </is>
      </c>
      <c r="G116" t="inlineStr">
        <is>
          <t>UDDEVALLA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58416-2025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46265</v>
      </c>
      <c r="F117" t="inlineStr">
        <is>
          <t>VÄSTRA GÖTALANDS LÄN</t>
        </is>
      </c>
      <c r="G117" t="inlineStr">
        <is>
          <t>UDDEVALLA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47083-2025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46265</v>
      </c>
      <c r="F118" t="inlineStr">
        <is>
          <t>VÄSTRA GÖTALANDS LÄN</t>
        </is>
      </c>
      <c r="G118" t="inlineStr">
        <is>
          <t>UDDEVALLA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46265</v>
      </c>
      <c r="F119" t="inlineStr">
        <is>
          <t>VÄSTRA GÖTALANDS LÄN</t>
        </is>
      </c>
      <c r="G119" t="inlineStr">
        <is>
          <t>UDDEVALLA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46265</v>
      </c>
      <c r="F120" t="inlineStr">
        <is>
          <t>VÄSTRA GÖTALANDS LÄN</t>
        </is>
      </c>
      <c r="G120" t="inlineStr">
        <is>
          <t>UDDEVALLA</t>
        </is>
      </c>
      <c r="I120" t="n">
        <v>9.699999999999999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46265</v>
      </c>
      <c r="F121" t="inlineStr">
        <is>
          <t>VÄSTRA GÖTALANDS LÄN</t>
        </is>
      </c>
      <c r="G121" t="inlineStr">
        <is>
          <t>UDDEVALLA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45722</v>
      </c>
      <c r="E122" s="1" t="n">
        <v>46265</v>
      </c>
      <c r="F122" t="inlineStr">
        <is>
          <t>VÄSTRA GÖTALANDS LÄN</t>
        </is>
      </c>
      <c r="G122" t="inlineStr">
        <is>
          <t>UDDEVALLA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23895-2024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45455</v>
      </c>
      <c r="E123" s="1" t="n">
        <v>46265</v>
      </c>
      <c r="F123" t="inlineStr">
        <is>
          <t>VÄSTRA GÖTALANDS LÄN</t>
        </is>
      </c>
      <c r="G123" t="inlineStr">
        <is>
          <t>UDDEVALLA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45931</v>
      </c>
      <c r="E124" s="1" t="n">
        <v>46265</v>
      </c>
      <c r="F124" t="inlineStr">
        <is>
          <t>VÄSTRA GÖTALANDS LÄN</t>
        </is>
      </c>
      <c r="G124" t="inlineStr">
        <is>
          <t>UDDEVALLA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46265</v>
      </c>
      <c r="F125" t="inlineStr">
        <is>
          <t>VÄSTRA GÖTALANDS LÄN</t>
        </is>
      </c>
      <c r="G125" t="inlineStr">
        <is>
          <t>UDDEVALLA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60241-2024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45642</v>
      </c>
      <c r="E126" s="1" t="n">
        <v>46265</v>
      </c>
      <c r="F126" t="inlineStr">
        <is>
          <t>VÄSTRA GÖTALANDS LÄN</t>
        </is>
      </c>
      <c r="G126" t="inlineStr">
        <is>
          <t>UDDEVALLA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46265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45470</v>
      </c>
      <c r="E128" s="1" t="n">
        <v>46265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Kommuner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45656</v>
      </c>
      <c r="E129" s="1" t="n">
        <v>46265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46265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46265</v>
      </c>
      <c r="F131" t="inlineStr">
        <is>
          <t>VÄSTRA GÖTALANDS LÄN</t>
        </is>
      </c>
      <c r="G131" t="inlineStr">
        <is>
          <t>UDDEVALLA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45656</v>
      </c>
      <c r="E132" s="1" t="n">
        <v>46265</v>
      </c>
      <c r="F132" t="inlineStr">
        <is>
          <t>VÄSTRA GÖTALANDS LÄN</t>
        </is>
      </c>
      <c r="G132" t="inlineStr">
        <is>
          <t>UDDEVALLA</t>
        </is>
      </c>
      <c r="H132" t="inlineStr">
        <is>
          <t>Kommuner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46265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46265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45723</v>
      </c>
      <c r="E135" s="1" t="n">
        <v>46265</v>
      </c>
      <c r="F135" t="inlineStr">
        <is>
          <t>VÄSTRA GÖTALANDS LÄN</t>
        </is>
      </c>
      <c r="G135" t="inlineStr">
        <is>
          <t>UDDEVALLA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45602</v>
      </c>
      <c r="E136" s="1" t="n">
        <v>46265</v>
      </c>
      <c r="F136" t="inlineStr">
        <is>
          <t>VÄSTRA GÖTALANDS LÄN</t>
        </is>
      </c>
      <c r="G136" t="inlineStr">
        <is>
          <t>UDDEVALLA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59801-2025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46265</v>
      </c>
      <c r="F137" t="inlineStr">
        <is>
          <t>VÄSTRA GÖTALANDS LÄN</t>
        </is>
      </c>
      <c r="G137" t="inlineStr">
        <is>
          <t>UDDEVALLA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46265</v>
      </c>
      <c r="F138" t="inlineStr">
        <is>
          <t>VÄSTRA GÖTALANDS LÄN</t>
        </is>
      </c>
      <c r="G138" t="inlineStr">
        <is>
          <t>UDDEVALLA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46265</v>
      </c>
      <c r="F139" t="inlineStr">
        <is>
          <t>VÄSTRA GÖTALANDS LÄN</t>
        </is>
      </c>
      <c r="G139" t="inlineStr">
        <is>
          <t>UDDEVALLA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50586-2025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46265</v>
      </c>
      <c r="F140" t="inlineStr">
        <is>
          <t>VÄSTRA GÖTALANDS LÄN</t>
        </is>
      </c>
      <c r="G140" t="inlineStr">
        <is>
          <t>UDDEVALLA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46265</v>
      </c>
      <c r="F141" t="inlineStr">
        <is>
          <t>VÄSTRA GÖTALANDS LÄN</t>
        </is>
      </c>
      <c r="G141" t="inlineStr">
        <is>
          <t>UDDEVALLA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46265</v>
      </c>
      <c r="F142" t="inlineStr">
        <is>
          <t>VÄSTRA GÖTALANDS LÄN</t>
        </is>
      </c>
      <c r="G142" t="inlineStr">
        <is>
          <t>UDDEVALLA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46265</v>
      </c>
      <c r="F143" t="inlineStr">
        <is>
          <t>VÄSTRA GÖTALANDS LÄN</t>
        </is>
      </c>
      <c r="G143" t="inlineStr">
        <is>
          <t>UDDEVALLA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46265</v>
      </c>
      <c r="F144" t="inlineStr">
        <is>
          <t>VÄSTRA GÖTALANDS LÄN</t>
        </is>
      </c>
      <c r="G144" t="inlineStr">
        <is>
          <t>UDDEVALLA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45560</v>
      </c>
      <c r="E145" s="1" t="n">
        <v>46265</v>
      </c>
      <c r="F145" t="inlineStr">
        <is>
          <t>VÄSTRA GÖTALANDS LÄN</t>
        </is>
      </c>
      <c r="G145" t="inlineStr">
        <is>
          <t>UDDEVALLA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51747-2025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45950</v>
      </c>
      <c r="E146" s="1" t="n">
        <v>46265</v>
      </c>
      <c r="F146" t="inlineStr">
        <is>
          <t>VÄSTRA GÖTALANDS LÄN</t>
        </is>
      </c>
      <c r="G146" t="inlineStr">
        <is>
          <t>UDDEVALLA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45999</v>
      </c>
      <c r="E147" s="1" t="n">
        <v>46265</v>
      </c>
      <c r="F147" t="inlineStr">
        <is>
          <t>VÄSTRA GÖTALANDS LÄN</t>
        </is>
      </c>
      <c r="G147" t="inlineStr">
        <is>
          <t>UDDEVALLA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45940</v>
      </c>
      <c r="E148" s="1" t="n">
        <v>46265</v>
      </c>
      <c r="F148" t="inlineStr">
        <is>
          <t>VÄSTRA GÖTALANDS LÄN</t>
        </is>
      </c>
      <c r="G148" t="inlineStr">
        <is>
          <t>UDDEVALLA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46265</v>
      </c>
      <c r="F149" t="inlineStr">
        <is>
          <t>VÄSTRA GÖTALANDS LÄN</t>
        </is>
      </c>
      <c r="G149" t="inlineStr">
        <is>
          <t>UDDEVALLA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45197</v>
      </c>
      <c r="E150" s="1" t="n">
        <v>46265</v>
      </c>
      <c r="F150" t="inlineStr">
        <is>
          <t>VÄSTRA GÖTALANDS LÄN</t>
        </is>
      </c>
      <c r="G150" t="inlineStr">
        <is>
          <t>UDDEVALLA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46265</v>
      </c>
      <c r="F151" t="inlineStr">
        <is>
          <t>VÄSTRA GÖTALANDS LÄN</t>
        </is>
      </c>
      <c r="G151" t="inlineStr">
        <is>
          <t>UDDEVALLA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45826</v>
      </c>
      <c r="E152" s="1" t="n">
        <v>46265</v>
      </c>
      <c r="F152" t="inlineStr">
        <is>
          <t>VÄSTRA GÖTALANDS LÄN</t>
        </is>
      </c>
      <c r="G152" t="inlineStr">
        <is>
          <t>UDDEVALLA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46265</v>
      </c>
      <c r="F153" t="inlineStr">
        <is>
          <t>VÄSTRA GÖTALANDS LÄN</t>
        </is>
      </c>
      <c r="G153" t="inlineStr">
        <is>
          <t>UDDEVALLA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46265</v>
      </c>
      <c r="F154" t="inlineStr">
        <is>
          <t>VÄSTRA GÖTALANDS LÄN</t>
        </is>
      </c>
      <c r="G154" t="inlineStr">
        <is>
          <t>UDDEVALLA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4639-2022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44592</v>
      </c>
      <c r="E155" s="1" t="n">
        <v>46265</v>
      </c>
      <c r="F155" t="inlineStr">
        <is>
          <t>VÄSTRA GÖTALANDS LÄN</t>
        </is>
      </c>
      <c r="G155" t="inlineStr">
        <is>
          <t>UDDEVALLA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58385-2024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45633</v>
      </c>
      <c r="E156" s="1" t="n">
        <v>46265</v>
      </c>
      <c r="F156" t="inlineStr">
        <is>
          <t>VÄSTRA GÖTALANDS LÄN</t>
        </is>
      </c>
      <c r="G156" t="inlineStr">
        <is>
          <t>UDDEVALLA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52889-2023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45226</v>
      </c>
      <c r="E157" s="1" t="n">
        <v>46265</v>
      </c>
      <c r="F157" t="inlineStr">
        <is>
          <t>VÄSTRA GÖTALANDS LÄN</t>
        </is>
      </c>
      <c r="G157" t="inlineStr">
        <is>
          <t>UDDEVALLA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45843</v>
      </c>
      <c r="E158" s="1" t="n">
        <v>46265</v>
      </c>
      <c r="F158" t="inlineStr">
        <is>
          <t>VÄSTRA GÖTALANDS LÄN</t>
        </is>
      </c>
      <c r="G158" t="inlineStr">
        <is>
          <t>UDDEVALLA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45847</v>
      </c>
      <c r="E159" s="1" t="n">
        <v>46265</v>
      </c>
      <c r="F159" t="inlineStr">
        <is>
          <t>VÄSTRA GÖTALANDS LÄN</t>
        </is>
      </c>
      <c r="G159" t="inlineStr">
        <is>
          <t>UDDEVALLA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46265</v>
      </c>
      <c r="F160" t="inlineStr">
        <is>
          <t>VÄSTRA GÖTALANDS LÄN</t>
        </is>
      </c>
      <c r="G160" t="inlineStr">
        <is>
          <t>UDDEVALLA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44634</v>
      </c>
      <c r="E161" s="1" t="n">
        <v>46265</v>
      </c>
      <c r="F161" t="inlineStr">
        <is>
          <t>VÄSTRA GÖTALANDS LÄN</t>
        </is>
      </c>
      <c r="G161" t="inlineStr">
        <is>
          <t>UDDEVALLA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59674-2023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45255</v>
      </c>
      <c r="E162" s="1" t="n">
        <v>46265</v>
      </c>
      <c r="F162" t="inlineStr">
        <is>
          <t>VÄSTRA GÖTALANDS LÄN</t>
        </is>
      </c>
      <c r="G162" t="inlineStr">
        <is>
          <t>UDDEVALLA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46265</v>
      </c>
      <c r="F163" t="inlineStr">
        <is>
          <t>VÄSTRA GÖTALANDS LÄN</t>
        </is>
      </c>
      <c r="G163" t="inlineStr">
        <is>
          <t>UDDEVALLA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45455</v>
      </c>
      <c r="E164" s="1" t="n">
        <v>46265</v>
      </c>
      <c r="F164" t="inlineStr">
        <is>
          <t>VÄSTRA GÖTALANDS LÄN</t>
        </is>
      </c>
      <c r="G164" t="inlineStr">
        <is>
          <t>UDDEVALLA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44956</v>
      </c>
      <c r="E165" s="1" t="n">
        <v>46265</v>
      </c>
      <c r="F165" t="inlineStr">
        <is>
          <t>VÄSTRA GÖTALANDS LÄN</t>
        </is>
      </c>
      <c r="G165" t="inlineStr">
        <is>
          <t>UDDEVALLA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46265</v>
      </c>
      <c r="F166" t="inlineStr">
        <is>
          <t>VÄSTRA GÖTALANDS LÄN</t>
        </is>
      </c>
      <c r="G166" t="inlineStr">
        <is>
          <t>UDDEVALLA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38130-2025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45882</v>
      </c>
      <c r="E167" s="1" t="n">
        <v>46265</v>
      </c>
      <c r="F167" t="inlineStr">
        <is>
          <t>VÄSTRA GÖTALANDS LÄN</t>
        </is>
      </c>
      <c r="G167" t="inlineStr">
        <is>
          <t>UDDEVALLA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38133-2025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45882</v>
      </c>
      <c r="E168" s="1" t="n">
        <v>46265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45162</v>
      </c>
      <c r="E169" s="1" t="n">
        <v>46265</v>
      </c>
      <c r="F169" t="inlineStr">
        <is>
          <t>VÄSTRA GÖTALANDS LÄN</t>
        </is>
      </c>
      <c r="G169" t="inlineStr">
        <is>
          <t>UDDEVALLA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62365-2025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46007</v>
      </c>
      <c r="E170" s="1" t="n">
        <v>46265</v>
      </c>
      <c r="F170" t="inlineStr">
        <is>
          <t>VÄSTRA GÖTALANDS LÄN</t>
        </is>
      </c>
      <c r="G170" t="inlineStr">
        <is>
          <t>UDDEVALLA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46265</v>
      </c>
      <c r="F171" t="inlineStr">
        <is>
          <t>VÄSTRA GÖTALANDS LÄN</t>
        </is>
      </c>
      <c r="G171" t="inlineStr">
        <is>
          <t>UDDEVALLA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32531-2023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45121</v>
      </c>
      <c r="E172" s="1" t="n">
        <v>46265</v>
      </c>
      <c r="F172" t="inlineStr">
        <is>
          <t>VÄSTRA GÖTALANDS LÄN</t>
        </is>
      </c>
      <c r="G172" t="inlineStr">
        <is>
          <t>UDDEVALLA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45484</v>
      </c>
      <c r="E173" s="1" t="n">
        <v>46265</v>
      </c>
      <c r="F173" t="inlineStr">
        <is>
          <t>VÄSTRA GÖTALANDS LÄN</t>
        </is>
      </c>
      <c r="G173" t="inlineStr">
        <is>
          <t>UDDEVALLA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40571-2022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46265</v>
      </c>
      <c r="F174" t="inlineStr">
        <is>
          <t>VÄSTRA GÖTALANDS LÄN</t>
        </is>
      </c>
      <c r="G174" t="inlineStr">
        <is>
          <t>UDDEVALLA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46265</v>
      </c>
      <c r="F175" t="inlineStr">
        <is>
          <t>VÄSTRA GÖTALANDS LÄN</t>
        </is>
      </c>
      <c r="G175" t="inlineStr">
        <is>
          <t>UDDEVALLA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63878-2021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46265</v>
      </c>
      <c r="F176" t="inlineStr">
        <is>
          <t>VÄSTRA GÖTALANDS LÄN</t>
        </is>
      </c>
      <c r="G176" t="inlineStr">
        <is>
          <t>UDDEVALLA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46265</v>
      </c>
      <c r="F177" t="inlineStr">
        <is>
          <t>VÄSTRA GÖTALANDS LÄN</t>
        </is>
      </c>
      <c r="G177" t="inlineStr">
        <is>
          <t>UDDEVALLA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49780-2023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45212</v>
      </c>
      <c r="E178" s="1" t="n">
        <v>46265</v>
      </c>
      <c r="F178" t="inlineStr">
        <is>
          <t>VÄSTRA GÖTALANDS LÄN</t>
        </is>
      </c>
      <c r="G178" t="inlineStr">
        <is>
          <t>UDDEVALLA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18916-2025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45764</v>
      </c>
      <c r="E179" s="1" t="n">
        <v>46265</v>
      </c>
      <c r="F179" t="inlineStr">
        <is>
          <t>VÄSTRA GÖTALANDS LÄN</t>
        </is>
      </c>
      <c r="G179" t="inlineStr">
        <is>
          <t>UDDEVALLA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45071</v>
      </c>
      <c r="E180" s="1" t="n">
        <v>46265</v>
      </c>
      <c r="F180" t="inlineStr">
        <is>
          <t>VÄSTRA GÖTALANDS LÄN</t>
        </is>
      </c>
      <c r="G180" t="inlineStr">
        <is>
          <t>UDDEVALLA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45672</v>
      </c>
      <c r="E181" s="1" t="n">
        <v>46265</v>
      </c>
      <c r="F181" t="inlineStr">
        <is>
          <t>VÄSTRA GÖTALANDS LÄN</t>
        </is>
      </c>
      <c r="G181" t="inlineStr">
        <is>
          <t>UDDEVALLA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46026</v>
      </c>
      <c r="E182" s="1" t="n">
        <v>46265</v>
      </c>
      <c r="F182" t="inlineStr">
        <is>
          <t>VÄSTRA GÖTALANDS LÄN</t>
        </is>
      </c>
      <c r="G182" t="inlineStr">
        <is>
          <t>UDDEVALLA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46265</v>
      </c>
      <c r="F183" t="inlineStr">
        <is>
          <t>VÄSTRA GÖTALANDS LÄN</t>
        </is>
      </c>
      <c r="G183" t="inlineStr">
        <is>
          <t>UDDEVALLA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55416-2023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45238</v>
      </c>
      <c r="E184" s="1" t="n">
        <v>46265</v>
      </c>
      <c r="F184" t="inlineStr">
        <is>
          <t>VÄSTRA GÖTALANDS LÄN</t>
        </is>
      </c>
      <c r="G184" t="inlineStr">
        <is>
          <t>UDDEVALLA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46265</v>
      </c>
      <c r="F185" t="inlineStr">
        <is>
          <t>VÄSTRA GÖTALANDS LÄN</t>
        </is>
      </c>
      <c r="G185" t="inlineStr">
        <is>
          <t>UDDEVALLA</t>
        </is>
      </c>
      <c r="I185" t="n">
        <v>12.2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17058-2025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45754</v>
      </c>
      <c r="E186" s="1" t="n">
        <v>46265</v>
      </c>
      <c r="F186" t="inlineStr">
        <is>
          <t>VÄSTRA GÖTALANDS LÄN</t>
        </is>
      </c>
      <c r="G186" t="inlineStr">
        <is>
          <t>UDDEVALLA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45551</v>
      </c>
      <c r="E187" s="1" t="n">
        <v>46265</v>
      </c>
      <c r="F187" t="inlineStr">
        <is>
          <t>VÄSTRA GÖTALANDS LÄN</t>
        </is>
      </c>
      <c r="G187" t="inlineStr">
        <is>
          <t>UDDEVALLA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73437-2021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44551</v>
      </c>
      <c r="E188" s="1" t="n">
        <v>46265</v>
      </c>
      <c r="F188" t="inlineStr">
        <is>
          <t>VÄSTRA GÖTALANDS LÄN</t>
        </is>
      </c>
      <c r="G188" t="inlineStr">
        <is>
          <t>UDDEVALLA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46265</v>
      </c>
      <c r="F189" t="inlineStr">
        <is>
          <t>VÄSTRA GÖTALANDS LÄN</t>
        </is>
      </c>
      <c r="G189" t="inlineStr">
        <is>
          <t>UDDEVALLA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46265</v>
      </c>
      <c r="F190" t="inlineStr">
        <is>
          <t>VÄSTRA GÖTALANDS LÄN</t>
        </is>
      </c>
      <c r="G190" t="inlineStr">
        <is>
          <t>UDDEVALLA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46265</v>
      </c>
      <c r="F191" t="inlineStr">
        <is>
          <t>VÄSTRA GÖTALANDS LÄN</t>
        </is>
      </c>
      <c r="G191" t="inlineStr">
        <is>
          <t>UDDEVALLA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46265</v>
      </c>
      <c r="F192" t="inlineStr">
        <is>
          <t>VÄSTRA GÖTALANDS LÄN</t>
        </is>
      </c>
      <c r="G192" t="inlineStr">
        <is>
          <t>UDDEVALLA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46265</v>
      </c>
      <c r="F193" t="inlineStr">
        <is>
          <t>VÄSTRA GÖTALANDS LÄN</t>
        </is>
      </c>
      <c r="G193" t="inlineStr">
        <is>
          <t>UDDEVALLA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46265</v>
      </c>
      <c r="F194" t="inlineStr">
        <is>
          <t>VÄSTRA GÖTALANDS LÄN</t>
        </is>
      </c>
      <c r="G194" t="inlineStr">
        <is>
          <t>UDDEVALLA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46265</v>
      </c>
      <c r="F195" t="inlineStr">
        <is>
          <t>VÄSTRA GÖTALANDS LÄN</t>
        </is>
      </c>
      <c r="G195" t="inlineStr">
        <is>
          <t>UDDEVALLA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46265</v>
      </c>
      <c r="F196" t="inlineStr">
        <is>
          <t>VÄSTRA GÖTALANDS LÄN</t>
        </is>
      </c>
      <c r="G196" t="inlineStr">
        <is>
          <t>UDDEVALLA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45455</v>
      </c>
      <c r="E197" s="1" t="n">
        <v>46265</v>
      </c>
      <c r="F197" t="inlineStr">
        <is>
          <t>VÄSTRA GÖTALANDS LÄN</t>
        </is>
      </c>
      <c r="G197" t="inlineStr">
        <is>
          <t>UDDEVALLA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46265</v>
      </c>
      <c r="F198" t="inlineStr">
        <is>
          <t>VÄSTRA GÖTALANDS LÄN</t>
        </is>
      </c>
      <c r="G198" t="inlineStr">
        <is>
          <t>UDDEVALLA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46265</v>
      </c>
      <c r="F199" t="inlineStr">
        <is>
          <t>VÄSTRA GÖTALANDS LÄN</t>
        </is>
      </c>
      <c r="G199" t="inlineStr">
        <is>
          <t>UDDEVALLA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59474-2022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44900</v>
      </c>
      <c r="E200" s="1" t="n">
        <v>46265</v>
      </c>
      <c r="F200" t="inlineStr">
        <is>
          <t>VÄSTRA GÖTALANDS LÄN</t>
        </is>
      </c>
      <c r="G200" t="inlineStr">
        <is>
          <t>UDDEVALLA</t>
        </is>
      </c>
      <c r="H200" t="inlineStr">
        <is>
          <t>Kyrkan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63397-2021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44508</v>
      </c>
      <c r="E201" s="1" t="n">
        <v>46265</v>
      </c>
      <c r="F201" t="inlineStr">
        <is>
          <t>VÄSTRA GÖTALANDS LÄN</t>
        </is>
      </c>
      <c r="G201" t="inlineStr">
        <is>
          <t>UDDEVALLA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7770-2023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44973</v>
      </c>
      <c r="E202" s="1" t="n">
        <v>46265</v>
      </c>
      <c r="F202" t="inlineStr">
        <is>
          <t>VÄSTRA GÖTALANDS LÄN</t>
        </is>
      </c>
      <c r="G202" t="inlineStr">
        <is>
          <t>UDDEVALLA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69198-2021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44531</v>
      </c>
      <c r="E203" s="1" t="n">
        <v>46265</v>
      </c>
      <c r="F203" t="inlineStr">
        <is>
          <t>VÄSTRA GÖTALANDS LÄN</t>
        </is>
      </c>
      <c r="G203" t="inlineStr">
        <is>
          <t>UDDEVALLA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46265</v>
      </c>
      <c r="F204" t="inlineStr">
        <is>
          <t>VÄSTRA GÖTALANDS LÄN</t>
        </is>
      </c>
      <c r="G204" t="inlineStr">
        <is>
          <t>UDDEVALLA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7870-2026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46265</v>
      </c>
      <c r="F205" t="inlineStr">
        <is>
          <t>VÄSTRA GÖTALANDS LÄN</t>
        </is>
      </c>
      <c r="G205" t="inlineStr">
        <is>
          <t>UDDEVALLA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6887-2023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44967</v>
      </c>
      <c r="E206" s="1" t="n">
        <v>46265</v>
      </c>
      <c r="F206" t="inlineStr">
        <is>
          <t>VÄSTRA GÖTALANDS LÄN</t>
        </is>
      </c>
      <c r="G206" t="inlineStr">
        <is>
          <t>UDDEVALLA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36236-2023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45150</v>
      </c>
      <c r="E207" s="1" t="n">
        <v>46265</v>
      </c>
      <c r="F207" t="inlineStr">
        <is>
          <t>VÄSTRA GÖTALANDS LÄN</t>
        </is>
      </c>
      <c r="G207" t="inlineStr">
        <is>
          <t>UDDEVALLA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33761-2023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45133</v>
      </c>
      <c r="E208" s="1" t="n">
        <v>46265</v>
      </c>
      <c r="F208" t="inlineStr">
        <is>
          <t>VÄSTRA GÖTALANDS LÄN</t>
        </is>
      </c>
      <c r="G208" t="inlineStr">
        <is>
          <t>UDDEVALLA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27524-2023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45097</v>
      </c>
      <c r="E209" s="1" t="n">
        <v>46265</v>
      </c>
      <c r="F209" t="inlineStr">
        <is>
          <t>VÄSTRA GÖTALANDS LÄN</t>
        </is>
      </c>
      <c r="G209" t="inlineStr">
        <is>
          <t>UDDEVALLA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45475</v>
      </c>
      <c r="E210" s="1" t="n">
        <v>46265</v>
      </c>
      <c r="F210" t="inlineStr">
        <is>
          <t>VÄSTRA GÖTALANDS LÄN</t>
        </is>
      </c>
      <c r="G210" t="inlineStr">
        <is>
          <t>UDDEVALLA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13527-2024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45387</v>
      </c>
      <c r="E211" s="1" t="n">
        <v>46265</v>
      </c>
      <c r="F211" t="inlineStr">
        <is>
          <t>VÄSTRA GÖTALANDS LÄN</t>
        </is>
      </c>
      <c r="G211" t="inlineStr">
        <is>
          <t>UDDEVALLA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44572</v>
      </c>
      <c r="E212" s="1" t="n">
        <v>46265</v>
      </c>
      <c r="F212" t="inlineStr">
        <is>
          <t>VÄSTRA GÖTALANDS LÄN</t>
        </is>
      </c>
      <c r="G212" t="inlineStr">
        <is>
          <t>UDDEVALLA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46265</v>
      </c>
      <c r="F213" t="inlineStr">
        <is>
          <t>VÄSTRA GÖTALANDS LÄN</t>
        </is>
      </c>
      <c r="G213" t="inlineStr">
        <is>
          <t>UDDEVALLA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58958-2021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44489</v>
      </c>
      <c r="E214" s="1" t="n">
        <v>46265</v>
      </c>
      <c r="F214" t="inlineStr">
        <is>
          <t>VÄSTRA GÖTALANDS LÄN</t>
        </is>
      </c>
      <c r="G214" t="inlineStr">
        <is>
          <t>UDDEVALLA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46265</v>
      </c>
      <c r="F215" t="inlineStr">
        <is>
          <t>VÄSTRA GÖTALANDS LÄN</t>
        </is>
      </c>
      <c r="G215" t="inlineStr">
        <is>
          <t>UDDEVALLA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9574-2026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46071</v>
      </c>
      <c r="E216" s="1" t="n">
        <v>46265</v>
      </c>
      <c r="F216" t="inlineStr">
        <is>
          <t>VÄSTRA GÖTALANDS LÄN</t>
        </is>
      </c>
      <c r="G216" t="inlineStr">
        <is>
          <t>UDDEVALLA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46265</v>
      </c>
      <c r="F217" t="inlineStr">
        <is>
          <t>VÄSTRA GÖTALANDS LÄN</t>
        </is>
      </c>
      <c r="G217" t="inlineStr">
        <is>
          <t>UDDEVALLA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10436-2026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46076</v>
      </c>
      <c r="E218" s="1" t="n">
        <v>46265</v>
      </c>
      <c r="F218" t="inlineStr">
        <is>
          <t>VÄSTRA GÖTALANDS LÄN</t>
        </is>
      </c>
      <c r="G218" t="inlineStr">
        <is>
          <t>UDDEVALLA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45771</v>
      </c>
      <c r="E219" s="1" t="n">
        <v>46265</v>
      </c>
      <c r="F219" t="inlineStr">
        <is>
          <t>VÄSTRA GÖTALANDS LÄN</t>
        </is>
      </c>
      <c r="G219" t="inlineStr">
        <is>
          <t>UDDEVALLA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44981</v>
      </c>
      <c r="E220" s="1" t="n">
        <v>46265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Kyrkan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19980-2025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45771</v>
      </c>
      <c r="E221" s="1" t="n">
        <v>46265</v>
      </c>
      <c r="F221" t="inlineStr">
        <is>
          <t>VÄSTRA GÖTALANDS LÄN</t>
        </is>
      </c>
      <c r="G221" t="inlineStr">
        <is>
          <t>UDDEVALLA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46083</v>
      </c>
      <c r="E222" s="1" t="n">
        <v>46265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Kyrkan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52289-2025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45953</v>
      </c>
      <c r="E223" s="1" t="n">
        <v>46265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Kyrkan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46265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Kyrkan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46265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Kyrkan</t>
        </is>
      </c>
      <c r="I225" t="n">
        <v>16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46265</v>
      </c>
      <c r="F226" t="inlineStr">
        <is>
          <t>VÄSTRA GÖTALANDS LÄN</t>
        </is>
      </c>
      <c r="G226" t="inlineStr">
        <is>
          <t>UDDEVALLA</t>
        </is>
      </c>
      <c r="H226" t="inlineStr">
        <is>
          <t>Kyrkan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45400</v>
      </c>
      <c r="E227" s="1" t="n">
        <v>46265</v>
      </c>
      <c r="F227" t="inlineStr">
        <is>
          <t>VÄSTRA GÖTALANDS LÄN</t>
        </is>
      </c>
      <c r="G227" t="inlineStr">
        <is>
          <t>UDDEVALLA</t>
        </is>
      </c>
      <c r="H227" t="inlineStr">
        <is>
          <t>Kyrkan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46265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Kyrkan</t>
        </is>
      </c>
      <c r="I228" t="n">
        <v>8.300000000000001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45349</v>
      </c>
      <c r="E229" s="1" t="n">
        <v>46265</v>
      </c>
      <c r="F229" t="inlineStr">
        <is>
          <t>VÄSTRA GÖTALANDS LÄN</t>
        </is>
      </c>
      <c r="G229" t="inlineStr">
        <is>
          <t>UDDEVALLA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44582</v>
      </c>
      <c r="E230" s="1" t="n">
        <v>46265</v>
      </c>
      <c r="F230" t="inlineStr">
        <is>
          <t>VÄSTRA GÖTALANDS LÄN</t>
        </is>
      </c>
      <c r="G230" t="inlineStr">
        <is>
          <t>UDDEVALLA</t>
        </is>
      </c>
      <c r="H230" t="inlineStr">
        <is>
          <t>Kyrkan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45575</v>
      </c>
      <c r="E231" s="1" t="n">
        <v>46265</v>
      </c>
      <c r="F231" t="inlineStr">
        <is>
          <t>VÄSTRA GÖTALANDS LÄN</t>
        </is>
      </c>
      <c r="G231" t="inlineStr">
        <is>
          <t>UDDEVALLA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2306-2022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44578</v>
      </c>
      <c r="E232" s="1" t="n">
        <v>46265</v>
      </c>
      <c r="F232" t="inlineStr">
        <is>
          <t>VÄSTRA GÖTALANDS LÄN</t>
        </is>
      </c>
      <c r="G232" t="inlineStr">
        <is>
          <t>UDDEVALLA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40027-2024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45553</v>
      </c>
      <c r="E233" s="1" t="n">
        <v>46265</v>
      </c>
      <c r="F233" t="inlineStr">
        <is>
          <t>VÄSTRA GÖTALANDS LÄN</t>
        </is>
      </c>
      <c r="G233" t="inlineStr">
        <is>
          <t>UDDEVALLA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45540</v>
      </c>
      <c r="E234" s="1" t="n">
        <v>46265</v>
      </c>
      <c r="F234" t="inlineStr">
        <is>
          <t>VÄSTRA GÖTALANDS LÄN</t>
        </is>
      </c>
      <c r="G234" t="inlineStr">
        <is>
          <t>UDDEVALLA</t>
        </is>
      </c>
      <c r="H234" t="inlineStr">
        <is>
          <t>Kyrkan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12555-2026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46090</v>
      </c>
      <c r="E235" s="1" t="n">
        <v>46265</v>
      </c>
      <c r="F235" t="inlineStr">
        <is>
          <t>VÄSTRA GÖTALANDS LÄN</t>
        </is>
      </c>
      <c r="G235" t="inlineStr">
        <is>
          <t>UDDEVALLA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46090</v>
      </c>
      <c r="E236" s="1" t="n">
        <v>46265</v>
      </c>
      <c r="F236" t="inlineStr">
        <is>
          <t>VÄSTRA GÖTALANDS LÄN</t>
        </is>
      </c>
      <c r="G236" t="inlineStr">
        <is>
          <t>UDDEVALLA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6875-2022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44602</v>
      </c>
      <c r="E237" s="1" t="n">
        <v>46265</v>
      </c>
      <c r="F237" t="inlineStr">
        <is>
          <t>VÄSTRA GÖTALANDS LÄN</t>
        </is>
      </c>
      <c r="G237" t="inlineStr">
        <is>
          <t>UDDEVALLA</t>
        </is>
      </c>
      <c r="I237" t="n">
        <v>9.6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15674-2026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46106</v>
      </c>
      <c r="E238" s="1" t="n">
        <v>46265</v>
      </c>
      <c r="F238" t="inlineStr">
        <is>
          <t>VÄSTRA GÖTALANDS LÄN</t>
        </is>
      </c>
      <c r="G238" t="inlineStr">
        <is>
          <t>UDDEVALLA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14604-2022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44655</v>
      </c>
      <c r="E239" s="1" t="n">
        <v>46265</v>
      </c>
      <c r="F239" t="inlineStr">
        <is>
          <t>VÄSTRA GÖTALANDS LÄN</t>
        </is>
      </c>
      <c r="G239" t="inlineStr">
        <is>
          <t>UDDEVALLA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16819-2026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46113</v>
      </c>
      <c r="E240" s="1" t="n">
        <v>46265</v>
      </c>
      <c r="F240" t="inlineStr">
        <is>
          <t>VÄSTRA GÖTALANDS LÄN</t>
        </is>
      </c>
      <c r="G240" t="inlineStr">
        <is>
          <t>UDDEVALLA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24081-2024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45456</v>
      </c>
      <c r="E241" s="1" t="n">
        <v>46265</v>
      </c>
      <c r="F241" t="inlineStr">
        <is>
          <t>VÄSTRA GÖTALANDS LÄN</t>
        </is>
      </c>
      <c r="G241" t="inlineStr">
        <is>
          <t>UDDEVALLA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46265</v>
      </c>
      <c r="F242" t="inlineStr">
        <is>
          <t>VÄSTRA GÖTALANDS LÄN</t>
        </is>
      </c>
      <c r="G242" t="inlineStr">
        <is>
          <t>UDDEVALLA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17244-2026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46119</v>
      </c>
      <c r="E243" s="1" t="n">
        <v>46265</v>
      </c>
      <c r="F243" t="inlineStr">
        <is>
          <t>VÄSTRA GÖTALANDS LÄN</t>
        </is>
      </c>
      <c r="G243" t="inlineStr">
        <is>
          <t>UDDEVALLA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45664</v>
      </c>
      <c r="E244" s="1" t="n">
        <v>46265</v>
      </c>
      <c r="F244" t="inlineStr">
        <is>
          <t>VÄSTRA GÖTALANDS LÄN</t>
        </is>
      </c>
      <c r="G244" t="inlineStr">
        <is>
          <t>UDDEVALLA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46120</v>
      </c>
      <c r="E245" s="1" t="n">
        <v>46265</v>
      </c>
      <c r="F245" t="inlineStr">
        <is>
          <t>VÄSTRA GÖTALANDS LÄN</t>
        </is>
      </c>
      <c r="G245" t="inlineStr">
        <is>
          <t>UDDEVALLA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46265</v>
      </c>
      <c r="F246" t="inlineStr">
        <is>
          <t>VÄSTRA GÖTALANDS LÄN</t>
        </is>
      </c>
      <c r="G246" t="inlineStr">
        <is>
          <t>UDDEVALLA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46125</v>
      </c>
      <c r="E247" s="1" t="n">
        <v>46265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18207-2026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46265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46265</v>
      </c>
      <c r="F249" t="inlineStr">
        <is>
          <t>VÄSTRA GÖTALANDS LÄN</t>
        </is>
      </c>
      <c r="G249" t="inlineStr">
        <is>
          <t>UDDEVALLA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18767-2026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46128</v>
      </c>
      <c r="E250" s="1" t="n">
        <v>46265</v>
      </c>
      <c r="F250" t="inlineStr">
        <is>
          <t>VÄSTRA GÖTALANDS LÄN</t>
        </is>
      </c>
      <c r="G250" t="inlineStr">
        <is>
          <t>UDDEVALLA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45127</v>
      </c>
      <c r="E251" s="1" t="n">
        <v>46265</v>
      </c>
      <c r="F251" t="inlineStr">
        <is>
          <t>VÄSTRA GÖTALANDS LÄN</t>
        </is>
      </c>
      <c r="G251" t="inlineStr">
        <is>
          <t>UDDEVALLA</t>
        </is>
      </c>
      <c r="I251" t="n">
        <v>6.1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43271-2023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45183</v>
      </c>
      <c r="E252" s="1" t="n">
        <v>46265</v>
      </c>
      <c r="F252" t="inlineStr">
        <is>
          <t>VÄSTRA GÖTALANDS LÄN</t>
        </is>
      </c>
      <c r="G252" t="inlineStr">
        <is>
          <t>UDDEVALLA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44133-2024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45572</v>
      </c>
      <c r="E253" s="1" t="n">
        <v>46265</v>
      </c>
      <c r="F253" t="inlineStr">
        <is>
          <t>VÄSTRA GÖTALANDS LÄN</t>
        </is>
      </c>
      <c r="G253" t="inlineStr">
        <is>
          <t>UDDEVALLA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17824-2025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46265</v>
      </c>
      <c r="F254" t="inlineStr">
        <is>
          <t>VÄSTRA GÖTALANDS LÄN</t>
        </is>
      </c>
      <c r="G254" t="inlineStr">
        <is>
          <t>UDDEVALLA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45631</v>
      </c>
      <c r="E255" s="1" t="n">
        <v>46265</v>
      </c>
      <c r="F255" t="inlineStr">
        <is>
          <t>VÄSTRA GÖTALANDS LÄN</t>
        </is>
      </c>
      <c r="G255" t="inlineStr">
        <is>
          <t>UDDEVALLA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1147-2024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45302</v>
      </c>
      <c r="E256" s="1" t="n">
        <v>46265</v>
      </c>
      <c r="F256" t="inlineStr">
        <is>
          <t>VÄSTRA GÖTALANDS LÄN</t>
        </is>
      </c>
      <c r="G256" t="inlineStr">
        <is>
          <t>UDDEVALLA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44733</v>
      </c>
      <c r="E257" s="1" t="n">
        <v>46265</v>
      </c>
      <c r="F257" t="inlineStr">
        <is>
          <t>VÄSTRA GÖTALANDS LÄN</t>
        </is>
      </c>
      <c r="G257" t="inlineStr">
        <is>
          <t>UDDEVALLA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22923-2022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44715</v>
      </c>
      <c r="E258" s="1" t="n">
        <v>46265</v>
      </c>
      <c r="F258" t="inlineStr">
        <is>
          <t>VÄSTRA GÖTALANDS LÄN</t>
        </is>
      </c>
      <c r="G258" t="inlineStr">
        <is>
          <t>UDDEVALLA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55731-2023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45239</v>
      </c>
      <c r="E259" s="1" t="n">
        <v>46265</v>
      </c>
      <c r="F259" t="inlineStr">
        <is>
          <t>VÄSTRA GÖTALANDS LÄN</t>
        </is>
      </c>
      <c r="G259" t="inlineStr">
        <is>
          <t>UDDEVALLA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39991-2022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44820</v>
      </c>
      <c r="E260" s="1" t="n">
        <v>46265</v>
      </c>
      <c r="F260" t="inlineStr">
        <is>
          <t>VÄSTRA GÖTALANDS LÄN</t>
        </is>
      </c>
      <c r="G260" t="inlineStr">
        <is>
          <t>UDDEVALLA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39088-2022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46265</v>
      </c>
      <c r="F261" t="inlineStr">
        <is>
          <t>VÄSTRA GÖTALANDS LÄN</t>
        </is>
      </c>
      <c r="G261" t="inlineStr">
        <is>
          <t>UDDEVALLA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45889</v>
      </c>
      <c r="E262" s="1" t="n">
        <v>46265</v>
      </c>
      <c r="F262" t="inlineStr">
        <is>
          <t>VÄSTRA GÖTALANDS LÄN</t>
        </is>
      </c>
      <c r="G262" t="inlineStr">
        <is>
          <t>UDDEVALLA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62041-2024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45656</v>
      </c>
      <c r="E263" s="1" t="n">
        <v>46265</v>
      </c>
      <c r="F263" t="inlineStr">
        <is>
          <t>VÄSTRA GÖTALANDS LÄN</t>
        </is>
      </c>
      <c r="G263" t="inlineStr">
        <is>
          <t>UDDEVALLA</t>
        </is>
      </c>
      <c r="H263" t="inlineStr">
        <is>
          <t>Kommuner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45907</v>
      </c>
      <c r="E264" s="1" t="n">
        <v>46265</v>
      </c>
      <c r="F264" t="inlineStr">
        <is>
          <t>VÄSTRA GÖTALANDS LÄN</t>
        </is>
      </c>
      <c r="G264" t="inlineStr">
        <is>
          <t>UDDEVALLA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45314</v>
      </c>
      <c r="E265" s="1" t="n">
        <v>46265</v>
      </c>
      <c r="F265" t="inlineStr">
        <is>
          <t>VÄSTRA GÖTALANDS LÄN</t>
        </is>
      </c>
      <c r="G265" t="inlineStr">
        <is>
          <t>UDDEVALLA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46265</v>
      </c>
      <c r="F266" t="inlineStr">
        <is>
          <t>VÄSTRA GÖTALANDS LÄN</t>
        </is>
      </c>
      <c r="G266" t="inlineStr">
        <is>
          <t>UDDEVALLA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45257</v>
      </c>
      <c r="E267" s="1" t="n">
        <v>46265</v>
      </c>
      <c r="F267" t="inlineStr">
        <is>
          <t>VÄSTRA GÖTALANDS LÄN</t>
        </is>
      </c>
      <c r="G267" t="inlineStr">
        <is>
          <t>UDDEVALLA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45365</v>
      </c>
      <c r="E268" s="1" t="n">
        <v>46265</v>
      </c>
      <c r="F268" t="inlineStr">
        <is>
          <t>VÄSTRA GÖTALANDS LÄN</t>
        </is>
      </c>
      <c r="G268" t="inlineStr">
        <is>
          <t>UDDEVALLA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45901</v>
      </c>
      <c r="E269" s="1" t="n">
        <v>46265</v>
      </c>
      <c r="F269" t="inlineStr">
        <is>
          <t>VÄSTRA GÖTALANDS LÄN</t>
        </is>
      </c>
      <c r="G269" t="inlineStr">
        <is>
          <t>UDDEVALLA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45919</v>
      </c>
      <c r="E270" s="1" t="n">
        <v>46265</v>
      </c>
      <c r="F270" t="inlineStr">
        <is>
          <t>VÄSTRA GÖTALANDS LÄN</t>
        </is>
      </c>
      <c r="G270" t="inlineStr">
        <is>
          <t>UDDEVALLA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46265</v>
      </c>
      <c r="F271" t="inlineStr">
        <is>
          <t>VÄSTRA GÖTALANDS LÄN</t>
        </is>
      </c>
      <c r="G271" t="inlineStr">
        <is>
          <t>UDDEVALLA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20401-2026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46139</v>
      </c>
      <c r="E272" s="1" t="n">
        <v>46265</v>
      </c>
      <c r="F272" t="inlineStr">
        <is>
          <t>VÄSTRA GÖTALANDS LÄN</t>
        </is>
      </c>
      <c r="G272" t="inlineStr">
        <is>
          <t>UDDEVALLA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64083-2023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45279</v>
      </c>
      <c r="E273" s="1" t="n">
        <v>46265</v>
      </c>
      <c r="F273" t="inlineStr">
        <is>
          <t>VÄSTRA GÖTALANDS LÄN</t>
        </is>
      </c>
      <c r="G273" t="inlineStr">
        <is>
          <t>UDDEVALLA</t>
        </is>
      </c>
      <c r="I273" t="n">
        <v>8.6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46899-2024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45583</v>
      </c>
      <c r="E274" s="1" t="n">
        <v>46265</v>
      </c>
      <c r="F274" t="inlineStr">
        <is>
          <t>VÄSTRA GÖTALANDS LÄN</t>
        </is>
      </c>
      <c r="G274" t="inlineStr">
        <is>
          <t>UDDEVALLA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9797-2023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44984</v>
      </c>
      <c r="E275" s="1" t="n">
        <v>46265</v>
      </c>
      <c r="F275" t="inlineStr">
        <is>
          <t>VÄSTRA GÖTALANDS LÄN</t>
        </is>
      </c>
      <c r="G275" t="inlineStr">
        <is>
          <t>UDDEVALLA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17964-2022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44683</v>
      </c>
      <c r="E276" s="1" t="n">
        <v>46265</v>
      </c>
      <c r="F276" t="inlineStr">
        <is>
          <t>VÄSTRA GÖTALANDS LÄN</t>
        </is>
      </c>
      <c r="G276" t="inlineStr">
        <is>
          <t>UDDEVALLA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45093</v>
      </c>
      <c r="E277" s="1" t="n">
        <v>46265</v>
      </c>
      <c r="F277" t="inlineStr">
        <is>
          <t>VÄSTRA GÖTALANDS LÄN</t>
        </is>
      </c>
      <c r="G277" t="inlineStr">
        <is>
          <t>UDDEVALLA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70491-2021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44536</v>
      </c>
      <c r="E278" s="1" t="n">
        <v>46265</v>
      </c>
      <c r="F278" t="inlineStr">
        <is>
          <t>VÄSTRA GÖTALANDS LÄN</t>
        </is>
      </c>
      <c r="G278" t="inlineStr">
        <is>
          <t>UDDEVALLA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34792-2023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46265</v>
      </c>
      <c r="F279" t="inlineStr">
        <is>
          <t>VÄSTRA GÖTALANDS LÄN</t>
        </is>
      </c>
      <c r="G279" t="inlineStr">
        <is>
          <t>UDDEVALLA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46265</v>
      </c>
      <c r="F280" t="inlineStr">
        <is>
          <t>VÄSTRA GÖTALANDS LÄN</t>
        </is>
      </c>
      <c r="G280" t="inlineStr">
        <is>
          <t>UDDEVALLA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45553</v>
      </c>
      <c r="E281" s="1" t="n">
        <v>46265</v>
      </c>
      <c r="F281" t="inlineStr">
        <is>
          <t>VÄSTRA GÖTALANDS LÄN</t>
        </is>
      </c>
      <c r="G281" t="inlineStr">
        <is>
          <t>UDDEVALLA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44959</v>
      </c>
      <c r="E282" s="1" t="n">
        <v>46265</v>
      </c>
      <c r="F282" t="inlineStr">
        <is>
          <t>VÄSTRA GÖTALANDS LÄN</t>
        </is>
      </c>
      <c r="G282" t="inlineStr">
        <is>
          <t>UDDEVALLA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16205-2023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45028</v>
      </c>
      <c r="E283" s="1" t="n">
        <v>46265</v>
      </c>
      <c r="F283" t="inlineStr">
        <is>
          <t>VÄSTRA GÖTALANDS LÄN</t>
        </is>
      </c>
      <c r="G283" t="inlineStr">
        <is>
          <t>UDDEVALLA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55254-2023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45237</v>
      </c>
      <c r="E284" s="1" t="n">
        <v>46265</v>
      </c>
      <c r="F284" t="inlineStr">
        <is>
          <t>VÄSTRA GÖTALANDS LÄN</t>
        </is>
      </c>
      <c r="G284" t="inlineStr">
        <is>
          <t>UDDEVALLA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25519-2023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45089</v>
      </c>
      <c r="E285" s="1" t="n">
        <v>46265</v>
      </c>
      <c r="F285" t="inlineStr">
        <is>
          <t>VÄSTRA GÖTALANDS LÄN</t>
        </is>
      </c>
      <c r="G285" t="inlineStr">
        <is>
          <t>UDDEVALLA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46265</v>
      </c>
      <c r="F286" t="inlineStr">
        <is>
          <t>VÄSTRA GÖTALANDS LÄN</t>
        </is>
      </c>
      <c r="G286" t="inlineStr">
        <is>
          <t>UDDEVALLA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52905-2023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45226</v>
      </c>
      <c r="E287" s="1" t="n">
        <v>46265</v>
      </c>
      <c r="F287" t="inlineStr">
        <is>
          <t>VÄSTRA GÖTALANDS LÄN</t>
        </is>
      </c>
      <c r="G287" t="inlineStr">
        <is>
          <t>UDDEVALLA</t>
        </is>
      </c>
      <c r="I287" t="n">
        <v>5.8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8893-2024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45355</v>
      </c>
      <c r="E288" s="1" t="n">
        <v>46265</v>
      </c>
      <c r="F288" t="inlineStr">
        <is>
          <t>VÄSTRA GÖTALANDS LÄN</t>
        </is>
      </c>
      <c r="G288" t="inlineStr">
        <is>
          <t>UDDEVALLA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40121-2024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45554</v>
      </c>
      <c r="E289" s="1" t="n">
        <v>46265</v>
      </c>
      <c r="F289" t="inlineStr">
        <is>
          <t>VÄSTRA GÖTALANDS LÄN</t>
        </is>
      </c>
      <c r="G289" t="inlineStr">
        <is>
          <t>UDDEVALLA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46141</v>
      </c>
      <c r="E290" s="1" t="n">
        <v>46265</v>
      </c>
      <c r="F290" t="inlineStr">
        <is>
          <t>VÄSTRA GÖTALANDS LÄN</t>
        </is>
      </c>
      <c r="G290" t="inlineStr">
        <is>
          <t>UDDEVALLA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45167</v>
      </c>
      <c r="E291" s="1" t="n">
        <v>46265</v>
      </c>
      <c r="F291" t="inlineStr">
        <is>
          <t>VÄSTRA GÖTALANDS LÄN</t>
        </is>
      </c>
      <c r="G291" t="inlineStr">
        <is>
          <t>UDDEVALLA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45667</v>
      </c>
      <c r="E292" s="1" t="n">
        <v>46265</v>
      </c>
      <c r="F292" t="inlineStr">
        <is>
          <t>VÄSTRA GÖTALANDS LÄN</t>
        </is>
      </c>
      <c r="G292" t="inlineStr">
        <is>
          <t>UDDEVALLA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46265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48132-2023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45205</v>
      </c>
      <c r="E294" s="1" t="n">
        <v>46265</v>
      </c>
      <c r="F294" t="inlineStr">
        <is>
          <t>VÄSTRA GÖTALANDS LÄN</t>
        </is>
      </c>
      <c r="G294" t="inlineStr">
        <is>
          <t>UDDEVALLA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45902-2024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45580</v>
      </c>
      <c r="E295" s="1" t="n">
        <v>46265</v>
      </c>
      <c r="F295" t="inlineStr">
        <is>
          <t>VÄSTRA GÖTALANDS LÄN</t>
        </is>
      </c>
      <c r="G295" t="inlineStr">
        <is>
          <t>UDDEVALLA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46265</v>
      </c>
      <c r="F296" t="inlineStr">
        <is>
          <t>VÄSTRA GÖTALANDS LÄN</t>
        </is>
      </c>
      <c r="G296" t="inlineStr">
        <is>
          <t>UDDEVALLA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45076</v>
      </c>
      <c r="E297" s="1" t="n">
        <v>46265</v>
      </c>
      <c r="F297" t="inlineStr">
        <is>
          <t>VÄSTRA GÖTALANDS LÄN</t>
        </is>
      </c>
      <c r="G297" t="inlineStr">
        <is>
          <t>UDDEVALLA</t>
        </is>
      </c>
      <c r="I297" t="n">
        <v>12.2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73007-2021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44550</v>
      </c>
      <c r="E298" s="1" t="n">
        <v>46265</v>
      </c>
      <c r="F298" t="inlineStr">
        <is>
          <t>VÄSTRA GÖTALANDS LÄN</t>
        </is>
      </c>
      <c r="G298" t="inlineStr">
        <is>
          <t>UDDEVALLA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21390-2026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46147</v>
      </c>
      <c r="E299" s="1" t="n">
        <v>46265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Kommuner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46148</v>
      </c>
      <c r="E300" s="1" t="n">
        <v>46265</v>
      </c>
      <c r="F300" t="inlineStr">
        <is>
          <t>VÄSTRA GÖTALANDS LÄN</t>
        </is>
      </c>
      <c r="G300" t="inlineStr">
        <is>
          <t>UDDEVALLA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45568</v>
      </c>
      <c r="E301" s="1" t="n">
        <v>46265</v>
      </c>
      <c r="F301" t="inlineStr">
        <is>
          <t>VÄSTRA GÖTALANDS LÄN</t>
        </is>
      </c>
      <c r="G301" t="inlineStr">
        <is>
          <t>UDDEVALLA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58625-2024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45635</v>
      </c>
      <c r="E302" s="1" t="n">
        <v>46265</v>
      </c>
      <c r="F302" t="inlineStr">
        <is>
          <t>VÄSTRA GÖTALANDS LÄN</t>
        </is>
      </c>
      <c r="G302" t="inlineStr">
        <is>
          <t>UDDEVALLA</t>
        </is>
      </c>
      <c r="I302" t="n">
        <v>14.9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44924</v>
      </c>
      <c r="E303" s="1" t="n">
        <v>46265</v>
      </c>
      <c r="F303" t="inlineStr">
        <is>
          <t>VÄSTRA GÖTALANDS LÄN</t>
        </is>
      </c>
      <c r="G303" t="inlineStr">
        <is>
          <t>UDDEVALLA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45684</v>
      </c>
      <c r="E304" s="1" t="n">
        <v>46265</v>
      </c>
      <c r="F304" t="inlineStr">
        <is>
          <t>VÄSTRA GÖTALANDS LÄN</t>
        </is>
      </c>
      <c r="G304" t="inlineStr">
        <is>
          <t>UDDEVALLA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44325-2023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45188</v>
      </c>
      <c r="E305" s="1" t="n">
        <v>46265</v>
      </c>
      <c r="F305" t="inlineStr">
        <is>
          <t>VÄSTRA GÖTALANDS LÄN</t>
        </is>
      </c>
      <c r="G305" t="inlineStr">
        <is>
          <t>UDDEVALLA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59139-2023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45251</v>
      </c>
      <c r="E306" s="1" t="n">
        <v>46265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Kyrkan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49718-2024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45596</v>
      </c>
      <c r="E307" s="1" t="n">
        <v>46265</v>
      </c>
      <c r="F307" t="inlineStr">
        <is>
          <t>VÄSTRA GÖTALANDS LÄN</t>
        </is>
      </c>
      <c r="G307" t="inlineStr">
        <is>
          <t>UDDEVALLA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18811-2024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45426</v>
      </c>
      <c r="E308" s="1" t="n">
        <v>46265</v>
      </c>
      <c r="F308" t="inlineStr">
        <is>
          <t>VÄSTRA GÖTALANDS LÄN</t>
        </is>
      </c>
      <c r="G308" t="inlineStr">
        <is>
          <t>UDDEVALLA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19981-2025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46265</v>
      </c>
      <c r="F309" t="inlineStr">
        <is>
          <t>VÄSTRA GÖTALANDS LÄN</t>
        </is>
      </c>
      <c r="G309" t="inlineStr">
        <is>
          <t>UDDEVALLA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50023-2023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45215</v>
      </c>
      <c r="E310" s="1" t="n">
        <v>46265</v>
      </c>
      <c r="F310" t="inlineStr">
        <is>
          <t>VÄSTRA GÖTALANDS LÄN</t>
        </is>
      </c>
      <c r="G310" t="inlineStr">
        <is>
          <t>UDDEVALLA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45309</v>
      </c>
      <c r="E311" s="1" t="n">
        <v>46265</v>
      </c>
      <c r="F311" t="inlineStr">
        <is>
          <t>VÄSTRA GÖTALANDS LÄN</t>
        </is>
      </c>
      <c r="G311" t="inlineStr">
        <is>
          <t>UDDEVALLA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46265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Övriga statliga verk och myndigheter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46265</v>
      </c>
      <c r="F313" t="inlineStr">
        <is>
          <t>VÄSTRA GÖTALANDS LÄN</t>
        </is>
      </c>
      <c r="G313" t="inlineStr">
        <is>
          <t>UDDEVALLA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46265</v>
      </c>
      <c r="F314" t="inlineStr">
        <is>
          <t>VÄSTRA GÖTALANDS LÄN</t>
        </is>
      </c>
      <c r="G314" t="inlineStr">
        <is>
          <t>UDDEVALLA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30639-2024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45495</v>
      </c>
      <c r="E315" s="1" t="n">
        <v>46265</v>
      </c>
      <c r="F315" t="inlineStr">
        <is>
          <t>VÄSTRA GÖTALANDS LÄN</t>
        </is>
      </c>
      <c r="G315" t="inlineStr">
        <is>
          <t>UDDEVALLA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46265</v>
      </c>
      <c r="F316" t="inlineStr">
        <is>
          <t>VÄSTRA GÖTALANDS LÄN</t>
        </is>
      </c>
      <c r="G316" t="inlineStr">
        <is>
          <t>UDDEVALLA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25061-2026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46265</v>
      </c>
      <c r="F317" t="inlineStr">
        <is>
          <t>VÄSTRA GÖTALANDS LÄN</t>
        </is>
      </c>
      <c r="G317" t="inlineStr">
        <is>
          <t>UDDEVALLA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46177</v>
      </c>
      <c r="E318" s="1" t="n">
        <v>46265</v>
      </c>
      <c r="F318" t="inlineStr">
        <is>
          <t>VÄSTRA GÖTALANDS LÄN</t>
        </is>
      </c>
      <c r="G318" t="inlineStr">
        <is>
          <t>UDDEVALLA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25611-2026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46177</v>
      </c>
      <c r="E319" s="1" t="n">
        <v>46265</v>
      </c>
      <c r="F319" t="inlineStr">
        <is>
          <t>VÄSTRA GÖTALANDS LÄN</t>
        </is>
      </c>
      <c r="G319" t="inlineStr">
        <is>
          <t>UDDEVALLA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46177</v>
      </c>
      <c r="E320" s="1" t="n">
        <v>46265</v>
      </c>
      <c r="F320" t="inlineStr">
        <is>
          <t>VÄSTRA GÖTALANDS LÄN</t>
        </is>
      </c>
      <c r="G320" t="inlineStr">
        <is>
          <t>UDDEVALLA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25792-2026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46178</v>
      </c>
      <c r="E321" s="1" t="n">
        <v>46265</v>
      </c>
      <c r="F321" t="inlineStr">
        <is>
          <t>VÄSTRA GÖTALANDS LÄN</t>
        </is>
      </c>
      <c r="G321" t="inlineStr">
        <is>
          <t>UDDEVALLA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46222</v>
      </c>
      <c r="E322" s="1" t="n">
        <v>46265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Kommuner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25993-2026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46181</v>
      </c>
      <c r="E323" s="1" t="n">
        <v>46265</v>
      </c>
      <c r="F323" t="inlineStr">
        <is>
          <t>VÄSTRA GÖTALANDS LÄN</t>
        </is>
      </c>
      <c r="G323" t="inlineStr">
        <is>
          <t>UDDEVALLA</t>
        </is>
      </c>
      <c r="H323" t="inlineStr">
        <is>
          <t>Kommuner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30203-2026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46265</v>
      </c>
      <c r="F324" t="inlineStr">
        <is>
          <t>VÄSTRA GÖTALANDS LÄN</t>
        </is>
      </c>
      <c r="G324" t="inlineStr">
        <is>
          <t>UDDEVALLA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33865-2026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46251</v>
      </c>
      <c r="E325" s="1" t="n">
        <v>46265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46265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Kommuner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46210</v>
      </c>
      <c r="E327" s="1" t="n">
        <v>46265</v>
      </c>
      <c r="F327" t="inlineStr">
        <is>
          <t>VÄSTRA GÖTALANDS LÄN</t>
        </is>
      </c>
      <c r="G327" t="inlineStr">
        <is>
          <t>UDDEVALLA</t>
        </is>
      </c>
      <c r="H327" t="inlineStr">
        <is>
          <t>Kommuner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46211</v>
      </c>
      <c r="E328" s="1" t="n">
        <v>46265</v>
      </c>
      <c r="F328" t="inlineStr">
        <is>
          <t>VÄSTRA GÖTALANDS LÄN</t>
        </is>
      </c>
      <c r="G328" t="inlineStr">
        <is>
          <t>UDDEVALLA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46265</v>
      </c>
      <c r="F329" t="inlineStr">
        <is>
          <t>VÄSTRA GÖTALANDS LÄN</t>
        </is>
      </c>
      <c r="G329" t="inlineStr">
        <is>
          <t>UDDEVALLA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30815-2026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46212</v>
      </c>
      <c r="E330" s="1" t="n">
        <v>46265</v>
      </c>
      <c r="F330" t="inlineStr">
        <is>
          <t>VÄSTRA GÖTALANDS LÄN</t>
        </is>
      </c>
      <c r="G330" t="inlineStr">
        <is>
          <t>UDDEVALLA</t>
        </is>
      </c>
      <c r="H330" t="inlineStr">
        <is>
          <t>Kyrkan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46265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46265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46265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46265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2026-08-31T09:56:18Z</dcterms:created>
  <dcterms:modified xmlns:dcterms="http://purl.org/dc/terms/" xmlns:xsi="http://www.w3.org/2001/XMLSchema-instance" xsi:type="dcterms:W3CDTF">2026-08-31T09:56:18Z</dcterms:modified>
</cp:coreProperties>
</file>