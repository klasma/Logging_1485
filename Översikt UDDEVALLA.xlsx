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46321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46321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7</v>
      </c>
      <c r="U7" t="n">
        <v>6</v>
      </c>
      <c r="V7" s="2" t="inlineStr">
        <is>
          <t>Gräddporing
Ladusvala
Rynkskinn
Rödvingetrast
Älg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46321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46321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46321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42521-2026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46308</v>
      </c>
      <c r="E11" s="1" t="n">
        <v>46321</v>
      </c>
      <c r="F11" t="inlineStr">
        <is>
          <t>VÄSTRA GÖTALANDS LÄN</t>
        </is>
      </c>
      <c r="G11" t="inlineStr">
        <is>
          <t>UDDEVALLA</t>
        </is>
      </c>
      <c r="I11" t="n">
        <v>3.9</v>
      </c>
      <c r="J11" t="n">
        <v>1</v>
      </c>
      <c r="K11" t="n">
        <v>2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Gullpudra
Kambräken
Skogsbräsma
Blåsippa</t>
        </is>
      </c>
      <c r="W11">
        <f>HYPERLINK("https://klasma.github.io/Logging_1485/artfynd/A 42521-2026 artfynd.xlsx", "A 42521-2026")</f>
        <v/>
      </c>
      <c r="X11">
        <f>HYPERLINK("https://klasma.github.io/Logging_1485/kartor/A 42521-2026 karta.png", "A 42521-2026")</f>
        <v/>
      </c>
      <c r="Y11">
        <f>HYPERLINK("https://klasma.github.io/Logging_1485/kartor_geotiff/A 42521-2026 georefererad karta.tif", "A 42521-2026")</f>
        <v/>
      </c>
      <c r="AA11">
        <f>HYPERLINK("https://klasma.github.io/Logging_1485/klagomål/A 42521-2026 FSC-klagomål.docx", "A 42521-2026")</f>
        <v/>
      </c>
      <c r="AB11">
        <f>HYPERLINK("https://klasma.github.io/Logging_1485/klagomålsmail/A 42521-2026 FSC-klagomål mail.docx", "A 42521-2026")</f>
        <v/>
      </c>
      <c r="AC11">
        <f>HYPERLINK("https://klasma.github.io/Logging_1485/tillsyn/A 42521-2026 tillsynsbegäran.docx", "A 42521-2026")</f>
        <v/>
      </c>
      <c r="AD11">
        <f>HYPERLINK("https://klasma.github.io/Logging_1485/tillsynsmail/A 42521-2026 tillsynsbegäran mail.docx", "A 42521-2026")</f>
        <v/>
      </c>
    </row>
    <row r="12" ht="15" customHeight="1">
      <c r="A12" t="inlineStr">
        <is>
          <t>A 16347-2025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45751</v>
      </c>
      <c r="E12" s="1" t="n">
        <v>46321</v>
      </c>
      <c r="F12" t="inlineStr">
        <is>
          <t>VÄSTRA GÖTALANDS LÄN</t>
        </is>
      </c>
      <c r="G12" t="inlineStr">
        <is>
          <t>UDDEVALLA</t>
        </is>
      </c>
      <c r="I12" t="n">
        <v>3.8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5</v>
      </c>
      <c r="T12" t="n">
        <v>5</v>
      </c>
      <c r="U12" t="n">
        <v>2</v>
      </c>
      <c r="V12" s="2" t="inlineStr">
        <is>
          <t>Vitryggig hackspett
Garnlav
Klibbtickgnagare
Vedticka
Kopparödla</t>
        </is>
      </c>
      <c r="W12">
        <f>HYPERLINK("https://klasma.github.io/Logging_1485/artfynd/A 16347-2025 artfynd.xlsx", "A 16347-2025")</f>
        <v/>
      </c>
      <c r="X12">
        <f>HYPERLINK("https://klasma.github.io/Logging_1485/kartor/A 16347-2025 karta.png", "A 16347-2025")</f>
        <v/>
      </c>
      <c r="Y12">
        <f>HYPERLINK("https://klasma.github.io/Logging_1485/kartor_geotiff/A 16347-2025 georefererad karta.tif", "A 16347-2025")</f>
        <v/>
      </c>
      <c r="AA12">
        <f>HYPERLINK("https://klasma.github.io/Logging_1485/klagomål/A 16347-2025 FSC-klagomål.docx", "A 16347-2025")</f>
        <v/>
      </c>
      <c r="AB12">
        <f>HYPERLINK("https://klasma.github.io/Logging_1485/klagomålsmail/A 16347-2025 FSC-klagomål mail.docx", "A 16347-2025")</f>
        <v/>
      </c>
      <c r="AC12">
        <f>HYPERLINK("https://klasma.github.io/Logging_1485/tillsyn/A 16347-2025 tillsynsbegäran.docx", "A 16347-2025")</f>
        <v/>
      </c>
      <c r="AD12">
        <f>HYPERLINK("https://klasma.github.io/Logging_1485/tillsynsmail/A 16347-2025 tillsynsbegäran mail.docx", "A 16347-2025")</f>
        <v/>
      </c>
      <c r="AE12">
        <f>HYPERLINK("https://klasma.github.io/Logging_1485/fåglar/A 16347-2025 prioriterade fågelarter.docx", "A 16347-2025")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46321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46321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46321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46321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46321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46321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45317</v>
      </c>
      <c r="E20" s="1" t="n">
        <v>46321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1.9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Blåmossa
Västlig hakmossa
Spillkråka</t>
        </is>
      </c>
      <c r="W20">
        <f>HYPERLINK("https://klasma.github.io/Logging_1485/artfynd/A 3435-2024 artfynd.xlsx", "A 3435-2024")</f>
        <v/>
      </c>
      <c r="X20">
        <f>HYPERLINK("https://klasma.github.io/Logging_1485/kartor/A 3435-2024 karta.png", "A 3435-2024")</f>
        <v/>
      </c>
      <c r="Y20">
        <f>HYPERLINK("https://klasma.github.io/Logging_1485/kartor_geotiff/A 3435-2024 georefererad karta.tif", "A 3435-2024")</f>
        <v/>
      </c>
      <c r="AA20">
        <f>HYPERLINK("https://klasma.github.io/Logging_1485/klagomål/A 3435-2024 FSC-klagomål.docx", "A 3435-2024")</f>
        <v/>
      </c>
      <c r="AB20">
        <f>HYPERLINK("https://klasma.github.io/Logging_1485/klagomålsmail/A 3435-2024 FSC-klagomål mail.docx", "A 3435-2024")</f>
        <v/>
      </c>
      <c r="AC20">
        <f>HYPERLINK("https://klasma.github.io/Logging_1485/tillsyn/A 3435-2024 tillsynsbegäran.docx", "A 3435-2024")</f>
        <v/>
      </c>
      <c r="AD20">
        <f>HYPERLINK("https://klasma.github.io/Logging_1485/tillsynsmail/A 3435-2024 tillsynsbegäran mail.docx", "A 3435-2024")</f>
        <v/>
      </c>
      <c r="AE20">
        <f>HYPERLINK("https://klasma.github.io/Logging_1485/fåglar/A 3435-2024 prioriterade fågelarter.docx", "A 3435-2024")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46321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46321</v>
      </c>
      <c r="F22" t="inlineStr">
        <is>
          <t>VÄSTRA GÖTALANDS LÄN</t>
        </is>
      </c>
      <c r="G22" t="inlineStr">
        <is>
          <t>UDDEVALLA</t>
        </is>
      </c>
      <c r="I22" t="n">
        <v>15.3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Kambräken
Kopparödla</t>
        </is>
      </c>
      <c r="W22">
        <f>HYPERLINK("https://klasma.github.io/Logging_1485/artfynd/A 16863-2025 artfynd.xlsx", "A 16863-2025")</f>
        <v/>
      </c>
      <c r="X22">
        <f>HYPERLINK("https://klasma.github.io/Logging_1485/kartor/A 16863-2025 karta.png", "A 16863-2025")</f>
        <v/>
      </c>
      <c r="Y22">
        <f>HYPERLINK("https://klasma.github.io/Logging_1485/kartor_geotiff/A 16863-2025 georefererad karta.tif", "A 16863-2025")</f>
        <v/>
      </c>
      <c r="AA22">
        <f>HYPERLINK("https://klasma.github.io/Logging_1485/klagomål/A 16863-2025 FSC-klagomål.docx", "A 16863-2025")</f>
        <v/>
      </c>
      <c r="AB22">
        <f>HYPERLINK("https://klasma.github.io/Logging_1485/klagomålsmail/A 16863-2025 FSC-klagomål mail.docx", "A 16863-2025")</f>
        <v/>
      </c>
      <c r="AC22">
        <f>HYPERLINK("https://klasma.github.io/Logging_1485/tillsyn/A 16863-2025 tillsynsbegäran.docx", "A 16863-2025")</f>
        <v/>
      </c>
      <c r="AD22">
        <f>HYPERLINK("https://klasma.github.io/Logging_1485/tillsynsmail/A 16863-2025 tillsynsbegäran mail.docx", "A 16863-2025")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46321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46321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46321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46321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46321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46321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46321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17995-2026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46124</v>
      </c>
      <c r="E30" s="1" t="n">
        <v>46321</v>
      </c>
      <c r="F30" t="inlineStr">
        <is>
          <t>VÄSTRA GÖTALANDS LÄN</t>
        </is>
      </c>
      <c r="G30" t="inlineStr">
        <is>
          <t>UDDEVALLA</t>
        </is>
      </c>
      <c r="I30" t="n">
        <v>3.8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Spillkråka
Revlummer</t>
        </is>
      </c>
      <c r="W30">
        <f>HYPERLINK("https://klasma.github.io/Logging_1485/artfynd/A 17995-2026 artfynd.xlsx", "A 17995-2026")</f>
        <v/>
      </c>
      <c r="X30">
        <f>HYPERLINK("https://klasma.github.io/Logging_1485/kartor/A 17995-2026 karta.png", "A 17995-2026")</f>
        <v/>
      </c>
      <c r="Y30">
        <f>HYPERLINK("https://klasma.github.io/Logging_1485/kartor_geotiff/A 17995-2026 georefererad karta.tif", "A 17995-2026")</f>
        <v/>
      </c>
      <c r="AA30">
        <f>HYPERLINK("https://klasma.github.io/Logging_1485/klagomål/A 17995-2026 FSC-klagomål.docx", "A 17995-2026")</f>
        <v/>
      </c>
      <c r="AB30">
        <f>HYPERLINK("https://klasma.github.io/Logging_1485/klagomålsmail/A 17995-2026 FSC-klagomål mail.docx", "A 17995-2026")</f>
        <v/>
      </c>
      <c r="AC30">
        <f>HYPERLINK("https://klasma.github.io/Logging_1485/tillsyn/A 17995-2026 tillsynsbegäran.docx", "A 17995-2026")</f>
        <v/>
      </c>
      <c r="AD30">
        <f>HYPERLINK("https://klasma.github.io/Logging_1485/tillsynsmail/A 17995-2026 tillsynsbegäran mail.docx", "A 17995-2026")</f>
        <v/>
      </c>
      <c r="AE30">
        <f>HYPERLINK("https://klasma.github.io/Logging_1485/fåglar/A 17995-2026 prioriterade fågelarter.docx", "A 17995-2026")</f>
        <v/>
      </c>
    </row>
    <row r="31" ht="15" customHeight="1">
      <c r="A31" t="inlineStr">
        <is>
          <t>A 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45653</v>
      </c>
      <c r="E31" s="1" t="n">
        <v>46321</v>
      </c>
      <c r="F31" t="inlineStr">
        <is>
          <t>VÄSTRA GÖTALANDS LÄN</t>
        </is>
      </c>
      <c r="G31" t="inlineStr">
        <is>
          <t>UDDEVALLA</t>
        </is>
      </c>
      <c r="I31" t="n">
        <v>3.4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Brunpudrad nållav
Blåmossa</t>
        </is>
      </c>
      <c r="W31">
        <f>HYPERLINK("https://klasma.github.io/Logging_1485/artfynd/A 266-2025 artfynd.xlsx", "A 266-2025")</f>
        <v/>
      </c>
      <c r="X31">
        <f>HYPERLINK("https://klasma.github.io/Logging_1485/kartor/A 266-2025 karta.png", "A 266-2025")</f>
        <v/>
      </c>
      <c r="Y31">
        <f>HYPERLINK("https://klasma.github.io/Logging_1485/kartor_geotiff/A 266-2025 georefererad karta.tif", "A 266-2025")</f>
        <v/>
      </c>
      <c r="AA31">
        <f>HYPERLINK("https://klasma.github.io/Logging_1485/klagomål/A 266-2025 FSC-klagomål.docx", "A 266-2025")</f>
        <v/>
      </c>
      <c r="AB31">
        <f>HYPERLINK("https://klasma.github.io/Logging_1485/klagomålsmail/A 266-2025 FSC-klagomål mail.docx", "A 266-2025")</f>
        <v/>
      </c>
      <c r="AC31">
        <f>HYPERLINK("https://klasma.github.io/Logging_1485/tillsyn/A 266-2025 tillsynsbegäran.docx", "A 266-2025")</f>
        <v/>
      </c>
      <c r="AD31">
        <f>HYPERLINK("https://klasma.github.io/Logging_1485/tillsynsmail/A 266-2025 tillsynsbegäran mail.docx", "A 266-2025")</f>
        <v/>
      </c>
    </row>
    <row r="32" ht="15" customHeight="1">
      <c r="A32" t="inlineStr">
        <is>
          <t>A 3432-2024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45317</v>
      </c>
      <c r="E32" s="1" t="n">
        <v>46321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3.1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Klippfrullania
Västlig hakmossa</t>
        </is>
      </c>
      <c r="W32">
        <f>HYPERLINK("https://klasma.github.io/Logging_1485/artfynd/A 3432-2024 artfynd.xlsx", "A 3432-2024")</f>
        <v/>
      </c>
      <c r="X32">
        <f>HYPERLINK("https://klasma.github.io/Logging_1485/kartor/A 3432-2024 karta.png", "A 3432-2024")</f>
        <v/>
      </c>
      <c r="Y32">
        <f>HYPERLINK("https://klasma.github.io/Logging_1485/kartor_geotiff/A 3432-2024 georefererad karta.tif", "A 3432-2024")</f>
        <v/>
      </c>
      <c r="AA32">
        <f>HYPERLINK("https://klasma.github.io/Logging_1485/klagomål/A 3432-2024 FSC-klagomål.docx", "A 3432-2024")</f>
        <v/>
      </c>
      <c r="AB32">
        <f>HYPERLINK("https://klasma.github.io/Logging_1485/klagomålsmail/A 3432-2024 FSC-klagomål mail.docx", "A 3432-2024")</f>
        <v/>
      </c>
      <c r="AC32">
        <f>HYPERLINK("https://klasma.github.io/Logging_1485/tillsyn/A 3432-2024 tillsynsbegäran.docx", "A 3432-2024")</f>
        <v/>
      </c>
      <c r="AD32">
        <f>HYPERLINK("https://klasma.github.io/Logging_1485/tillsynsmail/A 3432-2024 tillsynsbegäran mail.docx", "A 3432-2024")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46321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32523-2024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45513</v>
      </c>
      <c r="E34" s="1" t="n">
        <v>46321</v>
      </c>
      <c r="F34" t="inlineStr">
        <is>
          <t>VÄSTRA GÖTALANDS LÄN</t>
        </is>
      </c>
      <c r="G34" t="inlineStr">
        <is>
          <t>UDDEVALLA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Grönhjon
Granbarkgnagare</t>
        </is>
      </c>
      <c r="W34">
        <f>HYPERLINK("https://klasma.github.io/Logging_1485/artfynd/A 32523-2024 artfynd.xlsx", "A 32523-2024")</f>
        <v/>
      </c>
      <c r="X34">
        <f>HYPERLINK("https://klasma.github.io/Logging_1485/kartor/A 32523-2024 karta.png", "A 32523-2024")</f>
        <v/>
      </c>
      <c r="Y34">
        <f>HYPERLINK("https://klasma.github.io/Logging_1485/kartor_geotiff/A 32523-2024 georefererad karta.tif", "A 32523-2024")</f>
        <v/>
      </c>
      <c r="AA34">
        <f>HYPERLINK("https://klasma.github.io/Logging_1485/klagomål/A 32523-2024 FSC-klagomål.docx", "A 32523-2024")</f>
        <v/>
      </c>
      <c r="AB34">
        <f>HYPERLINK("https://klasma.github.io/Logging_1485/klagomålsmail/A 32523-2024 FSC-klagomål mail.docx", "A 32523-2024")</f>
        <v/>
      </c>
      <c r="AC34">
        <f>HYPERLINK("https://klasma.github.io/Logging_1485/tillsyn/A 32523-2024 tillsynsbegäran.docx", "A 32523-2024")</f>
        <v/>
      </c>
      <c r="AD34">
        <f>HYPERLINK("https://klasma.github.io/Logging_1485/tillsynsmail/A 32523-2024 tillsynsbegäran mail.docx", "A 32523-2024")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46321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2429-2026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46036</v>
      </c>
      <c r="E36" s="1" t="n">
        <v>46321</v>
      </c>
      <c r="F36" t="inlineStr">
        <is>
          <t>VÄSTRA GÖTALANDS LÄN</t>
        </is>
      </c>
      <c r="G36" t="inlineStr">
        <is>
          <t>UDDEVALLA</t>
        </is>
      </c>
      <c r="I36" t="n">
        <v>7.6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HYPERLINK("https://klasma.github.io/Logging_1485/artfynd/A 2429-2026 artfynd.xlsx", "A 2429-2026")</f>
        <v/>
      </c>
      <c r="X36">
        <f>HYPERLINK("https://klasma.github.io/Logging_1485/kartor/A 2429-2026 karta.png", "A 2429-2026")</f>
        <v/>
      </c>
      <c r="Y36">
        <f>HYPERLINK("https://klasma.github.io/Logging_1485/kartor_geotiff/A 2429-2026 georefererad karta.tif", "A 2429-2026")</f>
        <v/>
      </c>
      <c r="AA36">
        <f>HYPERLINK("https://klasma.github.io/Logging_1485/klagomål/A 2429-2026 FSC-klagomål.docx", "A 2429-2026")</f>
        <v/>
      </c>
      <c r="AB36">
        <f>HYPERLINK("https://klasma.github.io/Logging_1485/klagomålsmail/A 2429-2026 FSC-klagomål mail.docx", "A 2429-2026")</f>
        <v/>
      </c>
      <c r="AC36">
        <f>HYPERLINK("https://klasma.github.io/Logging_1485/tillsyn/A 2429-2026 tillsynsbegäran.docx", "A 2429-2026")</f>
        <v/>
      </c>
      <c r="AD36">
        <f>HYPERLINK("https://klasma.github.io/Logging_1485/tillsynsmail/A 2429-2026 tillsynsbegäran mail.docx", "A 2429-2026")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46321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46321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Vedticka</t>
        </is>
      </c>
      <c r="W38">
        <f>HYPERLINK("https://klasma.github.io/Logging_1485/artfynd/A 23401-2023 artfynd.xlsx", "A 23401-2023")</f>
        <v/>
      </c>
      <c r="X38">
        <f>HYPERLINK("https://klasma.github.io/Logging_1485/kartor/A 23401-2023 karta.png", "A 23401-2023")</f>
        <v/>
      </c>
      <c r="Y38">
        <f>HYPERLINK("https://klasma.github.io/Logging_1485/kartor_geotiff/A 23401-2023 georefererad karta.tif", "A 23401-2023")</f>
        <v/>
      </c>
      <c r="AA38">
        <f>HYPERLINK("https://klasma.github.io/Logging_1485/klagomål/A 23401-2023 FSC-klagomål.docx", "A 23401-2023")</f>
        <v/>
      </c>
      <c r="AB38">
        <f>HYPERLINK("https://klasma.github.io/Logging_1485/klagomålsmail/A 23401-2023 FSC-klagomål mail.docx", "A 23401-2023")</f>
        <v/>
      </c>
      <c r="AC38">
        <f>HYPERLINK("https://klasma.github.io/Logging_1485/tillsyn/A 23401-2023 tillsynsbegäran.docx", "A 23401-2023")</f>
        <v/>
      </c>
      <c r="AD38">
        <f>HYPERLINK("https://klasma.github.io/Logging_1485/tillsynsmail/A 23401-2023 tillsynsbegäran mail.docx", "A 23401-2023")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46321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46321</v>
      </c>
      <c r="F40" t="inlineStr">
        <is>
          <t>VÄSTRA GÖTALANDS LÄN</t>
        </is>
      </c>
      <c r="G40" t="inlineStr">
        <is>
          <t>UDDEVALLA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HYPERLINK("https://klasma.github.io/Logging_1485/artfynd/A 23322-2025 artfynd.xlsx", "A 23322-2025")</f>
        <v/>
      </c>
      <c r="X40">
        <f>HYPERLINK("https://klasma.github.io/Logging_1485/kartor/A 23322-2025 karta.png", "A 23322-2025")</f>
        <v/>
      </c>
      <c r="Y40">
        <f>HYPERLINK("https://klasma.github.io/Logging_1485/kartor_geotiff/A 23322-2025 georefererad karta.tif", "A 23322-2025")</f>
        <v/>
      </c>
      <c r="AA40">
        <f>HYPERLINK("https://klasma.github.io/Logging_1485/klagomål/A 23322-2025 FSC-klagomål.docx", "A 23322-2025")</f>
        <v/>
      </c>
      <c r="AB40">
        <f>HYPERLINK("https://klasma.github.io/Logging_1485/klagomålsmail/A 23322-2025 FSC-klagomål mail.docx", "A 23322-2025")</f>
        <v/>
      </c>
      <c r="AC40">
        <f>HYPERLINK("https://klasma.github.io/Logging_1485/tillsyn/A 23322-2025 tillsynsbegäran.docx", "A 23322-2025")</f>
        <v/>
      </c>
      <c r="AD40">
        <f>HYPERLINK("https://klasma.github.io/Logging_1485/tillsynsmail/A 23322-2025 tillsynsbegäran mail.docx", "A 23322-2025")</f>
        <v/>
      </c>
      <c r="AE40">
        <f>HYPERLINK("https://klasma.github.io/Logging_1485/fåglar/A 23322-2025 prioriterade fågelarter.docx", "A 23322-2025")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46321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39966-2026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46292</v>
      </c>
      <c r="E42" s="1" t="n">
        <v>46321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Kommuner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HYPERLINK("https://klasma.github.io/Logging_1485/artfynd/A 39966-2026 artfynd.xlsx", "A 39966-2026")</f>
        <v/>
      </c>
      <c r="X42">
        <f>HYPERLINK("https://klasma.github.io/Logging_1485/kartor/A 39966-2026 karta.png", "A 39966-2026")</f>
        <v/>
      </c>
      <c r="Y42">
        <f>HYPERLINK("https://klasma.github.io/Logging_1485/kartor_geotiff/A 39966-2026 georefererad karta.tif", "A 39966-2026")</f>
        <v/>
      </c>
      <c r="AA42">
        <f>HYPERLINK("https://klasma.github.io/Logging_1485/klagomål/A 39966-2026 FSC-klagomål.docx", "A 39966-2026")</f>
        <v/>
      </c>
      <c r="AB42">
        <f>HYPERLINK("https://klasma.github.io/Logging_1485/klagomålsmail/A 39966-2026 FSC-klagomål mail.docx", "A 39966-2026")</f>
        <v/>
      </c>
      <c r="AC42">
        <f>HYPERLINK("https://klasma.github.io/Logging_1485/tillsyn/A 39966-2026 tillsynsbegäran.docx", "A 39966-2026")</f>
        <v/>
      </c>
      <c r="AD42">
        <f>HYPERLINK("https://klasma.github.io/Logging_1485/tillsynsmail/A 39966-2026 tillsynsbegäran mail.docx", "A 39966-2026")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46321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46321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33812-2026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46321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HYPERLINK("https://klasma.github.io/Logging_1485/artfynd/A 33812-2026 artfynd.xlsx", "A 33812-2026")</f>
        <v/>
      </c>
      <c r="X45">
        <f>HYPERLINK("https://klasma.github.io/Logging_1485/kartor/A 33812-2026 karta.png", "A 33812-2026")</f>
        <v/>
      </c>
      <c r="Y45">
        <f>HYPERLINK("https://klasma.github.io/Logging_1485/kartor_geotiff/A 33812-2026 georefererad karta.tif", "A 33812-2026")</f>
        <v/>
      </c>
      <c r="AA45">
        <f>HYPERLINK("https://klasma.github.io/Logging_1485/klagomål/A 33812-2026 FSC-klagomål.docx", "A 33812-2026")</f>
        <v/>
      </c>
      <c r="AB45">
        <f>HYPERLINK("https://klasma.github.io/Logging_1485/klagomålsmail/A 33812-2026 FSC-klagomål mail.docx", "A 33812-2026")</f>
        <v/>
      </c>
      <c r="AC45">
        <f>HYPERLINK("https://klasma.github.io/Logging_1485/tillsyn/A 33812-2026 tillsynsbegäran.docx", "A 33812-2026")</f>
        <v/>
      </c>
      <c r="AD45">
        <f>HYPERLINK("https://klasma.github.io/Logging_1485/tillsynsmail/A 33812-2026 tillsynsbegäran mail.docx", "A 33812-2026")</f>
        <v/>
      </c>
    </row>
    <row r="46" ht="15" customHeight="1">
      <c r="A46" t="inlineStr">
        <is>
          <t>A 42009-2026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46303</v>
      </c>
      <c r="E46" s="1" t="n">
        <v>46321</v>
      </c>
      <c r="F46" t="inlineStr">
        <is>
          <t>VÄSTRA GÖTALANDS LÄN</t>
        </is>
      </c>
      <c r="G46" t="inlineStr">
        <is>
          <t>UDDEVALLA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42009-2026 artfynd.xlsx", "A 42009-2026")</f>
        <v/>
      </c>
      <c r="X46">
        <f>HYPERLINK("https://klasma.github.io/Logging_1485/kartor/A 42009-2026 karta.png", "A 42009-2026")</f>
        <v/>
      </c>
      <c r="Y46">
        <f>HYPERLINK("https://klasma.github.io/Logging_1485/kartor_geotiff/A 42009-2026 georefererad karta.tif", "A 42009-2026")</f>
        <v/>
      </c>
      <c r="AA46">
        <f>HYPERLINK("https://klasma.github.io/Logging_1485/klagomål/A 42009-2026 FSC-klagomål.docx", "A 42009-2026")</f>
        <v/>
      </c>
      <c r="AB46">
        <f>HYPERLINK("https://klasma.github.io/Logging_1485/klagomålsmail/A 42009-2026 FSC-klagomål mail.docx", "A 42009-2026")</f>
        <v/>
      </c>
      <c r="AC46">
        <f>HYPERLINK("https://klasma.github.io/Logging_1485/tillsyn/A 42009-2026 tillsynsbegäran.docx", "A 42009-2026")</f>
        <v/>
      </c>
      <c r="AD46">
        <f>HYPERLINK("https://klasma.github.io/Logging_1485/tillsynsmail/A 42009-2026 tillsynsbegäran mail.docx", "A 42009-2026")</f>
        <v/>
      </c>
    </row>
    <row r="47" ht="15" customHeight="1">
      <c r="A47" t="inlineStr">
        <is>
          <t>A 42008-2026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46303</v>
      </c>
      <c r="E47" s="1" t="n">
        <v>46321</v>
      </c>
      <c r="F47" t="inlineStr">
        <is>
          <t>VÄSTRA GÖTALANDS LÄN</t>
        </is>
      </c>
      <c r="G47" t="inlineStr">
        <is>
          <t>UDDEVALLA</t>
        </is>
      </c>
      <c r="I47" t="n">
        <v>12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42008-2026 artfynd.xlsx", "A 42008-2026")</f>
        <v/>
      </c>
      <c r="X47">
        <f>HYPERLINK("https://klasma.github.io/Logging_1485/kartor/A 42008-2026 karta.png", "A 42008-2026")</f>
        <v/>
      </c>
      <c r="Y47">
        <f>HYPERLINK("https://klasma.github.io/Logging_1485/kartor_geotiff/A 42008-2026 georefererad karta.tif", "A 42008-2026")</f>
        <v/>
      </c>
      <c r="AA47">
        <f>HYPERLINK("https://klasma.github.io/Logging_1485/klagomål/A 42008-2026 FSC-klagomål.docx", "A 42008-2026")</f>
        <v/>
      </c>
      <c r="AB47">
        <f>HYPERLINK("https://klasma.github.io/Logging_1485/klagomålsmail/A 42008-2026 FSC-klagomål mail.docx", "A 42008-2026")</f>
        <v/>
      </c>
      <c r="AC47">
        <f>HYPERLINK("https://klasma.github.io/Logging_1485/tillsyn/A 42008-2026 tillsynsbegäran.docx", "A 42008-2026")</f>
        <v/>
      </c>
      <c r="AD47">
        <f>HYPERLINK("https://klasma.github.io/Logging_1485/tillsynsmail/A 42008-2026 tillsynsbegäran mail.docx", "A 42008-2026")</f>
        <v/>
      </c>
    </row>
    <row r="48" ht="15" customHeight="1">
      <c r="A48" t="inlineStr">
        <is>
          <t>A 495-2023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46321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3.7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Grönsångare</t>
        </is>
      </c>
      <c r="W48">
        <f>HYPERLINK("https://klasma.github.io/Logging_1485/artfynd/A 495-2023 artfynd.xlsx", "A 495-2023")</f>
        <v/>
      </c>
      <c r="X48">
        <f>HYPERLINK("https://klasma.github.io/Logging_1485/kartor/A 495-2023 karta.png", "A 495-2023")</f>
        <v/>
      </c>
      <c r="Y48">
        <f>HYPERLINK("https://klasma.github.io/Logging_1485/kartor_geotiff/A 495-2023 georefererad karta.tif", "A 495-2023")</f>
        <v/>
      </c>
      <c r="AA48">
        <f>HYPERLINK("https://klasma.github.io/Logging_1485/klagomål/A 495-2023 FSC-klagomål.docx", "A 495-2023")</f>
        <v/>
      </c>
      <c r="AB48">
        <f>HYPERLINK("https://klasma.github.io/Logging_1485/klagomålsmail/A 495-2023 FSC-klagomål mail.docx", "A 495-2023")</f>
        <v/>
      </c>
      <c r="AC48">
        <f>HYPERLINK("https://klasma.github.io/Logging_1485/tillsyn/A 495-2023 tillsynsbegäran.docx", "A 495-2023")</f>
        <v/>
      </c>
      <c r="AD48">
        <f>HYPERLINK("https://klasma.github.io/Logging_1485/tillsynsmail/A 495-2023 tillsynsbegäran mail.docx", "A 495-2023")</f>
        <v/>
      </c>
      <c r="AE48">
        <f>HYPERLINK("https://klasma.github.io/Logging_1485/fåglar/A 495-2023 prioriterade fågelarter.docx", "A 495-2023")</f>
        <v/>
      </c>
    </row>
    <row r="49" ht="15" customHeight="1">
      <c r="A49" t="inlineStr">
        <is>
          <t>A 50274-2024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46321</v>
      </c>
      <c r="F49" t="inlineStr">
        <is>
          <t>VÄSTRA GÖTALANDS LÄN</t>
        </is>
      </c>
      <c r="G49" t="inlineStr">
        <is>
          <t>UDDEVALLA</t>
        </is>
      </c>
      <c r="I49" t="n">
        <v>20.1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Grönsångare</t>
        </is>
      </c>
      <c r="W49">
        <f>HYPERLINK("https://klasma.github.io/Logging_1485/artfynd/A 50274-2024 artfynd.xlsx", "A 50274-2024")</f>
        <v/>
      </c>
      <c r="X49">
        <f>HYPERLINK("https://klasma.github.io/Logging_1485/kartor/A 50274-2024 karta.png", "A 50274-2024")</f>
        <v/>
      </c>
      <c r="Y49">
        <f>HYPERLINK("https://klasma.github.io/Logging_1485/kartor_geotiff/A 50274-2024 georefererad karta.tif", "A 50274-2024")</f>
        <v/>
      </c>
      <c r="AA49">
        <f>HYPERLINK("https://klasma.github.io/Logging_1485/klagomål/A 50274-2024 FSC-klagomål.docx", "A 50274-2024")</f>
        <v/>
      </c>
      <c r="AB49">
        <f>HYPERLINK("https://klasma.github.io/Logging_1485/klagomålsmail/A 50274-2024 FSC-klagomål mail.docx", "A 50274-2024")</f>
        <v/>
      </c>
      <c r="AC49">
        <f>HYPERLINK("https://klasma.github.io/Logging_1485/tillsyn/A 50274-2024 tillsynsbegäran.docx", "A 50274-2024")</f>
        <v/>
      </c>
      <c r="AD49">
        <f>HYPERLINK("https://klasma.github.io/Logging_1485/tillsynsmail/A 50274-2024 tillsynsbegäran mail.docx", "A 50274-2024")</f>
        <v/>
      </c>
      <c r="AE49">
        <f>HYPERLINK("https://klasma.github.io/Logging_1485/fåglar/A 50274-2024 prioriterade fågelarter.docx", "A 50274-2024")</f>
        <v/>
      </c>
    </row>
    <row r="50" ht="15" customHeight="1">
      <c r="A50" t="inlineStr">
        <is>
          <t>A 43847-2026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46316</v>
      </c>
      <c r="E50" s="1" t="n">
        <v>46321</v>
      </c>
      <c r="F50" t="inlineStr">
        <is>
          <t>VÄSTRA GÖTALANDS LÄN</t>
        </is>
      </c>
      <c r="G50" t="inlineStr">
        <is>
          <t>UDDEVALLA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HYPERLINK("https://klasma.github.io/Logging_1485/artfynd/A 43847-2026 artfynd.xlsx", "A 43847-2026")</f>
        <v/>
      </c>
      <c r="X50">
        <f>HYPERLINK("https://klasma.github.io/Logging_1485/kartor/A 43847-2026 karta.png", "A 43847-2026")</f>
        <v/>
      </c>
      <c r="Y50">
        <f>HYPERLINK("https://klasma.github.io/Logging_1485/kartor_geotiff/A 43847-2026 georefererad karta.tif", "A 43847-2026")</f>
        <v/>
      </c>
      <c r="AA50">
        <f>HYPERLINK("https://klasma.github.io/Logging_1485/klagomål/A 43847-2026 FSC-klagomål.docx", "A 43847-2026")</f>
        <v/>
      </c>
      <c r="AB50">
        <f>HYPERLINK("https://klasma.github.io/Logging_1485/klagomålsmail/A 43847-2026 FSC-klagomål mail.docx", "A 43847-2026")</f>
        <v/>
      </c>
      <c r="AC50">
        <f>HYPERLINK("https://klasma.github.io/Logging_1485/tillsyn/A 43847-2026 tillsynsbegäran.docx", "A 43847-2026")</f>
        <v/>
      </c>
      <c r="AD50">
        <f>HYPERLINK("https://klasma.github.io/Logging_1485/tillsynsmail/A 43847-2026 tillsynsbegäran mail.docx", "A 43847-2026")</f>
        <v/>
      </c>
    </row>
    <row r="51" ht="15" customHeight="1">
      <c r="A51" t="inlineStr">
        <is>
          <t>A 10865-2022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46321</v>
      </c>
      <c r="F51" t="inlineStr">
        <is>
          <t>VÄSTRA GÖTALANDS LÄN</t>
        </is>
      </c>
      <c r="G51" t="inlineStr">
        <is>
          <t>UDDEVALLA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10865-2022 artfynd.xlsx", "A 10865-2022")</f>
        <v/>
      </c>
      <c r="X51">
        <f>HYPERLINK("https://klasma.github.io/Logging_1485/kartor/A 10865-2022 karta.png", "A 10865-2022")</f>
        <v/>
      </c>
      <c r="Y51">
        <f>HYPERLINK("https://klasma.github.io/Logging_1485/kartor_geotiff/A 10865-2022 georefererad karta.tif", "A 10865-2022")</f>
        <v/>
      </c>
      <c r="AA51">
        <f>HYPERLINK("https://klasma.github.io/Logging_1485/klagomål/A 10865-2022 FSC-klagomål.docx", "A 10865-2022")</f>
        <v/>
      </c>
      <c r="AB51">
        <f>HYPERLINK("https://klasma.github.io/Logging_1485/klagomålsmail/A 10865-2022 FSC-klagomål mail.docx", "A 10865-2022")</f>
        <v/>
      </c>
      <c r="AC51">
        <f>HYPERLINK("https://klasma.github.io/Logging_1485/tillsyn/A 10865-2022 tillsynsbegäran.docx", "A 10865-2022")</f>
        <v/>
      </c>
      <c r="AD51">
        <f>HYPERLINK("https://klasma.github.io/Logging_1485/tillsynsmail/A 10865-2022 tillsynsbegäran mail.docx", "A 10865-2022")</f>
        <v/>
      </c>
    </row>
    <row r="52" ht="15" customHeight="1">
      <c r="A52" t="inlineStr">
        <is>
          <t>A 29691-2023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46321</v>
      </c>
      <c r="F52" t="inlineStr">
        <is>
          <t>VÄSTRA GÖTALANDS LÄN</t>
        </is>
      </c>
      <c r="G52" t="inlineStr">
        <is>
          <t>UDDEVALLA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Kopparödla</t>
        </is>
      </c>
      <c r="W52">
        <f>HYPERLINK("https://klasma.github.io/Logging_1485/artfynd/A 29691-2023 artfynd.xlsx", "A 29691-2023")</f>
        <v/>
      </c>
      <c r="X52">
        <f>HYPERLINK("https://klasma.github.io/Logging_1485/kartor/A 29691-2023 karta.png", "A 29691-2023")</f>
        <v/>
      </c>
      <c r="Y52">
        <f>HYPERLINK("https://klasma.github.io/Logging_1485/kartor_geotiff/A 29691-2023 georefererad karta.tif", "A 29691-2023")</f>
        <v/>
      </c>
      <c r="AA52">
        <f>HYPERLINK("https://klasma.github.io/Logging_1485/klagomål/A 29691-2023 FSC-klagomål.docx", "A 29691-2023")</f>
        <v/>
      </c>
      <c r="AB52">
        <f>HYPERLINK("https://klasma.github.io/Logging_1485/klagomålsmail/A 29691-2023 FSC-klagomål mail.docx", "A 29691-2023")</f>
        <v/>
      </c>
      <c r="AC52">
        <f>HYPERLINK("https://klasma.github.io/Logging_1485/tillsyn/A 29691-2023 tillsynsbegäran.docx", "A 29691-2023")</f>
        <v/>
      </c>
      <c r="AD52">
        <f>HYPERLINK("https://klasma.github.io/Logging_1485/tillsynsmail/A 29691-2023 tillsynsbegäran mail.docx", "A 29691-2023")</f>
        <v/>
      </c>
    </row>
    <row r="53" ht="15" customHeight="1">
      <c r="A53" t="inlineStr">
        <is>
          <t>A 22603-2023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45071</v>
      </c>
      <c r="E53" s="1" t="n">
        <v>46321</v>
      </c>
      <c r="F53" t="inlineStr">
        <is>
          <t>VÄSTRA GÖTALANDS LÄN</t>
        </is>
      </c>
      <c r="G53" t="inlineStr">
        <is>
          <t>UDDEVALLA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HYPERLINK("https://klasma.github.io/Logging_1485/artfynd/A 22603-2023 artfynd.xlsx", "A 22603-2023")</f>
        <v/>
      </c>
      <c r="X53">
        <f>HYPERLINK("https://klasma.github.io/Logging_1485/kartor/A 22603-2023 karta.png", "A 22603-2023")</f>
        <v/>
      </c>
      <c r="Y53">
        <f>HYPERLINK("https://klasma.github.io/Logging_1485/kartor_geotiff/A 22603-2023 georefererad karta.tif", "A 22603-2023")</f>
        <v/>
      </c>
      <c r="AA53">
        <f>HYPERLINK("https://klasma.github.io/Logging_1485/klagomål/A 22603-2023 FSC-klagomål.docx", "A 22603-2023")</f>
        <v/>
      </c>
      <c r="AB53">
        <f>HYPERLINK("https://klasma.github.io/Logging_1485/klagomålsmail/A 22603-2023 FSC-klagomål mail.docx", "A 22603-2023")</f>
        <v/>
      </c>
      <c r="AC53">
        <f>HYPERLINK("https://klasma.github.io/Logging_1485/tillsyn/A 22603-2023 tillsynsbegäran.docx", "A 22603-2023")</f>
        <v/>
      </c>
      <c r="AD53">
        <f>HYPERLINK("https://klasma.github.io/Logging_1485/tillsynsmail/A 22603-2023 tillsynsbegäran mail.docx", "A 22603-2023")</f>
        <v/>
      </c>
    </row>
    <row r="54" ht="15" customHeight="1">
      <c r="A54" t="inlineStr">
        <is>
          <t>A 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45303</v>
      </c>
      <c r="E54" s="1" t="n">
        <v>46321</v>
      </c>
      <c r="F54" t="inlineStr">
        <is>
          <t>VÄSTRA GÖTALANDS LÄN</t>
        </is>
      </c>
      <c r="G54" t="inlineStr">
        <is>
          <t>UDDEVALLA</t>
        </is>
      </c>
      <c r="I54" t="n">
        <v>2.2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Tornseglare</t>
        </is>
      </c>
      <c r="W54">
        <f>HYPERLINK("https://klasma.github.io/Logging_1485/artfynd/A 1293-2024 artfynd.xlsx", "A 1293-2024")</f>
        <v/>
      </c>
      <c r="X54">
        <f>HYPERLINK("https://klasma.github.io/Logging_1485/kartor/A 1293-2024 karta.png", "A 1293-2024")</f>
        <v/>
      </c>
      <c r="Y54">
        <f>HYPERLINK("https://klasma.github.io/Logging_1485/kartor_geotiff/A 1293-2024 georefererad karta.tif", "A 1293-2024")</f>
        <v/>
      </c>
      <c r="AA54">
        <f>HYPERLINK("https://klasma.github.io/Logging_1485/klagomål/A 1293-2024 FSC-klagomål.docx", "A 1293-2024")</f>
        <v/>
      </c>
      <c r="AB54">
        <f>HYPERLINK("https://klasma.github.io/Logging_1485/klagomålsmail/A 1293-2024 FSC-klagomål mail.docx", "A 1293-2024")</f>
        <v/>
      </c>
      <c r="AC54">
        <f>HYPERLINK("https://klasma.github.io/Logging_1485/tillsyn/A 1293-2024 tillsynsbegäran.docx", "A 1293-2024")</f>
        <v/>
      </c>
      <c r="AD54">
        <f>HYPERLINK("https://klasma.github.io/Logging_1485/tillsynsmail/A 1293-2024 tillsynsbegäran mail.docx", "A 1293-2024")</f>
        <v/>
      </c>
      <c r="AE54">
        <f>HYPERLINK("https://klasma.github.io/Logging_1485/fåglar/A 1293-2024 prioriterade fågelarter.docx", "A 1293-2024")</f>
        <v/>
      </c>
    </row>
    <row r="55" ht="15" customHeight="1">
      <c r="A55" t="inlineStr">
        <is>
          <t>A 55288-2023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46321</v>
      </c>
      <c r="F55" t="inlineStr">
        <is>
          <t>VÄSTRA GÖTALANDS LÄN</t>
        </is>
      </c>
      <c r="G55" t="inlineStr">
        <is>
          <t>UDDEVALLA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HYPERLINK("https://klasma.github.io/Logging_1485/artfynd/A 55288-2023 artfynd.xlsx", "A 55288-2023")</f>
        <v/>
      </c>
      <c r="X55">
        <f>HYPERLINK("https://klasma.github.io/Logging_1485/kartor/A 55288-2023 karta.png", "A 55288-2023")</f>
        <v/>
      </c>
      <c r="Y55">
        <f>HYPERLINK("https://klasma.github.io/Logging_1485/kartor_geotiff/A 55288-2023 georefererad karta.tif", "A 55288-2023")</f>
        <v/>
      </c>
      <c r="AA55">
        <f>HYPERLINK("https://klasma.github.io/Logging_1485/klagomål/A 55288-2023 FSC-klagomål.docx", "A 55288-2023")</f>
        <v/>
      </c>
      <c r="AB55">
        <f>HYPERLINK("https://klasma.github.io/Logging_1485/klagomålsmail/A 55288-2023 FSC-klagomål mail.docx", "A 55288-2023")</f>
        <v/>
      </c>
      <c r="AC55">
        <f>HYPERLINK("https://klasma.github.io/Logging_1485/tillsyn/A 55288-2023 tillsynsbegäran.docx", "A 55288-2023")</f>
        <v/>
      </c>
      <c r="AD55">
        <f>HYPERLINK("https://klasma.github.io/Logging_1485/tillsynsmail/A 55288-2023 tillsynsbegäran mail.docx", "A 55288-2023")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46321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46321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46321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46321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46321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46321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46321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46321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46321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46321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46321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46321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46321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46321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46321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46321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46321</v>
      </c>
      <c r="F72" t="inlineStr">
        <is>
          <t>VÄSTRA GÖTALANDS LÄN</t>
        </is>
      </c>
      <c r="G72" t="inlineStr">
        <is>
          <t>UDDEVALLA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46321</v>
      </c>
      <c r="F73" t="inlineStr">
        <is>
          <t>VÄSTRA GÖTALANDS LÄN</t>
        </is>
      </c>
      <c r="G73" t="inlineStr">
        <is>
          <t>UDDEVALLA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46321</v>
      </c>
      <c r="F74" t="inlineStr">
        <is>
          <t>VÄSTRA GÖTALANDS LÄN</t>
        </is>
      </c>
      <c r="G74" t="inlineStr">
        <is>
          <t>UDDEVALLA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70491-2021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46321</v>
      </c>
      <c r="F75" t="inlineStr">
        <is>
          <t>VÄSTRA GÖTALANDS LÄN</t>
        </is>
      </c>
      <c r="G75" t="inlineStr">
        <is>
          <t>UDDEVALLA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46321</v>
      </c>
      <c r="F76" t="inlineStr">
        <is>
          <t>VÄSTRA GÖTALANDS LÄN</t>
        </is>
      </c>
      <c r="G76" t="inlineStr">
        <is>
          <t>UDDEVALLA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46321</v>
      </c>
      <c r="F77" t="inlineStr">
        <is>
          <t>VÄSTRA GÖTALANDS LÄN</t>
        </is>
      </c>
      <c r="G77" t="inlineStr">
        <is>
          <t>UDDEVALLA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46321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46321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46321</v>
      </c>
      <c r="F80" t="inlineStr">
        <is>
          <t>VÄSTRA GÖTALANDS LÄN</t>
        </is>
      </c>
      <c r="G80" t="inlineStr">
        <is>
          <t>UDDEVALLA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44794</v>
      </c>
      <c r="E81" s="1" t="n">
        <v>46321</v>
      </c>
      <c r="F81" t="inlineStr">
        <is>
          <t>VÄSTRA GÖTALANDS LÄN</t>
        </is>
      </c>
      <c r="G81" t="inlineStr">
        <is>
          <t>UDDEVALLA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46321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46321</v>
      </c>
      <c r="F83" t="inlineStr">
        <is>
          <t>VÄSTRA GÖTALANDS LÄN</t>
        </is>
      </c>
      <c r="G83" t="inlineStr">
        <is>
          <t>UDDEVALLA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46321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46321</v>
      </c>
      <c r="F85" t="inlineStr">
        <is>
          <t>VÄSTRA GÖTALANDS LÄN</t>
        </is>
      </c>
      <c r="G85" t="inlineStr">
        <is>
          <t>UDDEVALLA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46321</v>
      </c>
      <c r="F86" t="inlineStr">
        <is>
          <t>VÄSTRA GÖTALANDS LÄN</t>
        </is>
      </c>
      <c r="G86" t="inlineStr">
        <is>
          <t>UDDEVALLA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29516-2026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46321</v>
      </c>
      <c r="F87" t="inlineStr">
        <is>
          <t>VÄSTRA GÖTALANDS LÄN</t>
        </is>
      </c>
      <c r="G87" t="inlineStr">
        <is>
          <t>UDDEVALLA</t>
        </is>
      </c>
      <c r="H87" t="inlineStr">
        <is>
          <t>Övriga statliga verk och myndigheter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46321</v>
      </c>
      <c r="F88" t="inlineStr">
        <is>
          <t>VÄSTRA GÖTALANDS LÄN</t>
        </is>
      </c>
      <c r="G88" t="inlineStr">
        <is>
          <t>UDDEVALLA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46321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45914</v>
      </c>
      <c r="E90" s="1" t="n">
        <v>46321</v>
      </c>
      <c r="F90" t="inlineStr">
        <is>
          <t>VÄSTRA GÖTALANDS LÄN</t>
        </is>
      </c>
      <c r="G90" t="inlineStr">
        <is>
          <t>UDDEVALLA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45914</v>
      </c>
      <c r="E91" s="1" t="n">
        <v>46321</v>
      </c>
      <c r="F91" t="inlineStr">
        <is>
          <t>VÄSTRA GÖTALANDS LÄN</t>
        </is>
      </c>
      <c r="G91" t="inlineStr">
        <is>
          <t>UDDEVALLA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46321</v>
      </c>
      <c r="F92" t="inlineStr">
        <is>
          <t>VÄSTRA GÖTALANDS LÄN</t>
        </is>
      </c>
      <c r="G92" t="inlineStr">
        <is>
          <t>UDDEVALLA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46321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46321</v>
      </c>
      <c r="F94" t="inlineStr">
        <is>
          <t>VÄSTRA GÖTALANDS LÄN</t>
        </is>
      </c>
      <c r="G94" t="inlineStr">
        <is>
          <t>UDDEVALLA</t>
        </is>
      </c>
      <c r="I94" t="n">
        <v>19.4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46321</v>
      </c>
      <c r="F95" t="inlineStr">
        <is>
          <t>VÄSTRA GÖTALANDS LÄN</t>
        </is>
      </c>
      <c r="G95" t="inlineStr">
        <is>
          <t>UDDEVALLA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46321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46321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46321</v>
      </c>
      <c r="F98" t="inlineStr">
        <is>
          <t>VÄSTRA GÖTALANDS LÄN</t>
        </is>
      </c>
      <c r="G98" t="inlineStr">
        <is>
          <t>UDDEVALLA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46321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45915</v>
      </c>
      <c r="E100" s="1" t="n">
        <v>46321</v>
      </c>
      <c r="F100" t="inlineStr">
        <is>
          <t>VÄSTRA GÖTALANDS LÄN</t>
        </is>
      </c>
      <c r="G100" t="inlineStr">
        <is>
          <t>UDDEVALLA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45495</v>
      </c>
      <c r="E101" s="1" t="n">
        <v>46321</v>
      </c>
      <c r="F101" t="inlineStr">
        <is>
          <t>VÄSTRA GÖTALANDS LÄN</t>
        </is>
      </c>
      <c r="G101" t="inlineStr">
        <is>
          <t>UDDEVALLA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46321</v>
      </c>
      <c r="F102" t="inlineStr">
        <is>
          <t>VÄSTRA GÖTALANDS LÄN</t>
        </is>
      </c>
      <c r="G102" t="inlineStr">
        <is>
          <t>UDDEVALLA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46321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46321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45642</v>
      </c>
      <c r="E105" s="1" t="n">
        <v>46321</v>
      </c>
      <c r="F105" t="inlineStr">
        <is>
          <t>VÄSTRA GÖTALANDS LÄN</t>
        </is>
      </c>
      <c r="G105" t="inlineStr">
        <is>
          <t>UDDEVALLA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45656</v>
      </c>
      <c r="E106" s="1" t="n">
        <v>46321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Kommuner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46321</v>
      </c>
      <c r="F107" t="inlineStr">
        <is>
          <t>VÄSTRA GÖTALANDS LÄN</t>
        </is>
      </c>
      <c r="G107" t="inlineStr">
        <is>
          <t>UDDEVALLA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45470</v>
      </c>
      <c r="E108" s="1" t="n">
        <v>46321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Kommuner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45656</v>
      </c>
      <c r="E109" s="1" t="n">
        <v>46321</v>
      </c>
      <c r="F109" t="inlineStr">
        <is>
          <t>VÄSTRA GÖTALANDS LÄN</t>
        </is>
      </c>
      <c r="G109" t="inlineStr">
        <is>
          <t>UDDEVALLA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46321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46321</v>
      </c>
      <c r="F111" t="inlineStr">
        <is>
          <t>VÄSTRA GÖTALANDS LÄN</t>
        </is>
      </c>
      <c r="G111" t="inlineStr">
        <is>
          <t>UDDEVALLA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45656</v>
      </c>
      <c r="E112" s="1" t="n">
        <v>46321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45656</v>
      </c>
      <c r="E113" s="1" t="n">
        <v>46321</v>
      </c>
      <c r="F113" t="inlineStr">
        <is>
          <t>VÄSTRA GÖTALANDS LÄN</t>
        </is>
      </c>
      <c r="G113" t="inlineStr">
        <is>
          <t>UDDEVALLA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45656</v>
      </c>
      <c r="E114" s="1" t="n">
        <v>46321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Kommuner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46321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46321</v>
      </c>
      <c r="F116" t="inlineStr">
        <is>
          <t>VÄSTRA GÖTALANDS LÄN</t>
        </is>
      </c>
      <c r="G116" t="inlineStr">
        <is>
          <t>UDDEVALLA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46321</v>
      </c>
      <c r="F117" t="inlineStr">
        <is>
          <t>VÄSTRA GÖTALANDS LÄN</t>
        </is>
      </c>
      <c r="G117" t="inlineStr">
        <is>
          <t>UDDEVALLA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46321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45374</v>
      </c>
      <c r="E119" s="1" t="n">
        <v>46321</v>
      </c>
      <c r="F119" t="inlineStr">
        <is>
          <t>VÄSTRA GÖTALANDS LÄN</t>
        </is>
      </c>
      <c r="G119" t="inlineStr">
        <is>
          <t>UDDEVALLA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46321</v>
      </c>
      <c r="F120" t="inlineStr">
        <is>
          <t>VÄSTRA GÖTALANDS LÄN</t>
        </is>
      </c>
      <c r="G120" t="inlineStr">
        <is>
          <t>UDDEVALLA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46321</v>
      </c>
      <c r="F121" t="inlineStr">
        <is>
          <t>VÄSTRA GÖTALANDS LÄN</t>
        </is>
      </c>
      <c r="G121" t="inlineStr">
        <is>
          <t>UDDEVALLA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46321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46321</v>
      </c>
      <c r="F123" t="inlineStr">
        <is>
          <t>VÄSTRA GÖTALANDS LÄN</t>
        </is>
      </c>
      <c r="G123" t="inlineStr">
        <is>
          <t>UDDEVALLA</t>
        </is>
      </c>
      <c r="I123" t="n">
        <v>11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46321</v>
      </c>
      <c r="F124" t="inlineStr">
        <is>
          <t>VÄSTRA GÖTALANDS LÄN</t>
        </is>
      </c>
      <c r="G124" t="inlineStr">
        <is>
          <t>UDDEVALLA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46321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46321</v>
      </c>
      <c r="F126" t="inlineStr">
        <is>
          <t>VÄSTRA GÖTALANDS LÄN</t>
        </is>
      </c>
      <c r="G126" t="inlineStr">
        <is>
          <t>UDDEVALLA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46321</v>
      </c>
      <c r="F127" t="inlineStr">
        <is>
          <t>VÄSTRA GÖTALANDS LÄN</t>
        </is>
      </c>
      <c r="G127" t="inlineStr">
        <is>
          <t>UDDEVALLA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46321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8893-2024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45355</v>
      </c>
      <c r="E129" s="1" t="n">
        <v>46321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46321</v>
      </c>
      <c r="F130" t="inlineStr">
        <is>
          <t>VÄSTRA GÖTALANDS LÄN</t>
        </is>
      </c>
      <c r="G130" t="inlineStr">
        <is>
          <t>UDDEVALLA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46321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46321</v>
      </c>
      <c r="F132" t="inlineStr">
        <is>
          <t>VÄSTRA GÖTALANDS LÄN</t>
        </is>
      </c>
      <c r="G132" t="inlineStr">
        <is>
          <t>UDDEVALLA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46321</v>
      </c>
      <c r="F133" t="inlineStr">
        <is>
          <t>VÄSTRA GÖTALANDS LÄN</t>
        </is>
      </c>
      <c r="G133" t="inlineStr">
        <is>
          <t>UDDEVALLA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46321</v>
      </c>
      <c r="F134" t="inlineStr">
        <is>
          <t>VÄSTRA GÖTALANDS LÄN</t>
        </is>
      </c>
      <c r="G134" t="inlineStr">
        <is>
          <t>UDDEVALLA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46321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46321</v>
      </c>
      <c r="F136" t="inlineStr">
        <is>
          <t>VÄSTRA GÖTALANDS LÄN</t>
        </is>
      </c>
      <c r="G136" t="inlineStr">
        <is>
          <t>UDDEVALLA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46321</v>
      </c>
      <c r="F137" t="inlineStr">
        <is>
          <t>VÄSTRA GÖTALANDS LÄN</t>
        </is>
      </c>
      <c r="G137" t="inlineStr">
        <is>
          <t>UDDEVALLA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46321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46321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46321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46321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45205</v>
      </c>
      <c r="E142" s="1" t="n">
        <v>46321</v>
      </c>
      <c r="F142" t="inlineStr">
        <is>
          <t>VÄSTRA GÖTALANDS LÄN</t>
        </is>
      </c>
      <c r="G142" t="inlineStr">
        <is>
          <t>UDDEVALLA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46321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44960</v>
      </c>
      <c r="E144" s="1" t="n">
        <v>46321</v>
      </c>
      <c r="F144" t="inlineStr">
        <is>
          <t>VÄSTRA GÖTALANDS LÄN</t>
        </is>
      </c>
      <c r="G144" t="inlineStr">
        <is>
          <t>UDDEVALLA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46321</v>
      </c>
      <c r="F145" t="inlineStr">
        <is>
          <t>VÄSTRA GÖTALANDS LÄN</t>
        </is>
      </c>
      <c r="G145" t="inlineStr">
        <is>
          <t>UDDEVALLA</t>
        </is>
      </c>
      <c r="I145" t="n">
        <v>12.2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45975</v>
      </c>
      <c r="E146" s="1" t="n">
        <v>46321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46321</v>
      </c>
      <c r="F147" t="inlineStr">
        <is>
          <t>VÄSTRA GÖTALANDS LÄN</t>
        </is>
      </c>
      <c r="G147" t="inlineStr">
        <is>
          <t>UDDEVALLA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58625-2024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45635</v>
      </c>
      <c r="E148" s="1" t="n">
        <v>46321</v>
      </c>
      <c r="F148" t="inlineStr">
        <is>
          <t>VÄSTRA GÖTALANDS LÄN</t>
        </is>
      </c>
      <c r="G148" t="inlineStr">
        <is>
          <t>UDDEVALLA</t>
        </is>
      </c>
      <c r="I148" t="n">
        <v>14.9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44924</v>
      </c>
      <c r="E149" s="1" t="n">
        <v>46321</v>
      </c>
      <c r="F149" t="inlineStr">
        <is>
          <t>VÄSTRA GÖTALANDS LÄN</t>
        </is>
      </c>
      <c r="G149" t="inlineStr">
        <is>
          <t>UDDEVALLA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46321</v>
      </c>
      <c r="F150" t="inlineStr">
        <is>
          <t>VÄSTRA GÖTALANDS LÄN</t>
        </is>
      </c>
      <c r="G150" t="inlineStr">
        <is>
          <t>UDDEVALLA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46321</v>
      </c>
      <c r="F151" t="inlineStr">
        <is>
          <t>VÄSTRA GÖTALANDS LÄN</t>
        </is>
      </c>
      <c r="G151" t="inlineStr">
        <is>
          <t>UDDEVALLA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46321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46321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46321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46321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46321</v>
      </c>
      <c r="F156" t="inlineStr">
        <is>
          <t>VÄSTRA GÖTALANDS LÄN</t>
        </is>
      </c>
      <c r="G156" t="inlineStr">
        <is>
          <t>UDDEVALLA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46321</v>
      </c>
      <c r="F157" t="inlineStr">
        <is>
          <t>VÄSTRA GÖTALANDS LÄN</t>
        </is>
      </c>
      <c r="G157" t="inlineStr">
        <is>
          <t>UDDEVALLA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46321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46321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46210</v>
      </c>
      <c r="E160" s="1" t="n">
        <v>46321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46212</v>
      </c>
      <c r="E161" s="1" t="n">
        <v>46321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46321</v>
      </c>
      <c r="F162" t="inlineStr">
        <is>
          <t>VÄSTRA GÖTALANDS LÄN</t>
        </is>
      </c>
      <c r="G162" t="inlineStr">
        <is>
          <t>UDDEVALLA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46321</v>
      </c>
      <c r="F163" t="inlineStr">
        <is>
          <t>VÄSTRA GÖTALANDS LÄN</t>
        </is>
      </c>
      <c r="G163" t="inlineStr">
        <is>
          <t>UDDEVALLA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46321</v>
      </c>
      <c r="F164" t="inlineStr">
        <is>
          <t>VÄSTRA GÖTALANDS LÄN</t>
        </is>
      </c>
      <c r="G164" t="inlineStr">
        <is>
          <t>UDDEVALLA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46321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46222</v>
      </c>
      <c r="E166" s="1" t="n">
        <v>46321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Kommuner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46321</v>
      </c>
      <c r="F167" t="inlineStr">
        <is>
          <t>VÄSTRA GÖTALANDS LÄN</t>
        </is>
      </c>
      <c r="G167" t="inlineStr">
        <is>
          <t>UDDEVALLA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46321</v>
      </c>
      <c r="F168" t="inlineStr">
        <is>
          <t>VÄSTRA GÖTALANDS LÄN</t>
        </is>
      </c>
      <c r="G168" t="inlineStr">
        <is>
          <t>UDDEVALLA</t>
        </is>
      </c>
      <c r="I168" t="n">
        <v>12.9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46321</v>
      </c>
      <c r="F169" t="inlineStr">
        <is>
          <t>VÄSTRA GÖTALANDS LÄN</t>
        </is>
      </c>
      <c r="G169" t="inlineStr">
        <is>
          <t>UDDEVALLA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46321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46321</v>
      </c>
      <c r="F171" t="inlineStr">
        <is>
          <t>VÄSTRA GÖTALANDS LÄN</t>
        </is>
      </c>
      <c r="G171" t="inlineStr">
        <is>
          <t>UDDEVALLA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46321</v>
      </c>
      <c r="F172" t="inlineStr">
        <is>
          <t>VÄSTRA GÖTALANDS LÄN</t>
        </is>
      </c>
      <c r="G172" t="inlineStr">
        <is>
          <t>UDDEVALLA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46321</v>
      </c>
      <c r="F173" t="inlineStr">
        <is>
          <t>VÄSTRA GÖTALANDS LÄN</t>
        </is>
      </c>
      <c r="G173" t="inlineStr">
        <is>
          <t>UDDEVALLA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46321</v>
      </c>
      <c r="F174" t="inlineStr">
        <is>
          <t>VÄSTRA GÖTALANDS LÄN</t>
        </is>
      </c>
      <c r="G174" t="inlineStr">
        <is>
          <t>UDDEVALLA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46321</v>
      </c>
      <c r="F175" t="inlineStr">
        <is>
          <t>VÄSTRA GÖTALANDS LÄN</t>
        </is>
      </c>
      <c r="G175" t="inlineStr">
        <is>
          <t>UDDEVALLA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46321</v>
      </c>
      <c r="F176" t="inlineStr">
        <is>
          <t>VÄSTRA GÖTALANDS LÄN</t>
        </is>
      </c>
      <c r="G176" t="inlineStr">
        <is>
          <t>UDDEVALLA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46321</v>
      </c>
      <c r="F177" t="inlineStr">
        <is>
          <t>VÄSTRA GÖTALANDS LÄN</t>
        </is>
      </c>
      <c r="G177" t="inlineStr">
        <is>
          <t>UDDEVALLA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46321</v>
      </c>
      <c r="F178" t="inlineStr">
        <is>
          <t>VÄSTRA GÖTALANDS LÄN</t>
        </is>
      </c>
      <c r="G178" t="inlineStr">
        <is>
          <t>UDDEVALLA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46321</v>
      </c>
      <c r="F179" t="inlineStr">
        <is>
          <t>VÄSTRA GÖTALANDS LÄN</t>
        </is>
      </c>
      <c r="G179" t="inlineStr">
        <is>
          <t>UDDEVALLA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46321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46321</v>
      </c>
      <c r="F181" t="inlineStr">
        <is>
          <t>VÄSTRA GÖTALANDS LÄN</t>
        </is>
      </c>
      <c r="G181" t="inlineStr">
        <is>
          <t>UDDEVALLA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46321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46321</v>
      </c>
      <c r="F183" t="inlineStr">
        <is>
          <t>VÄSTRA GÖTALANDS LÄN</t>
        </is>
      </c>
      <c r="G183" t="inlineStr">
        <is>
          <t>UDDEVALLA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46321</v>
      </c>
      <c r="F184" t="inlineStr">
        <is>
          <t>VÄSTRA GÖTALANDS LÄN</t>
        </is>
      </c>
      <c r="G184" t="inlineStr">
        <is>
          <t>UDDEVALLA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46321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45551</v>
      </c>
      <c r="E186" s="1" t="n">
        <v>46321</v>
      </c>
      <c r="F186" t="inlineStr">
        <is>
          <t>VÄSTRA GÖTALANDS LÄN</t>
        </is>
      </c>
      <c r="G186" t="inlineStr">
        <is>
          <t>UDDEVALLA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44624</v>
      </c>
      <c r="E187" s="1" t="n">
        <v>46321</v>
      </c>
      <c r="F187" t="inlineStr">
        <is>
          <t>VÄSTRA GÖTALANDS LÄN</t>
        </is>
      </c>
      <c r="G187" t="inlineStr">
        <is>
          <t>UDDEVALLA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45722</v>
      </c>
      <c r="E188" s="1" t="n">
        <v>46321</v>
      </c>
      <c r="F188" t="inlineStr">
        <is>
          <t>VÄSTRA GÖTALANDS LÄN</t>
        </is>
      </c>
      <c r="G188" t="inlineStr">
        <is>
          <t>UDDEVALLA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46321</v>
      </c>
      <c r="F189" t="inlineStr">
        <is>
          <t>VÄSTRA GÖTALANDS LÄN</t>
        </is>
      </c>
      <c r="G189" t="inlineStr">
        <is>
          <t>UDDEVALLA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46321</v>
      </c>
      <c r="F190" t="inlineStr">
        <is>
          <t>VÄSTRA GÖTALANDS LÄN</t>
        </is>
      </c>
      <c r="G190" t="inlineStr">
        <is>
          <t>UDDEVALLA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46321</v>
      </c>
      <c r="F191" t="inlineStr">
        <is>
          <t>VÄSTRA GÖTALANDS LÄN</t>
        </is>
      </c>
      <c r="G191" t="inlineStr">
        <is>
          <t>UDDEVALLA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46321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46293</v>
      </c>
      <c r="E193" s="1" t="n">
        <v>46321</v>
      </c>
      <c r="F193" t="inlineStr">
        <is>
          <t>VÄSTRA GÖTALANDS LÄN</t>
        </is>
      </c>
      <c r="G193" t="inlineStr">
        <is>
          <t>UDDEVALLA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46321</v>
      </c>
      <c r="F194" t="inlineStr">
        <is>
          <t>VÄSTRA GÖTALANDS LÄN</t>
        </is>
      </c>
      <c r="G194" t="inlineStr">
        <is>
          <t>UDDEVALLA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46321</v>
      </c>
      <c r="F195" t="inlineStr">
        <is>
          <t>VÄSTRA GÖTALANDS LÄN</t>
        </is>
      </c>
      <c r="G195" t="inlineStr">
        <is>
          <t>UDDEVALLA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46321</v>
      </c>
      <c r="F196" t="inlineStr">
        <is>
          <t>VÄSTRA GÖTALANDS LÄN</t>
        </is>
      </c>
      <c r="G196" t="inlineStr">
        <is>
          <t>UDDEVALLA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46076</v>
      </c>
      <c r="E197" s="1" t="n">
        <v>46321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46321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46321</v>
      </c>
      <c r="F199" t="inlineStr">
        <is>
          <t>VÄSTRA GÖTALANDS LÄN</t>
        </is>
      </c>
      <c r="G199" t="inlineStr">
        <is>
          <t>UDDEVALLA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46321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46321</v>
      </c>
      <c r="F201" t="inlineStr">
        <is>
          <t>VÄSTRA GÖTALANDS LÄN</t>
        </is>
      </c>
      <c r="G201" t="inlineStr">
        <is>
          <t>UDDEVALLA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46083</v>
      </c>
      <c r="E202" s="1" t="n">
        <v>46321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46321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46321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46321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46321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46321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46321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46321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46090</v>
      </c>
      <c r="E210" s="1" t="n">
        <v>46321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46321</v>
      </c>
      <c r="F211" t="inlineStr">
        <is>
          <t>VÄSTRA GÖTALANDS LÄN</t>
        </is>
      </c>
      <c r="G211" t="inlineStr">
        <is>
          <t>UDDEVALLA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46321</v>
      </c>
      <c r="F212" t="inlineStr">
        <is>
          <t>VÄSTRA GÖTALANDS LÄN</t>
        </is>
      </c>
      <c r="G212" t="inlineStr">
        <is>
          <t>UDDEVALLA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45843</v>
      </c>
      <c r="E213" s="1" t="n">
        <v>46321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46321</v>
      </c>
      <c r="F214" t="inlineStr">
        <is>
          <t>VÄSTRA GÖTALANDS LÄN</t>
        </is>
      </c>
      <c r="G214" t="inlineStr">
        <is>
          <t>UDDEVALLA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46321</v>
      </c>
      <c r="F215" t="inlineStr">
        <is>
          <t>VÄSTRA GÖTALANDS LÄN</t>
        </is>
      </c>
      <c r="G215" t="inlineStr">
        <is>
          <t>UDDEVALLA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41692-2026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46321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46321</v>
      </c>
      <c r="F217" t="inlineStr">
        <is>
          <t>VÄSTRA GÖTALANDS LÄN</t>
        </is>
      </c>
      <c r="G217" t="inlineStr">
        <is>
          <t>UDDEVALLA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16819-2026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46113</v>
      </c>
      <c r="E218" s="1" t="n">
        <v>46321</v>
      </c>
      <c r="F218" t="inlineStr">
        <is>
          <t>VÄSTRA GÖTALANDS LÄN</t>
        </is>
      </c>
      <c r="G218" t="inlineStr">
        <is>
          <t>UDDEVALLA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46321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46321</v>
      </c>
      <c r="F220" t="inlineStr">
        <is>
          <t>VÄSTRA GÖTALANDS LÄN</t>
        </is>
      </c>
      <c r="G220" t="inlineStr">
        <is>
          <t>UDDEVALLA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46321</v>
      </c>
      <c r="F221" t="inlineStr">
        <is>
          <t>VÄSTRA GÖTALANDS LÄN</t>
        </is>
      </c>
      <c r="G221" t="inlineStr">
        <is>
          <t>UDDEVALLA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46321</v>
      </c>
      <c r="F222" t="inlineStr">
        <is>
          <t>VÄSTRA GÖTALANDS LÄN</t>
        </is>
      </c>
      <c r="G222" t="inlineStr">
        <is>
          <t>UDDEVALLA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46321</v>
      </c>
      <c r="F223" t="inlineStr">
        <is>
          <t>VÄSTRA GÖTALANDS LÄN</t>
        </is>
      </c>
      <c r="G223" t="inlineStr">
        <is>
          <t>UDDEVALLA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46321</v>
      </c>
      <c r="F224" t="inlineStr">
        <is>
          <t>VÄSTRA GÖTALANDS LÄN</t>
        </is>
      </c>
      <c r="G224" t="inlineStr">
        <is>
          <t>UDDEVALLA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46321</v>
      </c>
      <c r="F225" t="inlineStr">
        <is>
          <t>VÄSTRA GÖTALANDS LÄN</t>
        </is>
      </c>
      <c r="G225" t="inlineStr">
        <is>
          <t>UDDEVALLA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46321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46321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46321</v>
      </c>
      <c r="F228" t="inlineStr">
        <is>
          <t>VÄSTRA GÖTALANDS LÄN</t>
        </is>
      </c>
      <c r="G228" t="inlineStr">
        <is>
          <t>UDDEVALLA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46321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46321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46321</v>
      </c>
      <c r="F231" t="inlineStr">
        <is>
          <t>VÄSTRA GÖTALANDS LÄN</t>
        </is>
      </c>
      <c r="G231" t="inlineStr">
        <is>
          <t>UDDEVALLA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46321</v>
      </c>
      <c r="F232" t="inlineStr">
        <is>
          <t>VÄSTRA GÖTALANDS LÄN</t>
        </is>
      </c>
      <c r="G232" t="inlineStr">
        <is>
          <t>UDDEVALLA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46321</v>
      </c>
      <c r="F233" t="inlineStr">
        <is>
          <t>VÄSTRA GÖTALANDS LÄN</t>
        </is>
      </c>
      <c r="G233" t="inlineStr">
        <is>
          <t>UDDEVALLA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45882</v>
      </c>
      <c r="E234" s="1" t="n">
        <v>46321</v>
      </c>
      <c r="F234" t="inlineStr">
        <is>
          <t>VÄSTRA GÖTALANDS LÄN</t>
        </is>
      </c>
      <c r="G234" t="inlineStr">
        <is>
          <t>UDDEVALLA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45638</v>
      </c>
      <c r="E235" s="1" t="n">
        <v>46321</v>
      </c>
      <c r="F235" t="inlineStr">
        <is>
          <t>VÄSTRA GÖTALANDS LÄN</t>
        </is>
      </c>
      <c r="G235" t="inlineStr">
        <is>
          <t>UDDEVALLA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46321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45517</v>
      </c>
      <c r="E237" s="1" t="n">
        <v>46321</v>
      </c>
      <c r="F237" t="inlineStr">
        <is>
          <t>VÄSTRA GÖTALANDS LÄN</t>
        </is>
      </c>
      <c r="G237" t="inlineStr">
        <is>
          <t>UDDEVALLA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46321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45097</v>
      </c>
      <c r="E239" s="1" t="n">
        <v>46321</v>
      </c>
      <c r="F239" t="inlineStr">
        <is>
          <t>VÄSTRA GÖTALANDS LÄN</t>
        </is>
      </c>
      <c r="G239" t="inlineStr">
        <is>
          <t>UDDEVALLA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46321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46321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46267</v>
      </c>
      <c r="E242" s="1" t="n">
        <v>46321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46321</v>
      </c>
      <c r="F243" t="inlineStr">
        <is>
          <t>VÄSTRA GÖTALANDS LÄN</t>
        </is>
      </c>
      <c r="G243" t="inlineStr">
        <is>
          <t>UDDEVALLA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46211</v>
      </c>
      <c r="E244" s="1" t="n">
        <v>46321</v>
      </c>
      <c r="F244" t="inlineStr">
        <is>
          <t>VÄSTRA GÖTALANDS LÄN</t>
        </is>
      </c>
      <c r="G244" t="inlineStr">
        <is>
          <t>UDDEVALLA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46321</v>
      </c>
      <c r="F245" t="inlineStr">
        <is>
          <t>VÄSTRA GÖTALANDS LÄN</t>
        </is>
      </c>
      <c r="G245" t="inlineStr">
        <is>
          <t>UDDEVALLA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46321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46321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45907</v>
      </c>
      <c r="E248" s="1" t="n">
        <v>46321</v>
      </c>
      <c r="F248" t="inlineStr">
        <is>
          <t>VÄSTRA GÖTALANDS LÄN</t>
        </is>
      </c>
      <c r="G248" t="inlineStr">
        <is>
          <t>UDDEVALLA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46311</v>
      </c>
      <c r="E249" s="1" t="n">
        <v>46321</v>
      </c>
      <c r="F249" t="inlineStr">
        <is>
          <t>VÄSTRA GÖTALANDS LÄN</t>
        </is>
      </c>
      <c r="G249" t="inlineStr">
        <is>
          <t>UDDEVALLA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46321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46321</v>
      </c>
      <c r="F251" t="inlineStr">
        <is>
          <t>VÄSTRA GÖTALANDS LÄN</t>
        </is>
      </c>
      <c r="G251" t="inlineStr">
        <is>
          <t>UDDEVALLA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46321</v>
      </c>
      <c r="F252" t="inlineStr">
        <is>
          <t>VÄSTRA GÖTALANDS LÄN</t>
        </is>
      </c>
      <c r="G252" t="inlineStr">
        <is>
          <t>UDDEVALLA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46266</v>
      </c>
      <c r="E253" s="1" t="n">
        <v>46321</v>
      </c>
      <c r="F253" t="inlineStr">
        <is>
          <t>VÄSTRA GÖTALANDS LÄN</t>
        </is>
      </c>
      <c r="G253" t="inlineStr">
        <is>
          <t>UDDEVALLA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46321</v>
      </c>
      <c r="F254" t="inlineStr">
        <is>
          <t>VÄSTRA GÖTALANDS LÄN</t>
        </is>
      </c>
      <c r="G254" t="inlineStr">
        <is>
          <t>UDDEVALLA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20401-2026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46139</v>
      </c>
      <c r="E255" s="1" t="n">
        <v>46321</v>
      </c>
      <c r="F255" t="inlineStr">
        <is>
          <t>VÄSTRA GÖTALANDS LÄN</t>
        </is>
      </c>
      <c r="G255" t="inlineStr">
        <is>
          <t>UDDEVALLA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46321</v>
      </c>
      <c r="F256" t="inlineStr">
        <is>
          <t>VÄSTRA GÖTALANDS LÄN</t>
        </is>
      </c>
      <c r="G256" t="inlineStr">
        <is>
          <t>UDDEVALLA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46321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46321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46321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46321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46303</v>
      </c>
      <c r="E261" s="1" t="n">
        <v>46321</v>
      </c>
      <c r="F261" t="inlineStr">
        <is>
          <t>VÄSTRA GÖTALANDS LÄN</t>
        </is>
      </c>
      <c r="G261" t="inlineStr">
        <is>
          <t>UDDEVALLA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46316</v>
      </c>
      <c r="E262" s="1" t="n">
        <v>46321</v>
      </c>
      <c r="F262" t="inlineStr">
        <is>
          <t>VÄSTRA GÖTALANDS LÄN</t>
        </is>
      </c>
      <c r="G262" t="inlineStr">
        <is>
          <t>UDDEVALLA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46321</v>
      </c>
      <c r="F263" t="inlineStr">
        <is>
          <t>VÄSTRA GÖTALANDS LÄN</t>
        </is>
      </c>
      <c r="G263" t="inlineStr">
        <is>
          <t>UDDEVALLA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45633</v>
      </c>
      <c r="E264" s="1" t="n">
        <v>46321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46321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46321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Kommuner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46321</v>
      </c>
      <c r="F267" t="inlineStr">
        <is>
          <t>VÄSTRA GÖTALANDS LÄN</t>
        </is>
      </c>
      <c r="G267" t="inlineStr">
        <is>
          <t>UDDEVALLA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45748</v>
      </c>
      <c r="E268" s="1" t="n">
        <v>46321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46321</v>
      </c>
      <c r="F269" t="inlineStr">
        <is>
          <t>VÄSTRA GÖTALANDS LÄN</t>
        </is>
      </c>
      <c r="G269" t="inlineStr">
        <is>
          <t>UDDEVALLA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59674-2023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45255</v>
      </c>
      <c r="E270" s="1" t="n">
        <v>46321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46321</v>
      </c>
      <c r="F271" t="inlineStr">
        <is>
          <t>VÄSTRA GÖTALANDS LÄN</t>
        </is>
      </c>
      <c r="G271" t="inlineStr">
        <is>
          <t>UDDEVALLA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46321</v>
      </c>
      <c r="F272" t="inlineStr">
        <is>
          <t>VÄSTRA GÖTALANDS LÄN</t>
        </is>
      </c>
      <c r="G272" t="inlineStr">
        <is>
          <t>UDDEVALLA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46321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46321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46321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46321</v>
      </c>
      <c r="F276" t="inlineStr">
        <is>
          <t>VÄSTRA GÖTALANDS LÄN</t>
        </is>
      </c>
      <c r="G276" t="inlineStr">
        <is>
          <t>UDDEVALLA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46321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46321</v>
      </c>
      <c r="F278" t="inlineStr">
        <is>
          <t>VÄSTRA GÖTALANDS LÄN</t>
        </is>
      </c>
      <c r="G278" t="inlineStr">
        <is>
          <t>UDDEVALLA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46321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46321</v>
      </c>
      <c r="F280" t="inlineStr">
        <is>
          <t>VÄSTRA GÖTALANDS LÄN</t>
        </is>
      </c>
      <c r="G280" t="inlineStr">
        <is>
          <t>UDDEVALLA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46321</v>
      </c>
      <c r="F281" t="inlineStr">
        <is>
          <t>VÄSTRA GÖTALANDS LÄN</t>
        </is>
      </c>
      <c r="G281" t="inlineStr">
        <is>
          <t>UDDEVALLA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45764</v>
      </c>
      <c r="E282" s="1" t="n">
        <v>46321</v>
      </c>
      <c r="F282" t="inlineStr">
        <is>
          <t>VÄSTRA GÖTALANDS LÄN</t>
        </is>
      </c>
      <c r="G282" t="inlineStr">
        <is>
          <t>UDDEVALLA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45071</v>
      </c>
      <c r="E283" s="1" t="n">
        <v>46321</v>
      </c>
      <c r="F283" t="inlineStr">
        <is>
          <t>VÄSTRA GÖTALANDS LÄN</t>
        </is>
      </c>
      <c r="G283" t="inlineStr">
        <is>
          <t>UDDEVALLA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46321</v>
      </c>
      <c r="F284" t="inlineStr">
        <is>
          <t>VÄSTRA GÖTALANDS LÄN</t>
        </is>
      </c>
      <c r="G284" t="inlineStr">
        <is>
          <t>UDDEVALLA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46321</v>
      </c>
      <c r="F285" t="inlineStr">
        <is>
          <t>VÄSTRA GÖTALANDS LÄN</t>
        </is>
      </c>
      <c r="G285" t="inlineStr">
        <is>
          <t>UDDEVALLA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46321</v>
      </c>
      <c r="F286" t="inlineStr">
        <is>
          <t>VÄSTRA GÖTALANDS LÄN</t>
        </is>
      </c>
      <c r="G286" t="inlineStr">
        <is>
          <t>UDDEVALLA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17058-2025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45754</v>
      </c>
      <c r="E287" s="1" t="n">
        <v>46321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45551</v>
      </c>
      <c r="E288" s="1" t="n">
        <v>46321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73437-2021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44551</v>
      </c>
      <c r="E289" s="1" t="n">
        <v>46321</v>
      </c>
      <c r="F289" t="inlineStr">
        <is>
          <t>VÄSTRA GÖTALANDS LÄN</t>
        </is>
      </c>
      <c r="G289" t="inlineStr">
        <is>
          <t>UDDEVALLA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46321</v>
      </c>
      <c r="F290" t="inlineStr">
        <is>
          <t>VÄSTRA GÖTALANDS LÄN</t>
        </is>
      </c>
      <c r="G290" t="inlineStr">
        <is>
          <t>UDDEVALLA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46321</v>
      </c>
      <c r="F291" t="inlineStr">
        <is>
          <t>VÄSTRA GÖTALANDS LÄN</t>
        </is>
      </c>
      <c r="G291" t="inlineStr">
        <is>
          <t>UDDEVALLA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46321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46321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63397-2021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44508</v>
      </c>
      <c r="E294" s="1" t="n">
        <v>46321</v>
      </c>
      <c r="F294" t="inlineStr">
        <is>
          <t>VÄSTRA GÖTALANDS LÄN</t>
        </is>
      </c>
      <c r="G294" t="inlineStr">
        <is>
          <t>UDDEVALLA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46321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46321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46321</v>
      </c>
      <c r="F297" t="inlineStr">
        <is>
          <t>VÄSTRA GÖTALANDS LÄN</t>
        </is>
      </c>
      <c r="G297" t="inlineStr">
        <is>
          <t>UDDEVALLA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45150</v>
      </c>
      <c r="E298" s="1" t="n">
        <v>46321</v>
      </c>
      <c r="F298" t="inlineStr">
        <is>
          <t>VÄSTRA GÖTALANDS LÄN</t>
        </is>
      </c>
      <c r="G298" t="inlineStr">
        <is>
          <t>UDDEVALLA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46321</v>
      </c>
      <c r="F299" t="inlineStr">
        <is>
          <t>VÄSTRA GÖTALANDS LÄN</t>
        </is>
      </c>
      <c r="G299" t="inlineStr">
        <is>
          <t>UDDEVALLA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46321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46321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46321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46321</v>
      </c>
      <c r="F303" t="inlineStr">
        <is>
          <t>VÄSTRA GÖTALANDS LÄN</t>
        </is>
      </c>
      <c r="G303" t="inlineStr">
        <is>
          <t>UDDEVALLA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46321</v>
      </c>
      <c r="F304" t="inlineStr">
        <is>
          <t>VÄSTRA GÖTALANDS LÄN</t>
        </is>
      </c>
      <c r="G304" t="inlineStr">
        <is>
          <t>UDDEVALLA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46321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46321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46321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19980-2025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45771</v>
      </c>
      <c r="E308" s="1" t="n">
        <v>46321</v>
      </c>
      <c r="F308" t="inlineStr">
        <is>
          <t>VÄSTRA GÖTALANDS LÄN</t>
        </is>
      </c>
      <c r="G308" t="inlineStr">
        <is>
          <t>UDDEVALLA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46321</v>
      </c>
      <c r="F309" t="inlineStr">
        <is>
          <t>VÄSTRA GÖTALANDS LÄN</t>
        </is>
      </c>
      <c r="G309" t="inlineStr">
        <is>
          <t>UDDEVALLA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46321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46321</v>
      </c>
      <c r="F311" t="inlineStr">
        <is>
          <t>VÄSTRA GÖTALANDS LÄN</t>
        </is>
      </c>
      <c r="G311" t="inlineStr">
        <is>
          <t>UDDEVALLA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2306-2022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44578</v>
      </c>
      <c r="E312" s="1" t="n">
        <v>46321</v>
      </c>
      <c r="F312" t="inlineStr">
        <is>
          <t>VÄSTRA GÖTALANDS LÄN</t>
        </is>
      </c>
      <c r="G312" t="inlineStr">
        <is>
          <t>UDDEVALLA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46321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44602</v>
      </c>
      <c r="E314" s="1" t="n">
        <v>46321</v>
      </c>
      <c r="F314" t="inlineStr">
        <is>
          <t>VÄSTRA GÖTALANDS LÄN</t>
        </is>
      </c>
      <c r="G314" t="inlineStr">
        <is>
          <t>UDDEVALLA</t>
        </is>
      </c>
      <c r="I314" t="n">
        <v>9.6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46321</v>
      </c>
      <c r="F315" t="inlineStr">
        <is>
          <t>VÄSTRA GÖTALANDS LÄN</t>
        </is>
      </c>
      <c r="G315" t="inlineStr">
        <is>
          <t>UDDEVALLA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45456</v>
      </c>
      <c r="E316" s="1" t="n">
        <v>46321</v>
      </c>
      <c r="F316" t="inlineStr">
        <is>
          <t>VÄSTRA GÖTALANDS LÄN</t>
        </is>
      </c>
      <c r="G316" t="inlineStr">
        <is>
          <t>UDDEVALLA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46321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46321</v>
      </c>
      <c r="F318" t="inlineStr">
        <is>
          <t>VÄSTRA GÖTALANDS LÄN</t>
        </is>
      </c>
      <c r="G318" t="inlineStr">
        <is>
          <t>UDDEVALLA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46321</v>
      </c>
      <c r="F319" t="inlineStr">
        <is>
          <t>VÄSTRA GÖTALANDS LÄN</t>
        </is>
      </c>
      <c r="G319" t="inlineStr">
        <is>
          <t>UDDEVALLA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46321</v>
      </c>
      <c r="F320" t="inlineStr">
        <is>
          <t>VÄSTRA GÖTALANDS LÄN</t>
        </is>
      </c>
      <c r="G320" t="inlineStr">
        <is>
          <t>UDDEVALLA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46321</v>
      </c>
      <c r="F321" t="inlineStr">
        <is>
          <t>VÄSTRA GÖTALANDS LÄN</t>
        </is>
      </c>
      <c r="G321" t="inlineStr">
        <is>
          <t>UDDEVALLA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44733</v>
      </c>
      <c r="E322" s="1" t="n">
        <v>46321</v>
      </c>
      <c r="F322" t="inlineStr">
        <is>
          <t>VÄSTRA GÖTALANDS LÄN</t>
        </is>
      </c>
      <c r="G322" t="inlineStr">
        <is>
          <t>UDDEVALLA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44715</v>
      </c>
      <c r="E323" s="1" t="n">
        <v>46321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46321</v>
      </c>
      <c r="F324" t="inlineStr">
        <is>
          <t>VÄSTRA GÖTALANDS LÄN</t>
        </is>
      </c>
      <c r="G324" t="inlineStr">
        <is>
          <t>UDDEVALLA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46321</v>
      </c>
      <c r="F325" t="inlineStr">
        <is>
          <t>VÄSTRA GÖTALANDS LÄN</t>
        </is>
      </c>
      <c r="G325" t="inlineStr">
        <is>
          <t>UDDEVALLA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39088-2022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46321</v>
      </c>
      <c r="F326" t="inlineStr">
        <is>
          <t>VÄSTRA GÖTALANDS LÄN</t>
        </is>
      </c>
      <c r="G326" t="inlineStr">
        <is>
          <t>UDDEVALLA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46321</v>
      </c>
      <c r="F327" t="inlineStr">
        <is>
          <t>VÄSTRA GÖTALANDS LÄN</t>
        </is>
      </c>
      <c r="G327" t="inlineStr">
        <is>
          <t>UDDEVALLA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46321</v>
      </c>
      <c r="F328" t="inlineStr">
        <is>
          <t>VÄSTRA GÖTALANDS LÄN</t>
        </is>
      </c>
      <c r="G328" t="inlineStr">
        <is>
          <t>UDDEVALLA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46321</v>
      </c>
      <c r="F329" t="inlineStr">
        <is>
          <t>VÄSTRA GÖTALANDS LÄN</t>
        </is>
      </c>
      <c r="G329" t="inlineStr">
        <is>
          <t>UDDEVALLA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46321</v>
      </c>
      <c r="F330" t="inlineStr">
        <is>
          <t>VÄSTRA GÖTALANDS LÄN</t>
        </is>
      </c>
      <c r="G330" t="inlineStr">
        <is>
          <t>UDDEVALLA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44984</v>
      </c>
      <c r="E331" s="1" t="n">
        <v>46321</v>
      </c>
      <c r="F331" t="inlineStr">
        <is>
          <t>VÄSTRA GÖTALANDS LÄN</t>
        </is>
      </c>
      <c r="G331" t="inlineStr">
        <is>
          <t>UDDEVALLA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44683</v>
      </c>
      <c r="E332" s="1" t="n">
        <v>46321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46321</v>
      </c>
      <c r="F333" t="inlineStr">
        <is>
          <t>VÄSTRA GÖTALANDS LÄN</t>
        </is>
      </c>
      <c r="G333" t="inlineStr">
        <is>
          <t>UDDEVALLA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46321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46321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46321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2026-10-26T03:11:40Z</dcterms:created>
  <dcterms:modified xmlns:dcterms="http://purl.org/dc/terms/" xmlns:xsi="http://www.w3.org/2001/XMLSchema-instance" xsi:type="dcterms:W3CDTF">2026-10-26T03:11:41Z</dcterms:modified>
</cp:coreProperties>
</file>