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45644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45644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45644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45644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45644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45644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45644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Gräddporing
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33021-2019</t>
        </is>
      </c>
      <c r="B9" s="1" t="n">
        <v>43649</v>
      </c>
      <c r="C9" s="1" t="n">
        <v>45644</v>
      </c>
      <c r="D9" t="inlineStr">
        <is>
          <t>VÄSTRA GÖTALANDS LÄN</t>
        </is>
      </c>
      <c r="E9" t="inlineStr">
        <is>
          <t>UDDEVALLA</t>
        </is>
      </c>
      <c r="G9" t="n">
        <v>2.1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Gräddporing
Ängsvaxskivling</t>
        </is>
      </c>
      <c r="S9">
        <f>HYPERLINK("https://klasma.github.io/Logging_1485/artfynd/A 33021-2019 artfynd.xlsx", "A 33021-2019")</f>
        <v/>
      </c>
      <c r="T9">
        <f>HYPERLINK("https://klasma.github.io/Logging_1485/kartor/A 33021-2019 karta.png", "A 33021-2019")</f>
        <v/>
      </c>
      <c r="V9">
        <f>HYPERLINK("https://klasma.github.io/Logging_1485/klagomål/A 33021-2019 FSC-klagomål.docx", "A 33021-2019")</f>
        <v/>
      </c>
      <c r="W9">
        <f>HYPERLINK("https://klasma.github.io/Logging_1485/klagomålsmail/A 33021-2019 FSC-klagomål mail.docx", "A 33021-2019")</f>
        <v/>
      </c>
      <c r="X9">
        <f>HYPERLINK("https://klasma.github.io/Logging_1485/tillsyn/A 33021-2019 tillsynsbegäran.docx", "A 33021-2019")</f>
        <v/>
      </c>
      <c r="Y9">
        <f>HYPERLINK("https://klasma.github.io/Logging_1485/tillsynsmail/A 33021-2019 tillsynsbegäran mail.docx", "A 33021-2019")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45644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Fjällvråk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969-2024</t>
        </is>
      </c>
      <c r="B11" s="1" t="n">
        <v>45301</v>
      </c>
      <c r="C11" s="1" t="n">
        <v>45644</v>
      </c>
      <c r="D11" t="inlineStr">
        <is>
          <t>VÄSTRA GÖTALANDS LÄN</t>
        </is>
      </c>
      <c r="E11" t="inlineStr">
        <is>
          <t>UDDEVALLA</t>
        </is>
      </c>
      <c r="G11" t="n">
        <v>17.4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HYPERLINK("https://klasma.github.io/Logging_1485/artfynd/A 969-2024 artfynd.xlsx", "A 969-2024")</f>
        <v/>
      </c>
      <c r="T11">
        <f>HYPERLINK("https://klasma.github.io/Logging_1485/kartor/A 969-2024 karta.png", "A 969-2024")</f>
        <v/>
      </c>
      <c r="V11">
        <f>HYPERLINK("https://klasma.github.io/Logging_1485/klagomål/A 969-2024 FSC-klagomål.docx", "A 969-2024")</f>
        <v/>
      </c>
      <c r="W11">
        <f>HYPERLINK("https://klasma.github.io/Logging_1485/klagomålsmail/A 969-2024 FSC-klagomål mail.docx", "A 969-2024")</f>
        <v/>
      </c>
      <c r="X11">
        <f>HYPERLINK("https://klasma.github.io/Logging_1485/tillsyn/A 969-2024 tillsynsbegäran.docx", "A 969-2024")</f>
        <v/>
      </c>
      <c r="Y11">
        <f>HYPERLINK("https://klasma.github.io/Logging_1485/tillsynsmail/A 969-2024 tillsynsbegäran mail.docx", "A 969-2024")</f>
        <v/>
      </c>
    </row>
    <row r="12" ht="15" customHeight="1">
      <c r="A12" t="inlineStr">
        <is>
          <t>A 3432-2024</t>
        </is>
      </c>
      <c r="B12" s="1" t="n">
        <v>45317</v>
      </c>
      <c r="C12" s="1" t="n">
        <v>45644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Västlig hakmossa</t>
        </is>
      </c>
      <c r="S12">
        <f>HYPERLINK("https://klasma.github.io/Logging_1485/artfynd/A 3432-2024 artfynd.xlsx", "A 3432-2024")</f>
        <v/>
      </c>
      <c r="T12">
        <f>HYPERLINK("https://klasma.github.io/Logging_1485/kartor/A 3432-2024 karta.png", "A 3432-2024")</f>
        <v/>
      </c>
      <c r="V12">
        <f>HYPERLINK("https://klasma.github.io/Logging_1485/klagomål/A 3432-2024 FSC-klagomål.docx", "A 3432-2024")</f>
        <v/>
      </c>
      <c r="W12">
        <f>HYPERLINK("https://klasma.github.io/Logging_1485/klagomålsmail/A 3432-2024 FSC-klagomål mail.docx", "A 3432-2024")</f>
        <v/>
      </c>
      <c r="X12">
        <f>HYPERLINK("https://klasma.github.io/Logging_1485/tillsyn/A 3432-2024 tillsynsbegäran.docx", "A 3432-2024")</f>
        <v/>
      </c>
      <c r="Y12">
        <f>HYPERLINK("https://klasma.github.io/Logging_1485/tillsynsmail/A 3432-2024 tillsynsbegäran mail.docx", "A 3432-2024")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45644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45644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32523-2024</t>
        </is>
      </c>
      <c r="B15" s="1" t="n">
        <v>45513</v>
      </c>
      <c r="C15" s="1" t="n">
        <v>45644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32528-2024</t>
        </is>
      </c>
      <c r="B16" s="1" t="n">
        <v>45513</v>
      </c>
      <c r="C16" s="1" t="n">
        <v>45644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45644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45644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45644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45644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45644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45644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45644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45644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45644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45644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45644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45644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45644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45644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45644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45644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45644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45644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45644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45644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45644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45644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45644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45644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45644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45644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45644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45644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45644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45644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45644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45644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45644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45644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45644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45644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45644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45644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45644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45644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45644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45644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45644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45644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45644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45644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45644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45644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45644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45644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45644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45644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45644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45644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45644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45644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45644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45644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45644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45644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45644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45644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45644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45644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45644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45644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45644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45644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45644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45644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45644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45644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45644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45644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45644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45644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45644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45644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45644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45644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45644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45644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45644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45644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45644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45644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45644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45644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45644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45644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45644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45644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45644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45644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45644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45644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45644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45644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45644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45644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45644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45644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45644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45644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45644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45644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45644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45644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45644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45644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45644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45644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45644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45644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45644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45644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45644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45644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45644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45644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45644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45644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45644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45644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45644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45644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45644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45644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45644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45644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45644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45644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45644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45644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45644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45644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45644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45644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45644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45644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45644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45644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45644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45644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45644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45644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45644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45644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45644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45644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45644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45644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45644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45644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45644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45644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45644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45644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45644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45644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45644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45644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45644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45644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45644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45644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45644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45644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45644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45644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45644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45644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45644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45644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45644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45644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45644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45644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45644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45644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45644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45644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45644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45644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45644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45644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45644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45644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45644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45644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45644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45644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45644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45644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45644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45644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45644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45644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45644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45644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45644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45644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45644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45644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45644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45644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45644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45644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45644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45644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45644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45644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45644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45644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45644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45644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45644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45644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45644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45644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45644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45644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45644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45644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45644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45644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45644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45644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45644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45644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45644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45644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45644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45644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45644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45644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45644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45644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45644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45644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45644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45644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45644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45644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45644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45644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45644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45644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45644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45644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45644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45644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45644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45644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45644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45644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45644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45644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45644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45644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45644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45644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45644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45644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45644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45644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45644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45644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45644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45644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45644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45644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45644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45644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45644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45644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45644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45644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45644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45644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45644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45644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45644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45644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45644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45644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45644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45644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45644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45644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45644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45644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45644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45644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45644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45644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45644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45644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45644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45644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45644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45644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45644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45644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45644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45644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45644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45644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45644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45644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45644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45644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45644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45644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45644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45644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45644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45644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45644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45644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45644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45644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45644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45644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45644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45644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45644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45644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45644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45644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45644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45644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45644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45644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45644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45644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45644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45644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45644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45644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45644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45644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45644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45644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45644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45644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45644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45644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45644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45644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45644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45644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45644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45644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45644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45644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45644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45644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45644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45644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45644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45644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45644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45644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45644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45644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45644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45644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45644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45644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45644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45644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45644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45644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45644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45644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45644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45644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45644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45644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45644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45644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45644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45644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45644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45644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45644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45644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45644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45644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45644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45644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45644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45644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45644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45644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45644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45644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45644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45644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45644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45644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45644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45644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45644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45644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45644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45644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45644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45644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45644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45644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45644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45644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45644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45644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45644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45644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45644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45644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45644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45644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45644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45644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45644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45644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45644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45644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45644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45644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45644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45644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45644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45644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45644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45644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45644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45644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45644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45644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45644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45644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45644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45644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45644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45644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45644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45644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45644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45644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45644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45644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45644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45644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45644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45644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45644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45644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45644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58625-2024</t>
        </is>
      </c>
      <c r="B476" s="1" t="n">
        <v>45635</v>
      </c>
      <c r="C476" s="1" t="n">
        <v>45644</v>
      </c>
      <c r="D476" t="inlineStr">
        <is>
          <t>VÄSTRA GÖTALANDS LÄN</t>
        </is>
      </c>
      <c r="E476" t="inlineStr">
        <is>
          <t>UDDEVALLA</t>
        </is>
      </c>
      <c r="G476" t="n">
        <v>14.9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58633-2024</t>
        </is>
      </c>
      <c r="B477" s="1" t="n">
        <v>45635</v>
      </c>
      <c r="C477" s="1" t="n">
        <v>45644</v>
      </c>
      <c r="D477" t="inlineStr">
        <is>
          <t>VÄSTRA GÖTALANDS LÄN</t>
        </is>
      </c>
      <c r="E477" t="inlineStr">
        <is>
          <t>UDDEVALLA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45644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59476-2024</t>
        </is>
      </c>
      <c r="B479" s="1" t="n">
        <v>45638</v>
      </c>
      <c r="C479" s="1" t="n">
        <v>45644</v>
      </c>
      <c r="D479" t="inlineStr">
        <is>
          <t>VÄSTRA GÖTALANDS LÄN</t>
        </is>
      </c>
      <c r="E479" t="inlineStr">
        <is>
          <t>UDDEVALLA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59513-2024</t>
        </is>
      </c>
      <c r="B480" s="1" t="n">
        <v>45638</v>
      </c>
      <c r="C480" s="1" t="n">
        <v>45644</v>
      </c>
      <c r="D480" t="inlineStr">
        <is>
          <t>VÄSTRA GÖTALANDS LÄN</t>
        </is>
      </c>
      <c r="E480" t="inlineStr">
        <is>
          <t>UDDEVALLA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59500-2024</t>
        </is>
      </c>
      <c r="B481" s="1" t="n">
        <v>45638</v>
      </c>
      <c r="C481" s="1" t="n">
        <v>45644</v>
      </c>
      <c r="D481" t="inlineStr">
        <is>
          <t>VÄSTRA GÖTALANDS LÄN</t>
        </is>
      </c>
      <c r="E481" t="inlineStr">
        <is>
          <t>UDDEVALLA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60241-2024</t>
        </is>
      </c>
      <c r="B482" s="1" t="n">
        <v>45642</v>
      </c>
      <c r="C482" s="1" t="n">
        <v>45644</v>
      </c>
      <c r="D482" t="inlineStr">
        <is>
          <t>VÄSTRA GÖTALANDS LÄN</t>
        </is>
      </c>
      <c r="E482" t="inlineStr">
        <is>
          <t>UDDEVALLA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60245-2024</t>
        </is>
      </c>
      <c r="B483" s="1" t="n">
        <v>45642</v>
      </c>
      <c r="C483" s="1" t="n">
        <v>45644</v>
      </c>
      <c r="D483" t="inlineStr">
        <is>
          <t>VÄSTRA GÖTALANDS LÄN</t>
        </is>
      </c>
      <c r="E483" t="inlineStr">
        <is>
          <t>UDDEVALLA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60247-2024</t>
        </is>
      </c>
      <c r="B484" s="1" t="n">
        <v>45642</v>
      </c>
      <c r="C484" s="1" t="n">
        <v>45644</v>
      </c>
      <c r="D484" t="inlineStr">
        <is>
          <t>VÄSTRA GÖTALANDS LÄN</t>
        </is>
      </c>
      <c r="E484" t="inlineStr">
        <is>
          <t>UDDEVALLA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60251-2024</t>
        </is>
      </c>
      <c r="B485" s="1" t="n">
        <v>45642</v>
      </c>
      <c r="C485" s="1" t="n">
        <v>45644</v>
      </c>
      <c r="D485" t="inlineStr">
        <is>
          <t>VÄSTRA GÖTALANDS LÄN</t>
        </is>
      </c>
      <c r="E485" t="inlineStr">
        <is>
          <t>UDDEVALLA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60242-2024</t>
        </is>
      </c>
      <c r="B486" s="1" t="n">
        <v>45642</v>
      </c>
      <c r="C486" s="1" t="n">
        <v>45644</v>
      </c>
      <c r="D486" t="inlineStr">
        <is>
          <t>VÄSTRA GÖTALANDS LÄN</t>
        </is>
      </c>
      <c r="E486" t="inlineStr">
        <is>
          <t>UDDEVALLA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60250-2024</t>
        </is>
      </c>
      <c r="B487" s="1" t="n">
        <v>45642</v>
      </c>
      <c r="C487" s="1" t="n">
        <v>45644</v>
      </c>
      <c r="D487" t="inlineStr">
        <is>
          <t>VÄSTRA GÖTALANDS LÄN</t>
        </is>
      </c>
      <c r="E487" t="inlineStr">
        <is>
          <t>UDDEVALLA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2024-12-18T15:55:55Z</dcterms:created>
  <dcterms:modified xmlns:dcterms="http://purl.org/dc/terms/" xmlns:xsi="http://www.w3.org/2001/XMLSchema-instance" xsi:type="dcterms:W3CDTF">2024-12-18T15:55:55Z</dcterms:modified>
</cp:coreProperties>
</file>