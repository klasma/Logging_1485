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46259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46259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46259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46259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46259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46259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46259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16347-2025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45751</v>
      </c>
      <c r="E9" s="1" t="n">
        <v>46259</v>
      </c>
      <c r="F9" t="inlineStr">
        <is>
          <t>VÄSTRA GÖTALANDS LÄN</t>
        </is>
      </c>
      <c r="G9" t="inlineStr">
        <is>
          <t>UDDEVALLA</t>
        </is>
      </c>
      <c r="I9" t="n">
        <v>3.8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1</v>
      </c>
      <c r="P9" t="n">
        <v>0</v>
      </c>
      <c r="Q9" t="n">
        <v>2</v>
      </c>
      <c r="R9" t="n">
        <v>2</v>
      </c>
      <c r="S9" t="n">
        <v>5</v>
      </c>
      <c r="T9" t="n">
        <v>5</v>
      </c>
      <c r="U9" t="n">
        <v>2</v>
      </c>
      <c r="V9" s="2" t="inlineStr">
        <is>
          <t>Vitryggig hackspett
Garnlav
Klibbtickgnagare
Vedticka
Kopparödla</t>
        </is>
      </c>
      <c r="W9">
        <f>HYPERLINK("https://klasma.github.io/Logging_1485/artfynd/A 16347-2025 artfynd.xlsx", "A 16347-2025")</f>
        <v/>
      </c>
      <c r="X9">
        <f>HYPERLINK("https://klasma.github.io/Logging_1485/kartor/A 16347-2025 karta.png", "A 16347-2025")</f>
        <v/>
      </c>
      <c r="Y9">
        <f>HYPERLINK("https://klasma.github.io/Logging_1485/kartor_geotiff/A 16347-2025 georefererad karta.tif", "A 16347-2025")</f>
        <v/>
      </c>
      <c r="AA9">
        <f>HYPERLINK("https://klasma.github.io/Logging_1485/klagomål/A 16347-2025 FSC-klagomål.docx", "A 16347-2025")</f>
        <v/>
      </c>
      <c r="AB9">
        <f>HYPERLINK("https://klasma.github.io/Logging_1485/klagomålsmail/A 16347-2025 FSC-klagomål mail.docx", "A 16347-2025")</f>
        <v/>
      </c>
      <c r="AC9">
        <f>HYPERLINK("https://klasma.github.io/Logging_1485/tillsyn/A 16347-2025 tillsynsbegäran.docx", "A 16347-2025")</f>
        <v/>
      </c>
      <c r="AD9">
        <f>HYPERLINK("https://klasma.github.io/Logging_1485/tillsynsmail/A 16347-2025 tillsynsbegäran mail.docx", "A 16347-2025")</f>
        <v/>
      </c>
      <c r="AE9">
        <f>HYPERLINK("https://klasma.github.io/Logging_1485/fåglar/A 16347-2025 prioriterade fågelarter.docx", "A 16347-2025")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46259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46259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3435-2024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45317</v>
      </c>
      <c r="E12" s="1" t="n">
        <v>46259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Kyrkan</t>
        </is>
      </c>
      <c r="I12" t="n">
        <v>1.9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Västlig hakmossa
Spillkråka</t>
        </is>
      </c>
      <c r="W12">
        <f>HYPERLINK("https://klasma.github.io/Logging_1485/artfynd/A 3435-2024 artfynd.xlsx", "A 3435-2024")</f>
        <v/>
      </c>
      <c r="X12">
        <f>HYPERLINK("https://klasma.github.io/Logging_1485/kartor/A 3435-2024 karta.png", "A 3435-2024")</f>
        <v/>
      </c>
      <c r="Y12">
        <f>HYPERLINK("https://klasma.github.io/Logging_1485/kartor_geotiff/A 3435-2024 georefererad karta.tif", "A 3435-2024")</f>
        <v/>
      </c>
      <c r="AA12">
        <f>HYPERLINK("https://klasma.github.io/Logging_1485/klagomål/A 3435-2024 FSC-klagomål.docx", "A 3435-2024")</f>
        <v/>
      </c>
      <c r="AB12">
        <f>HYPERLINK("https://klasma.github.io/Logging_1485/klagomålsmail/A 3435-2024 FSC-klagomål mail.docx", "A 3435-2024")</f>
        <v/>
      </c>
      <c r="AC12">
        <f>HYPERLINK("https://klasma.github.io/Logging_1485/tillsyn/A 3435-2024 tillsynsbegäran.docx", "A 3435-2024")</f>
        <v/>
      </c>
      <c r="AD12">
        <f>HYPERLINK("https://klasma.github.io/Logging_1485/tillsynsmail/A 3435-2024 tillsynsbegäran mail.docx", "A 3435-2024")</f>
        <v/>
      </c>
      <c r="AE12">
        <f>HYPERLINK("https://klasma.github.io/Logging_1485/fåglar/A 3435-2024 prioriterade fågelarter.docx", "A 3435-2024")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46259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46259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46259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46259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46259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16863-2025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45754</v>
      </c>
      <c r="E19" s="1" t="n">
        <v>46259</v>
      </c>
      <c r="F19" t="inlineStr">
        <is>
          <t>VÄSTRA GÖTALANDS LÄN</t>
        </is>
      </c>
      <c r="G19" t="inlineStr">
        <is>
          <t>UDDEVALLA</t>
        </is>
      </c>
      <c r="I19" t="n">
        <v>15.3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Kopparödla</t>
        </is>
      </c>
      <c r="W19">
        <f>HYPERLINK("https://klasma.github.io/Logging_1485/artfynd/A 16863-2025 artfynd.xlsx", "A 16863-2025")</f>
        <v/>
      </c>
      <c r="X19">
        <f>HYPERLINK("https://klasma.github.io/Logging_1485/kartor/A 16863-2025 karta.png", "A 16863-2025")</f>
        <v/>
      </c>
      <c r="Y19">
        <f>HYPERLINK("https://klasma.github.io/Logging_1485/kartor_geotiff/A 16863-2025 georefererad karta.tif", "A 16863-2025")</f>
        <v/>
      </c>
      <c r="AA19">
        <f>HYPERLINK("https://klasma.github.io/Logging_1485/klagomål/A 16863-2025 FSC-klagomål.docx", "A 16863-2025")</f>
        <v/>
      </c>
      <c r="AB19">
        <f>HYPERLINK("https://klasma.github.io/Logging_1485/klagomålsmail/A 16863-2025 FSC-klagomål mail.docx", "A 16863-2025")</f>
        <v/>
      </c>
      <c r="AC19">
        <f>HYPERLINK("https://klasma.github.io/Logging_1485/tillsyn/A 16863-2025 tillsynsbegäran.docx", "A 16863-2025")</f>
        <v/>
      </c>
      <c r="AD19">
        <f>HYPERLINK("https://klasma.github.io/Logging_1485/tillsynsmail/A 16863-2025 tillsynsbegäran mail.docx", "A 16863-2025")</f>
        <v/>
      </c>
    </row>
    <row r="20" ht="15" customHeight="1">
      <c r="A20" t="inlineStr">
        <is>
          <t>A 41292-2022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44825</v>
      </c>
      <c r="E20" s="1" t="n">
        <v>46259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9.699999999999999</v>
      </c>
      <c r="J20" t="n">
        <v>1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Entita</t>
        </is>
      </c>
      <c r="W20">
        <f>HYPERLINK("https://klasma.github.io/Logging_1485/artfynd/A 41292-2022 artfynd.xlsx", "A 41292-2022")</f>
        <v/>
      </c>
      <c r="X20">
        <f>HYPERLINK("https://klasma.github.io/Logging_1485/kartor/A 41292-2022 karta.png", "A 41292-2022")</f>
        <v/>
      </c>
      <c r="Y20">
        <f>HYPERLINK("https://klasma.github.io/Logging_1485/kartor_geotiff/A 41292-2022 georefererad karta.tif", "A 41292-2022")</f>
        <v/>
      </c>
      <c r="AA20">
        <f>HYPERLINK("https://klasma.github.io/Logging_1485/klagomål/A 41292-2022 FSC-klagomål.docx", "A 41292-2022")</f>
        <v/>
      </c>
      <c r="AB20">
        <f>HYPERLINK("https://klasma.github.io/Logging_1485/klagomålsmail/A 41292-2022 FSC-klagomål mail.docx", "A 41292-2022")</f>
        <v/>
      </c>
      <c r="AC20">
        <f>HYPERLINK("https://klasma.github.io/Logging_1485/tillsyn/A 41292-2022 tillsynsbegäran.docx", "A 41292-2022")</f>
        <v/>
      </c>
      <c r="AD20">
        <f>HYPERLINK("https://klasma.github.io/Logging_1485/tillsynsmail/A 41292-2022 tillsynsbegäran mail.docx", "A 41292-2022")</f>
        <v/>
      </c>
      <c r="AE20">
        <f>HYPERLINK("https://klasma.github.io/Logging_1485/fåglar/A 41292-2022 prioriterade fågelarter.docx", "A 41292-2022")</f>
        <v/>
      </c>
    </row>
    <row r="21" ht="15" customHeight="1">
      <c r="A21" t="inlineStr">
        <is>
          <t>A 32523-2024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46259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32523-2024 artfynd.xlsx", "A 32523-2024")</f>
        <v/>
      </c>
      <c r="X21">
        <f>HYPERLINK("https://klasma.github.io/Logging_1485/kartor/A 32523-2024 karta.png", "A 32523-2024")</f>
        <v/>
      </c>
      <c r="Y21">
        <f>HYPERLINK("https://klasma.github.io/Logging_1485/kartor_geotiff/A 32523-2024 georefererad karta.tif", "A 32523-2024")</f>
        <v/>
      </c>
      <c r="AA21">
        <f>HYPERLINK("https://klasma.github.io/Logging_1485/klagomål/A 32523-2024 FSC-klagomål.docx", "A 32523-2024")</f>
        <v/>
      </c>
      <c r="AB21">
        <f>HYPERLINK("https://klasma.github.io/Logging_1485/klagomålsmail/A 32523-2024 FSC-klagomål mail.docx", "A 32523-2024")</f>
        <v/>
      </c>
      <c r="AC21">
        <f>HYPERLINK("https://klasma.github.io/Logging_1485/tillsyn/A 32523-2024 tillsynsbegäran.docx", "A 32523-2024")</f>
        <v/>
      </c>
      <c r="AD21">
        <f>HYPERLINK("https://klasma.github.io/Logging_1485/tillsynsmail/A 32523-2024 tillsynsbegäran mail.docx", "A 32523-2024")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46259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46259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46259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46259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46259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57654-2025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46259</v>
      </c>
      <c r="F27" t="inlineStr">
        <is>
          <t>VÄSTRA GÖTALANDS LÄN</t>
        </is>
      </c>
      <c r="G27" t="inlineStr">
        <is>
          <t>UDDEVALLA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Gullpudra
Lundvårlök</t>
        </is>
      </c>
      <c r="W27">
        <f>HYPERLINK("https://klasma.github.io/Logging_1485/artfynd/A 57654-2025 artfynd.xlsx", "A 57654-2025")</f>
        <v/>
      </c>
      <c r="X27">
        <f>HYPERLINK("https://klasma.github.io/Logging_1485/kartor/A 57654-2025 karta.png", "A 57654-2025")</f>
        <v/>
      </c>
      <c r="Y27">
        <f>HYPERLINK("https://klasma.github.io/Logging_1485/kartor_geotiff/A 57654-2025 georefererad karta.tif", "A 57654-2025")</f>
        <v/>
      </c>
      <c r="AA27">
        <f>HYPERLINK("https://klasma.github.io/Logging_1485/klagomål/A 57654-2025 FSC-klagomål.docx", "A 57654-2025")</f>
        <v/>
      </c>
      <c r="AB27">
        <f>HYPERLINK("https://klasma.github.io/Logging_1485/klagomålsmail/A 57654-2025 FSC-klagomål mail.docx", "A 57654-2025")</f>
        <v/>
      </c>
      <c r="AC27">
        <f>HYPERLINK("https://klasma.github.io/Logging_1485/tillsyn/A 57654-2025 tillsynsbegäran.docx", "A 57654-2025")</f>
        <v/>
      </c>
      <c r="AD27">
        <f>HYPERLINK("https://klasma.github.io/Logging_1485/tillsynsmail/A 57654-2025 tillsynsbegäran mail.docx", "A 57654-2025")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46259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46259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46259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46259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46259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46259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10865-2022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46259</v>
      </c>
      <c r="F34" t="inlineStr">
        <is>
          <t>VÄSTRA GÖTALANDS LÄN</t>
        </is>
      </c>
      <c r="G34" t="inlineStr">
        <is>
          <t>UDDEVALLA</t>
        </is>
      </c>
      <c r="I34" t="n">
        <v>3.9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HYPERLINK("https://klasma.github.io/Logging_1485/artfynd/A 10865-2022 artfynd.xlsx", "A 10865-2022")</f>
        <v/>
      </c>
      <c r="X34">
        <f>HYPERLINK("https://klasma.github.io/Logging_1485/kartor/A 10865-2022 karta.png", "A 10865-2022")</f>
        <v/>
      </c>
      <c r="Y34">
        <f>HYPERLINK("https://klasma.github.io/Logging_1485/kartor_geotiff/A 10865-2022 georefererad karta.tif", "A 10865-2022")</f>
        <v/>
      </c>
      <c r="AA34">
        <f>HYPERLINK("https://klasma.github.io/Logging_1485/klagomål/A 10865-2022 FSC-klagomål.docx", "A 10865-2022")</f>
        <v/>
      </c>
      <c r="AB34">
        <f>HYPERLINK("https://klasma.github.io/Logging_1485/klagomålsmail/A 10865-2022 FSC-klagomål mail.docx", "A 10865-2022")</f>
        <v/>
      </c>
      <c r="AC34">
        <f>HYPERLINK("https://klasma.github.io/Logging_1485/tillsyn/A 10865-2022 tillsynsbegäran.docx", "A 10865-2022")</f>
        <v/>
      </c>
      <c r="AD34">
        <f>HYPERLINK("https://klasma.github.io/Logging_1485/tillsynsmail/A 10865-2022 tillsynsbegäran mail.docx", "A 10865-2022")</f>
        <v/>
      </c>
    </row>
    <row r="35" ht="15" customHeight="1">
      <c r="A35" t="inlineStr">
        <is>
          <t>A 30954-2025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46259</v>
      </c>
      <c r="F35" t="inlineStr">
        <is>
          <t>VÄSTRA GÖTALANDS LÄN</t>
        </is>
      </c>
      <c r="G35" t="inlineStr">
        <is>
          <t>UDDEVALLA</t>
        </is>
      </c>
      <c r="I35" t="n">
        <v>11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HYPERLINK("https://klasma.github.io/Logging_1485/artfynd/A 30954-2025 artfynd.xlsx", "A 30954-2025")</f>
        <v/>
      </c>
      <c r="X35">
        <f>HYPERLINK("https://klasma.github.io/Logging_1485/kartor/A 30954-2025 karta.png", "A 30954-2025")</f>
        <v/>
      </c>
      <c r="Y35">
        <f>HYPERLINK("https://klasma.github.io/Logging_1485/kartor_geotiff/A 30954-2025 georefererad karta.tif", "A 30954-2025")</f>
        <v/>
      </c>
      <c r="AA35">
        <f>HYPERLINK("https://klasma.github.io/Logging_1485/klagomål/A 30954-2025 FSC-klagomål.docx", "A 30954-2025")</f>
        <v/>
      </c>
      <c r="AB35">
        <f>HYPERLINK("https://klasma.github.io/Logging_1485/klagomålsmail/A 30954-2025 FSC-klagomål mail.docx", "A 30954-2025")</f>
        <v/>
      </c>
      <c r="AC35">
        <f>HYPERLINK("https://klasma.github.io/Logging_1485/tillsyn/A 30954-2025 tillsynsbegäran.docx", "A 30954-2025")</f>
        <v/>
      </c>
      <c r="AD35">
        <f>HYPERLINK("https://klasma.github.io/Logging_1485/tillsynsmail/A 30954-2025 tillsynsbegäran mail.docx", "A 30954-2025")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46259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46259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495-2023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44930</v>
      </c>
      <c r="E38" s="1" t="n">
        <v>46259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3.7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HYPERLINK("https://klasma.github.io/Logging_1485/artfynd/A 495-2023 artfynd.xlsx", "A 495-2023")</f>
        <v/>
      </c>
      <c r="X38">
        <f>HYPERLINK("https://klasma.github.io/Logging_1485/kartor/A 495-2023 karta.png", "A 495-2023")</f>
        <v/>
      </c>
      <c r="Y38">
        <f>HYPERLINK("https://klasma.github.io/Logging_1485/kartor_geotiff/A 495-2023 georefererad karta.tif", "A 495-2023")</f>
        <v/>
      </c>
      <c r="AA38">
        <f>HYPERLINK("https://klasma.github.io/Logging_1485/klagomål/A 495-2023 FSC-klagomål.docx", "A 495-2023")</f>
        <v/>
      </c>
      <c r="AB38">
        <f>HYPERLINK("https://klasma.github.io/Logging_1485/klagomålsmail/A 495-2023 FSC-klagomål mail.docx", "A 495-2023")</f>
        <v/>
      </c>
      <c r="AC38">
        <f>HYPERLINK("https://klasma.github.io/Logging_1485/tillsyn/A 495-2023 tillsynsbegäran.docx", "A 495-2023")</f>
        <v/>
      </c>
      <c r="AD38">
        <f>HYPERLINK("https://klasma.github.io/Logging_1485/tillsynsmail/A 495-2023 tillsynsbegäran mail.docx", "A 495-2023")</f>
        <v/>
      </c>
      <c r="AE38">
        <f>HYPERLINK("https://klasma.github.io/Logging_1485/fåglar/A 495-2023 prioriterade fågelarter.docx", "A 495-2023")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46259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46259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Grönsångare</t>
        </is>
      </c>
      <c r="W40">
        <f>HYPERLINK("https://klasma.github.io/Logging_1485/artfynd/A 50274-2024 artfynd.xlsx", "A 50274-2024")</f>
        <v/>
      </c>
      <c r="X40">
        <f>HYPERLINK("https://klasma.github.io/Logging_1485/kartor/A 50274-2024 karta.png", "A 50274-2024")</f>
        <v/>
      </c>
      <c r="Y40">
        <f>HYPERLINK("https://klasma.github.io/Logging_1485/kartor_geotiff/A 50274-2024 georefererad karta.tif", "A 50274-2024")</f>
        <v/>
      </c>
      <c r="AA40">
        <f>HYPERLINK("https://klasma.github.io/Logging_1485/klagomål/A 50274-2024 FSC-klagomål.docx", "A 50274-2024")</f>
        <v/>
      </c>
      <c r="AB40">
        <f>HYPERLINK("https://klasma.github.io/Logging_1485/klagomålsmail/A 50274-2024 FSC-klagomål mail.docx", "A 50274-2024")</f>
        <v/>
      </c>
      <c r="AC40">
        <f>HYPERLINK("https://klasma.github.io/Logging_1485/tillsyn/A 50274-2024 tillsynsbegäran.docx", "A 50274-2024")</f>
        <v/>
      </c>
      <c r="AD40">
        <f>HYPERLINK("https://klasma.github.io/Logging_1485/tillsynsmail/A 50274-2024 tillsynsbegäran mail.docx", "A 50274-2024")</f>
        <v/>
      </c>
      <c r="AE40">
        <f>HYPERLINK("https://klasma.github.io/Logging_1485/fåglar/A 50274-2024 prioriterade fågelarter.docx", "A 50274-2024")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46259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46259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46259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236-2023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46259</v>
      </c>
      <c r="F44" t="inlineStr">
        <is>
          <t>VÄSTRA GÖTALANDS LÄN</t>
        </is>
      </c>
      <c r="G44" t="inlineStr">
        <is>
          <t>UDDEVALLA</t>
        </is>
      </c>
      <c r="I44" t="n">
        <v>16.7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Rödgul trumpetsvamp</t>
        </is>
      </c>
      <c r="W44">
        <f>HYPERLINK("https://klasma.github.io/Logging_1485/artfynd/A 236-2023 artfynd.xlsx", "A 236-2023")</f>
        <v/>
      </c>
      <c r="X44">
        <f>HYPERLINK("https://klasma.github.io/Logging_1485/kartor/A 236-2023 karta.png", "A 236-2023")</f>
        <v/>
      </c>
      <c r="Y44">
        <f>HYPERLINK("https://klasma.github.io/Logging_1485/kartor_geotiff/A 236-2023 georefererad karta.tif", "A 236-2023")</f>
        <v/>
      </c>
      <c r="AA44">
        <f>HYPERLINK("https://klasma.github.io/Logging_1485/klagomål/A 236-2023 FSC-klagomål.docx", "A 236-2023")</f>
        <v/>
      </c>
      <c r="AB44">
        <f>HYPERLINK("https://klasma.github.io/Logging_1485/klagomålsmail/A 236-2023 FSC-klagomål mail.docx", "A 236-2023")</f>
        <v/>
      </c>
      <c r="AC44">
        <f>HYPERLINK("https://klasma.github.io/Logging_1485/tillsyn/A 236-2023 tillsynsbegäran.docx", "A 236-2023")</f>
        <v/>
      </c>
      <c r="AD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45076</v>
      </c>
      <c r="E45" s="1" t="n">
        <v>46259</v>
      </c>
      <c r="F45" t="inlineStr">
        <is>
          <t>VÄSTRA GÖTALANDS LÄN</t>
        </is>
      </c>
      <c r="G45" t="inlineStr">
        <is>
          <t>UDDEVALLA</t>
        </is>
      </c>
      <c r="I45" t="n">
        <v>3.3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HYPERLINK("https://klasma.github.io/Logging_1485/artfynd/A 23401-2023 artfynd.xlsx", "A 23401-2023")</f>
        <v/>
      </c>
      <c r="X45">
        <f>HYPERLINK("https://klasma.github.io/Logging_1485/kartor/A 23401-2023 karta.png", "A 23401-2023")</f>
        <v/>
      </c>
      <c r="Y45">
        <f>HYPERLINK("https://klasma.github.io/Logging_1485/kartor_geotiff/A 23401-2023 georefererad karta.tif", "A 23401-2023")</f>
        <v/>
      </c>
      <c r="AA45">
        <f>HYPERLINK("https://klasma.github.io/Logging_1485/klagomål/A 23401-2023 FSC-klagomål.docx", "A 23401-2023")</f>
        <v/>
      </c>
      <c r="AB45">
        <f>HYPERLINK("https://klasma.github.io/Logging_1485/klagomålsmail/A 23401-2023 FSC-klagomål mail.docx", "A 23401-2023")</f>
        <v/>
      </c>
      <c r="AC45">
        <f>HYPERLINK("https://klasma.github.io/Logging_1485/tillsyn/A 23401-2023 tillsynsbegäran.docx", "A 23401-2023")</f>
        <v/>
      </c>
      <c r="AD45">
        <f>HYPERLINK("https://klasma.github.io/Logging_1485/tillsynsmail/A 23401-2023 tillsynsbegäran mail.docx", "A 23401-2023")</f>
        <v/>
      </c>
    </row>
    <row r="46" ht="15" customHeight="1">
      <c r="A46" t="inlineStr">
        <is>
          <t>A 33812-2026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46259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2.8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HYPERLINK("https://klasma.github.io/Logging_1485/artfynd/A 33812-2026 artfynd.xlsx", "A 33812-2026")</f>
        <v/>
      </c>
      <c r="X46">
        <f>HYPERLINK("https://klasma.github.io/Logging_1485/kartor/A 33812-2026 karta.png", "A 33812-2026")</f>
        <v/>
      </c>
      <c r="Y46">
        <f>HYPERLINK("https://klasma.github.io/Logging_1485/kartor_geotiff/A 33812-2026 georefererad karta.tif", "A 33812-2026")</f>
        <v/>
      </c>
      <c r="AA46">
        <f>HYPERLINK("https://klasma.github.io/Logging_1485/klagomål/A 33812-2026 FSC-klagomål.docx", "A 33812-2026")</f>
        <v/>
      </c>
      <c r="AB46">
        <f>HYPERLINK("https://klasma.github.io/Logging_1485/klagomålsmail/A 33812-2026 FSC-klagomål mail.docx", "A 33812-2026")</f>
        <v/>
      </c>
      <c r="AC46">
        <f>HYPERLINK("https://klasma.github.io/Logging_1485/tillsyn/A 33812-2026 tillsynsbegäran.docx", "A 33812-2026")</f>
        <v/>
      </c>
      <c r="AD46">
        <f>HYPERLINK("https://klasma.github.io/Logging_1485/tillsynsmail/A 33812-2026 tillsynsbegäran mail.docx", "A 33812-2026")</f>
        <v/>
      </c>
    </row>
    <row r="47" ht="15" customHeight="1">
      <c r="A47" t="inlineStr">
        <is>
          <t>A 23322-2025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46259</v>
      </c>
      <c r="F47" t="inlineStr">
        <is>
          <t>VÄSTRA GÖTALANDS LÄN</t>
        </is>
      </c>
      <c r="G47" t="inlineStr">
        <is>
          <t>UDDEVALLA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HYPERLINK("https://klasma.github.io/Logging_1485/artfynd/A 23322-2025 artfynd.xlsx", "A 23322-2025")</f>
        <v/>
      </c>
      <c r="X47">
        <f>HYPERLINK("https://klasma.github.io/Logging_1485/kartor/A 23322-2025 karta.png", "A 23322-2025")</f>
        <v/>
      </c>
      <c r="Y47">
        <f>HYPERLINK("https://klasma.github.io/Logging_1485/kartor_geotiff/A 23322-2025 georefererad karta.tif", "A 23322-2025")</f>
        <v/>
      </c>
      <c r="AA47">
        <f>HYPERLINK("https://klasma.github.io/Logging_1485/klagomål/A 23322-2025 FSC-klagomål.docx", "A 23322-2025")</f>
        <v/>
      </c>
      <c r="AB47">
        <f>HYPERLINK("https://klasma.github.io/Logging_1485/klagomålsmail/A 23322-2025 FSC-klagomål mail.docx", "A 23322-2025")</f>
        <v/>
      </c>
      <c r="AC47">
        <f>HYPERLINK("https://klasma.github.io/Logging_1485/tillsyn/A 23322-2025 tillsynsbegäran.docx", "A 23322-2025")</f>
        <v/>
      </c>
      <c r="AD47">
        <f>HYPERLINK("https://klasma.github.io/Logging_1485/tillsynsmail/A 23322-2025 tillsynsbegäran mail.docx", "A 23322-2025")</f>
        <v/>
      </c>
      <c r="AE47">
        <f>HYPERLINK("https://klasma.github.io/Logging_1485/fåglar/A 23322-2025 prioriterade fågelarter.docx", "A 23322-2025")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46259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7770-2024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46259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6.2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HYPERLINK("https://klasma.github.io/Logging_1485/artfynd/A 7770-2024 artfynd.xlsx", "A 7770-2024")</f>
        <v/>
      </c>
      <c r="X49">
        <f>HYPERLINK("https://klasma.github.io/Logging_1485/kartor/A 7770-2024 karta.png", "A 7770-2024")</f>
        <v/>
      </c>
      <c r="Y49">
        <f>HYPERLINK("https://klasma.github.io/Logging_1485/kartor_geotiff/A 7770-2024 georefererad karta.tif", "A 7770-2024")</f>
        <v/>
      </c>
      <c r="AA49">
        <f>HYPERLINK("https://klasma.github.io/Logging_1485/klagomål/A 7770-2024 FSC-klagomål.docx", "A 7770-2024")</f>
        <v/>
      </c>
      <c r="AB49">
        <f>HYPERLINK("https://klasma.github.io/Logging_1485/klagomålsmail/A 7770-2024 FSC-klagomål mail.docx", "A 7770-2024")</f>
        <v/>
      </c>
      <c r="AC49">
        <f>HYPERLINK("https://klasma.github.io/Logging_1485/tillsyn/A 7770-2024 tillsynsbegäran.docx", "A 7770-2024")</f>
        <v/>
      </c>
      <c r="AD49">
        <f>HYPERLINK("https://klasma.github.io/Logging_1485/tillsynsmail/A 7770-2024 tillsynsbegäran mail.docx", "A 7770-2024")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46259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46259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46259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46259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46259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46259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46259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46259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46259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46259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46259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46259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46259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46259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46259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46259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46259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46259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46259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45764</v>
      </c>
      <c r="E69" s="1" t="n">
        <v>46259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46259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46259</v>
      </c>
      <c r="F71" t="inlineStr">
        <is>
          <t>VÄSTRA GÖTALANDS LÄN</t>
        </is>
      </c>
      <c r="G71" t="inlineStr">
        <is>
          <t>UDDEVALLA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46259</v>
      </c>
      <c r="F72" t="inlineStr">
        <is>
          <t>VÄSTRA GÖTALANDS LÄN</t>
        </is>
      </c>
      <c r="G72" t="inlineStr">
        <is>
          <t>UDDEVALLA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46259</v>
      </c>
      <c r="F73" t="inlineStr">
        <is>
          <t>VÄSTRA GÖTALANDS LÄN</t>
        </is>
      </c>
      <c r="G73" t="inlineStr">
        <is>
          <t>UDDEVALLA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65457-2021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46259</v>
      </c>
      <c r="F74" t="inlineStr">
        <is>
          <t>VÄSTRA GÖTALANDS LÄN</t>
        </is>
      </c>
      <c r="G74" t="inlineStr">
        <is>
          <t>UDDEVALLA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45551</v>
      </c>
      <c r="E75" s="1" t="n">
        <v>46259</v>
      </c>
      <c r="F75" t="inlineStr">
        <is>
          <t>VÄSTRA GÖTALANDS LÄN</t>
        </is>
      </c>
      <c r="G75" t="inlineStr">
        <is>
          <t>UDDEVALLA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46259</v>
      </c>
      <c r="F76" t="inlineStr">
        <is>
          <t>VÄSTRA GÖTALANDS LÄN</t>
        </is>
      </c>
      <c r="G76" t="inlineStr">
        <is>
          <t>UDDEVALLA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46259</v>
      </c>
      <c r="F77" t="inlineStr">
        <is>
          <t>VÄSTRA GÖTALANDS LÄN</t>
        </is>
      </c>
      <c r="G77" t="inlineStr">
        <is>
          <t>UDDEVALLA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45722</v>
      </c>
      <c r="E78" s="1" t="n">
        <v>46259</v>
      </c>
      <c r="F78" t="inlineStr">
        <is>
          <t>VÄSTRA GÖTALANDS LÄN</t>
        </is>
      </c>
      <c r="G78" t="inlineStr">
        <is>
          <t>UDDEVALLA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46259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46259</v>
      </c>
      <c r="F80" t="inlineStr">
        <is>
          <t>VÄSTRA GÖTALANDS LÄN</t>
        </is>
      </c>
      <c r="G80" t="inlineStr">
        <is>
          <t>UDDEVALLA</t>
        </is>
      </c>
      <c r="I80" t="n">
        <v>12.2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17058-2025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45754</v>
      </c>
      <c r="E81" s="1" t="n">
        <v>46259</v>
      </c>
      <c r="F81" t="inlineStr">
        <is>
          <t>VÄSTRA GÖTALANDS LÄN</t>
        </is>
      </c>
      <c r="G81" t="inlineStr">
        <is>
          <t>UDDEVALLA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46259</v>
      </c>
      <c r="F82" t="inlineStr">
        <is>
          <t>VÄSTRA GÖTALANDS LÄN</t>
        </is>
      </c>
      <c r="G82" t="inlineStr">
        <is>
          <t>UDDEVALLA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46259</v>
      </c>
      <c r="F83" t="inlineStr">
        <is>
          <t>VÄSTRA GÖTALANDS LÄN</t>
        </is>
      </c>
      <c r="G83" t="inlineStr">
        <is>
          <t>UDDEVALLA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73437-2021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46259</v>
      </c>
      <c r="F84" t="inlineStr">
        <is>
          <t>VÄSTRA GÖTALANDS LÄN</t>
        </is>
      </c>
      <c r="G84" t="inlineStr">
        <is>
          <t>UDDEVALLA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44834</v>
      </c>
      <c r="E85" s="1" t="n">
        <v>46259</v>
      </c>
      <c r="F85" t="inlineStr">
        <is>
          <t>VÄSTRA GÖTALANDS LÄN</t>
        </is>
      </c>
      <c r="G85" t="inlineStr">
        <is>
          <t>UDDEVALLA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46259</v>
      </c>
      <c r="F86" t="inlineStr">
        <is>
          <t>VÄSTRA GÖTALANDS LÄN</t>
        </is>
      </c>
      <c r="G86" t="inlineStr">
        <is>
          <t>UDDEVALLA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44794</v>
      </c>
      <c r="E87" s="1" t="n">
        <v>46259</v>
      </c>
      <c r="F87" t="inlineStr">
        <is>
          <t>VÄSTRA GÖTALANDS LÄN</t>
        </is>
      </c>
      <c r="G87" t="inlineStr">
        <is>
          <t>UDDEVALLA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46259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46259</v>
      </c>
      <c r="F89" t="inlineStr">
        <is>
          <t>VÄSTRA GÖTALANDS LÄN</t>
        </is>
      </c>
      <c r="G89" t="inlineStr">
        <is>
          <t>UDDEVALLA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46259</v>
      </c>
      <c r="F90" t="inlineStr">
        <is>
          <t>VÄSTRA GÖTALANDS LÄN</t>
        </is>
      </c>
      <c r="G90" t="inlineStr">
        <is>
          <t>UDDEVALLA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45826</v>
      </c>
      <c r="E91" s="1" t="n">
        <v>46259</v>
      </c>
      <c r="F91" t="inlineStr">
        <is>
          <t>VÄSTRA GÖTALANDS LÄN</t>
        </is>
      </c>
      <c r="G91" t="inlineStr">
        <is>
          <t>UDDEVALLA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45826</v>
      </c>
      <c r="E92" s="1" t="n">
        <v>46259</v>
      </c>
      <c r="F92" t="inlineStr">
        <is>
          <t>VÄSTRA GÖTALANDS LÄN</t>
        </is>
      </c>
      <c r="G92" t="inlineStr">
        <is>
          <t>UDDEVALLA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46259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46259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2115-2025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45672</v>
      </c>
      <c r="E95" s="1" t="n">
        <v>46259</v>
      </c>
      <c r="F95" t="inlineStr">
        <is>
          <t>VÄSTRA GÖTALANDS LÄN</t>
        </is>
      </c>
      <c r="G95" t="inlineStr">
        <is>
          <t>UDDEVALLA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73437-2021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46259</v>
      </c>
      <c r="F96" t="inlineStr">
        <is>
          <t>VÄSTRA GÖTALANDS LÄN</t>
        </is>
      </c>
      <c r="G96" t="inlineStr">
        <is>
          <t>UDDEVALLA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46259</v>
      </c>
      <c r="F97" t="inlineStr">
        <is>
          <t>VÄSTRA GÖTALANDS LÄN</t>
        </is>
      </c>
      <c r="G97" t="inlineStr">
        <is>
          <t>UDDEVALLA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46259</v>
      </c>
      <c r="F98" t="inlineStr">
        <is>
          <t>VÄSTRA GÖTALANDS LÄN</t>
        </is>
      </c>
      <c r="G98" t="inlineStr">
        <is>
          <t>UDDEVALLA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46259</v>
      </c>
      <c r="F99" t="inlineStr">
        <is>
          <t>VÄSTRA GÖTALANDS LÄN</t>
        </is>
      </c>
      <c r="G99" t="inlineStr">
        <is>
          <t>UDDEVALLA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45374</v>
      </c>
      <c r="E100" s="1" t="n">
        <v>46259</v>
      </c>
      <c r="F100" t="inlineStr">
        <is>
          <t>VÄSTRA GÖTALANDS LÄN</t>
        </is>
      </c>
      <c r="G100" t="inlineStr">
        <is>
          <t>UDDEVALLA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45426</v>
      </c>
      <c r="E101" s="1" t="n">
        <v>46259</v>
      </c>
      <c r="F101" t="inlineStr">
        <is>
          <t>VÄSTRA GÖTALANDS LÄN</t>
        </is>
      </c>
      <c r="G101" t="inlineStr">
        <is>
          <t>UDDEVALLA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46259</v>
      </c>
      <c r="F102" t="inlineStr">
        <is>
          <t>VÄSTRA GÖTALANDS LÄN</t>
        </is>
      </c>
      <c r="G102" t="inlineStr">
        <is>
          <t>UDDEVALLA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46259</v>
      </c>
      <c r="F103" t="inlineStr">
        <is>
          <t>VÄSTRA GÖTALANDS LÄN</t>
        </is>
      </c>
      <c r="G103" t="inlineStr">
        <is>
          <t>UDDEVALLA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46259</v>
      </c>
      <c r="F104" t="inlineStr">
        <is>
          <t>VÄSTRA GÖTALANDS LÄN</t>
        </is>
      </c>
      <c r="G104" t="inlineStr">
        <is>
          <t>UDDEVALLA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46259</v>
      </c>
      <c r="F105" t="inlineStr">
        <is>
          <t>VÄSTRA GÖTALANDS LÄN</t>
        </is>
      </c>
      <c r="G105" t="inlineStr">
        <is>
          <t>UDDEVALLA</t>
        </is>
      </c>
      <c r="H105" t="inlineStr">
        <is>
          <t>Kyrkan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23462-2024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45453</v>
      </c>
      <c r="E106" s="1" t="n">
        <v>46259</v>
      </c>
      <c r="F106" t="inlineStr">
        <is>
          <t>VÄSTRA GÖTALANDS LÄN</t>
        </is>
      </c>
      <c r="G106" t="inlineStr">
        <is>
          <t>UDDEVALLA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46259</v>
      </c>
      <c r="F107" t="inlineStr">
        <is>
          <t>VÄSTRA GÖTALANDS LÄN</t>
        </is>
      </c>
      <c r="G107" t="inlineStr">
        <is>
          <t>UDDEVALLA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46259</v>
      </c>
      <c r="F108" t="inlineStr">
        <is>
          <t>VÄSTRA GÖTALANDS LÄN</t>
        </is>
      </c>
      <c r="G108" t="inlineStr">
        <is>
          <t>UDDEVALLA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46259</v>
      </c>
      <c r="F109" t="inlineStr">
        <is>
          <t>VÄSTRA GÖTALANDS LÄN</t>
        </is>
      </c>
      <c r="G109" t="inlineStr">
        <is>
          <t>UDDEVALLA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45843</v>
      </c>
      <c r="E110" s="1" t="n">
        <v>46259</v>
      </c>
      <c r="F110" t="inlineStr">
        <is>
          <t>VÄSTRA GÖTALANDS LÄN</t>
        </is>
      </c>
      <c r="G110" t="inlineStr">
        <is>
          <t>UDDEVALLA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46259</v>
      </c>
      <c r="F111" t="inlineStr">
        <is>
          <t>VÄSTRA GÖTALANDS LÄN</t>
        </is>
      </c>
      <c r="G111" t="inlineStr">
        <is>
          <t>UDDEVALLA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46259</v>
      </c>
      <c r="F112" t="inlineStr">
        <is>
          <t>VÄSTRA GÖTALANDS LÄN</t>
        </is>
      </c>
      <c r="G112" t="inlineStr">
        <is>
          <t>UDDEVALLA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69198-2021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46259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46259</v>
      </c>
      <c r="F114" t="inlineStr">
        <is>
          <t>VÄSTRA GÖTALANDS LÄN</t>
        </is>
      </c>
      <c r="G114" t="inlineStr">
        <is>
          <t>UDDEVALLA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46259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46259</v>
      </c>
      <c r="F116" t="inlineStr">
        <is>
          <t>VÄSTRA GÖTALANDS LÄN</t>
        </is>
      </c>
      <c r="G116" t="inlineStr">
        <is>
          <t>UDDEVALLA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46259</v>
      </c>
      <c r="F117" t="inlineStr">
        <is>
          <t>VÄSTRA GÖTALANDS LÄN</t>
        </is>
      </c>
      <c r="G117" t="inlineStr">
        <is>
          <t>UDDEVALLA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45150</v>
      </c>
      <c r="E118" s="1" t="n">
        <v>46259</v>
      </c>
      <c r="F118" t="inlineStr">
        <is>
          <t>VÄSTRA GÖTALANDS LÄN</t>
        </is>
      </c>
      <c r="G118" t="inlineStr">
        <is>
          <t>UDDEVALLA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46259</v>
      </c>
      <c r="F119" t="inlineStr">
        <is>
          <t>VÄSTRA GÖTALANDS LÄN</t>
        </is>
      </c>
      <c r="G119" t="inlineStr">
        <is>
          <t>UDDEVALLA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46259</v>
      </c>
      <c r="F120" t="inlineStr">
        <is>
          <t>VÄSTRA GÖTALANDS LÄN</t>
        </is>
      </c>
      <c r="G120" t="inlineStr">
        <is>
          <t>UDDEVALLA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46259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45475</v>
      </c>
      <c r="E122" s="1" t="n">
        <v>46259</v>
      </c>
      <c r="F122" t="inlineStr">
        <is>
          <t>VÄSTRA GÖTALANDS LÄN</t>
        </is>
      </c>
      <c r="G122" t="inlineStr">
        <is>
          <t>UDDEVALLA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46259</v>
      </c>
      <c r="F123" t="inlineStr">
        <is>
          <t>VÄSTRA GÖTALANDS LÄN</t>
        </is>
      </c>
      <c r="G123" t="inlineStr">
        <is>
          <t>UDDEVALLA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46259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45484</v>
      </c>
      <c r="E125" s="1" t="n">
        <v>46259</v>
      </c>
      <c r="F125" t="inlineStr">
        <is>
          <t>VÄSTRA GÖTALANDS LÄN</t>
        </is>
      </c>
      <c r="G125" t="inlineStr">
        <is>
          <t>UDDEVALLA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46259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46259</v>
      </c>
      <c r="F127" t="inlineStr">
        <is>
          <t>VÄSTRA GÖTALANDS LÄN</t>
        </is>
      </c>
      <c r="G127" t="inlineStr">
        <is>
          <t>UDDEVALLA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46259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46259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58958-2021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44489</v>
      </c>
      <c r="E130" s="1" t="n">
        <v>46259</v>
      </c>
      <c r="F130" t="inlineStr">
        <is>
          <t>VÄSTRA GÖTALANDS LÄN</t>
        </is>
      </c>
      <c r="G130" t="inlineStr">
        <is>
          <t>UDDEVALLA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46259</v>
      </c>
      <c r="F131" t="inlineStr">
        <is>
          <t>VÄSTRA GÖTALANDS LÄN</t>
        </is>
      </c>
      <c r="G131" t="inlineStr">
        <is>
          <t>UDDEVALLA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45034</v>
      </c>
      <c r="E132" s="1" t="n">
        <v>46259</v>
      </c>
      <c r="F132" t="inlineStr">
        <is>
          <t>VÄSTRA GÖTALANDS LÄN</t>
        </is>
      </c>
      <c r="G132" t="inlineStr">
        <is>
          <t>UDDEVALLA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46259</v>
      </c>
      <c r="F133" t="inlineStr">
        <is>
          <t>VÄSTRA GÖTALANDS LÄN</t>
        </is>
      </c>
      <c r="G133" t="inlineStr">
        <is>
          <t>UDDEVALLA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46259</v>
      </c>
      <c r="F134" t="inlineStr">
        <is>
          <t>VÄSTRA GÖTALANDS LÄN</t>
        </is>
      </c>
      <c r="G134" t="inlineStr">
        <is>
          <t>UDDEVALLA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46259</v>
      </c>
      <c r="F135" t="inlineStr">
        <is>
          <t>VÄSTRA GÖTALANDS LÄN</t>
        </is>
      </c>
      <c r="G135" t="inlineStr">
        <is>
          <t>UDDEVALLA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46259</v>
      </c>
      <c r="F136" t="inlineStr">
        <is>
          <t>VÄSTRA GÖTALANDS LÄN</t>
        </is>
      </c>
      <c r="G136" t="inlineStr">
        <is>
          <t>UDDEVALLA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46259</v>
      </c>
      <c r="F137" t="inlineStr">
        <is>
          <t>VÄSTRA GÖTALANDS LÄN</t>
        </is>
      </c>
      <c r="G137" t="inlineStr">
        <is>
          <t>UDDEVALLA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19982-2025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46259</v>
      </c>
      <c r="F138" t="inlineStr">
        <is>
          <t>VÄSTRA GÖTALANDS LÄN</t>
        </is>
      </c>
      <c r="G138" t="inlineStr">
        <is>
          <t>UDDEVALLA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46259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45517</v>
      </c>
      <c r="E140" s="1" t="n">
        <v>46259</v>
      </c>
      <c r="F140" t="inlineStr">
        <is>
          <t>VÄSTRA GÖTALANDS LÄN</t>
        </is>
      </c>
      <c r="G140" t="inlineStr">
        <is>
          <t>UDDEVALLA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46259</v>
      </c>
      <c r="F141" t="inlineStr">
        <is>
          <t>VÄSTRA GÖTALANDS LÄN</t>
        </is>
      </c>
      <c r="G141" t="inlineStr">
        <is>
          <t>UDDEVALLA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45097</v>
      </c>
      <c r="E142" s="1" t="n">
        <v>46259</v>
      </c>
      <c r="F142" t="inlineStr">
        <is>
          <t>VÄSTRA GÖTALANDS LÄN</t>
        </is>
      </c>
      <c r="G142" t="inlineStr">
        <is>
          <t>UDDEVALLA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45349</v>
      </c>
      <c r="E143" s="1" t="n">
        <v>46259</v>
      </c>
      <c r="F143" t="inlineStr">
        <is>
          <t>VÄSTRA GÖTALANDS LÄN</t>
        </is>
      </c>
      <c r="G143" t="inlineStr">
        <is>
          <t>UDDEVALLA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44582</v>
      </c>
      <c r="E144" s="1" t="n">
        <v>46259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Kyrkan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46259</v>
      </c>
      <c r="F145" t="inlineStr">
        <is>
          <t>VÄSTRA GÖTALANDS LÄN</t>
        </is>
      </c>
      <c r="G145" t="inlineStr">
        <is>
          <t>UDDEVALLA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44578</v>
      </c>
      <c r="E146" s="1" t="n">
        <v>46259</v>
      </c>
      <c r="F146" t="inlineStr">
        <is>
          <t>VÄSTRA GÖTALANDS LÄN</t>
        </is>
      </c>
      <c r="G146" t="inlineStr">
        <is>
          <t>UDDEVALLA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46259</v>
      </c>
      <c r="F147" t="inlineStr">
        <is>
          <t>VÄSTRA GÖTALANDS LÄN</t>
        </is>
      </c>
      <c r="G147" t="inlineStr">
        <is>
          <t>UDDEVALLA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46259</v>
      </c>
      <c r="F148" t="inlineStr">
        <is>
          <t>VÄSTRA GÖTALANDS LÄN</t>
        </is>
      </c>
      <c r="G148" t="inlineStr">
        <is>
          <t>UDDEVALLA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46259</v>
      </c>
      <c r="F149" t="inlineStr">
        <is>
          <t>VÄSTRA GÖTALANDS LÄN</t>
        </is>
      </c>
      <c r="G149" t="inlineStr">
        <is>
          <t>UDDEVALLA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46259</v>
      </c>
      <c r="F150" t="inlineStr">
        <is>
          <t>VÄSTRA GÖTALANDS LÄN</t>
        </is>
      </c>
      <c r="G150" t="inlineStr">
        <is>
          <t>UDDEVALLA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16819-2026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46113</v>
      </c>
      <c r="E151" s="1" t="n">
        <v>46259</v>
      </c>
      <c r="F151" t="inlineStr">
        <is>
          <t>VÄSTRA GÖTALANDS LÄN</t>
        </is>
      </c>
      <c r="G151" t="inlineStr">
        <is>
          <t>UDDEVALLA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46259</v>
      </c>
      <c r="F152" t="inlineStr">
        <is>
          <t>VÄSTRA GÖTALANDS LÄN</t>
        </is>
      </c>
      <c r="G152" t="inlineStr">
        <is>
          <t>UDDEVALLA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46259</v>
      </c>
      <c r="F153" t="inlineStr">
        <is>
          <t>VÄSTRA GÖTALANDS LÄN</t>
        </is>
      </c>
      <c r="G153" t="inlineStr">
        <is>
          <t>UDDEVALLA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46259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17244-2026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46259</v>
      </c>
      <c r="F155" t="inlineStr">
        <is>
          <t>VÄSTRA GÖTALANDS LÄN</t>
        </is>
      </c>
      <c r="G155" t="inlineStr">
        <is>
          <t>UDDEVALLA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46259</v>
      </c>
      <c r="F156" t="inlineStr">
        <is>
          <t>VÄSTRA GÖTALANDS LÄN</t>
        </is>
      </c>
      <c r="G156" t="inlineStr">
        <is>
          <t>UDDEVALLA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46120</v>
      </c>
      <c r="E157" s="1" t="n">
        <v>46259</v>
      </c>
      <c r="F157" t="inlineStr">
        <is>
          <t>VÄSTRA GÖTALANDS LÄN</t>
        </is>
      </c>
      <c r="G157" t="inlineStr">
        <is>
          <t>UDDEVALLA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46259</v>
      </c>
      <c r="F158" t="inlineStr">
        <is>
          <t>VÄSTRA GÖTALANDS LÄN</t>
        </is>
      </c>
      <c r="G158" t="inlineStr">
        <is>
          <t>UDDEVALLA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45914</v>
      </c>
      <c r="E159" s="1" t="n">
        <v>46259</v>
      </c>
      <c r="F159" t="inlineStr">
        <is>
          <t>VÄSTRA GÖTALANDS LÄN</t>
        </is>
      </c>
      <c r="G159" t="inlineStr">
        <is>
          <t>UDDEVALLA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44592</v>
      </c>
      <c r="E160" s="1" t="n">
        <v>46259</v>
      </c>
      <c r="F160" t="inlineStr">
        <is>
          <t>VÄSTRA GÖTALANDS LÄN</t>
        </is>
      </c>
      <c r="G160" t="inlineStr">
        <is>
          <t>UDDEVALLA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46259</v>
      </c>
      <c r="F161" t="inlineStr">
        <is>
          <t>VÄSTRA GÖTALANDS LÄN</t>
        </is>
      </c>
      <c r="G161" t="inlineStr">
        <is>
          <t>UDDEVALLA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46259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46259</v>
      </c>
      <c r="F163" t="inlineStr">
        <is>
          <t>VÄSTRA GÖTALANDS LÄN</t>
        </is>
      </c>
      <c r="G163" t="inlineStr">
        <is>
          <t>UDDEVALLA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46259</v>
      </c>
      <c r="F164" t="inlineStr">
        <is>
          <t>VÄSTRA GÖTALANDS LÄN</t>
        </is>
      </c>
      <c r="G164" t="inlineStr">
        <is>
          <t>UDDEVALLA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45633</v>
      </c>
      <c r="E165" s="1" t="n">
        <v>46259</v>
      </c>
      <c r="F165" t="inlineStr">
        <is>
          <t>VÄSTRA GÖTALANDS LÄN</t>
        </is>
      </c>
      <c r="G165" t="inlineStr">
        <is>
          <t>UDDEVALLA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46259</v>
      </c>
      <c r="F166" t="inlineStr">
        <is>
          <t>VÄSTRA GÖTALANDS LÄN</t>
        </is>
      </c>
      <c r="G166" t="inlineStr">
        <is>
          <t>UDDEVALLA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46259</v>
      </c>
      <c r="F167" t="inlineStr">
        <is>
          <t>VÄSTRA GÖTALANDS LÄN</t>
        </is>
      </c>
      <c r="G167" t="inlineStr">
        <is>
          <t>UDDEVALLA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46259</v>
      </c>
      <c r="F168" t="inlineStr">
        <is>
          <t>VÄSTRA GÖTALANDS LÄN</t>
        </is>
      </c>
      <c r="G168" t="inlineStr">
        <is>
          <t>UDDEVALLA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45919</v>
      </c>
      <c r="E169" s="1" t="n">
        <v>46259</v>
      </c>
      <c r="F169" t="inlineStr">
        <is>
          <t>VÄSTRA GÖTALANDS LÄN</t>
        </is>
      </c>
      <c r="G169" t="inlineStr">
        <is>
          <t>UDDEVALLA</t>
        </is>
      </c>
      <c r="I169" t="n">
        <v>19.4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46259</v>
      </c>
      <c r="F170" t="inlineStr">
        <is>
          <t>VÄSTRA GÖTALANDS LÄN</t>
        </is>
      </c>
      <c r="G170" t="inlineStr">
        <is>
          <t>UDDEVALLA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14604-2022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44655</v>
      </c>
      <c r="E171" s="1" t="n">
        <v>46259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46259</v>
      </c>
      <c r="F172" t="inlineStr">
        <is>
          <t>VÄSTRA GÖTALANDS LÄN</t>
        </is>
      </c>
      <c r="G172" t="inlineStr">
        <is>
          <t>UDDEVALLA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46259</v>
      </c>
      <c r="F173" t="inlineStr">
        <is>
          <t>VÄSTRA GÖTALANDS LÄN</t>
        </is>
      </c>
      <c r="G173" t="inlineStr">
        <is>
          <t>UDDEVALLA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46259</v>
      </c>
      <c r="F174" t="inlineStr">
        <is>
          <t>VÄSTRA GÖTALANDS LÄN</t>
        </is>
      </c>
      <c r="G174" t="inlineStr">
        <is>
          <t>UDDEVALLA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45302</v>
      </c>
      <c r="E175" s="1" t="n">
        <v>46259</v>
      </c>
      <c r="F175" t="inlineStr">
        <is>
          <t>VÄSTRA GÖTALANDS LÄN</t>
        </is>
      </c>
      <c r="G175" t="inlineStr">
        <is>
          <t>UDDEVALLA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46259</v>
      </c>
      <c r="F176" t="inlineStr">
        <is>
          <t>VÄSTRA GÖTALANDS LÄN</t>
        </is>
      </c>
      <c r="G176" t="inlineStr">
        <is>
          <t>UDDEVALLA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45127</v>
      </c>
      <c r="E177" s="1" t="n">
        <v>46259</v>
      </c>
      <c r="F177" t="inlineStr">
        <is>
          <t>VÄSTRA GÖTALANDS LÄN</t>
        </is>
      </c>
      <c r="G177" t="inlineStr">
        <is>
          <t>UDDEVALLA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46259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46259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46259</v>
      </c>
      <c r="F180" t="inlineStr">
        <is>
          <t>VÄSTRA GÖTALANDS LÄN</t>
        </is>
      </c>
      <c r="G180" t="inlineStr">
        <is>
          <t>UDDEVALLA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46259</v>
      </c>
      <c r="F181" t="inlineStr">
        <is>
          <t>VÄSTRA GÖTALANDS LÄN</t>
        </is>
      </c>
      <c r="G181" t="inlineStr">
        <is>
          <t>UDDEVALLA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46259</v>
      </c>
      <c r="F182" t="inlineStr">
        <is>
          <t>VÄSTRA GÖTALANDS LÄN</t>
        </is>
      </c>
      <c r="G182" t="inlineStr">
        <is>
          <t>UDDEVALLA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46259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45907</v>
      </c>
      <c r="E184" s="1" t="n">
        <v>46259</v>
      </c>
      <c r="F184" t="inlineStr">
        <is>
          <t>VÄSTRA GÖTALANDS LÄN</t>
        </is>
      </c>
      <c r="G184" t="inlineStr">
        <is>
          <t>UDDEVALLA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46259</v>
      </c>
      <c r="F185" t="inlineStr">
        <is>
          <t>VÄSTRA GÖTALANDS LÄN</t>
        </is>
      </c>
      <c r="G185" t="inlineStr">
        <is>
          <t>UDDEVALLA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59674-2023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45255</v>
      </c>
      <c r="E186" s="1" t="n">
        <v>46259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46259</v>
      </c>
      <c r="F187" t="inlineStr">
        <is>
          <t>VÄSTRA GÖTALANDS LÄN</t>
        </is>
      </c>
      <c r="G187" t="inlineStr">
        <is>
          <t>UDDEVALLA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46259</v>
      </c>
      <c r="F188" t="inlineStr">
        <is>
          <t>VÄSTRA GÖTALANDS LÄN</t>
        </is>
      </c>
      <c r="G188" t="inlineStr">
        <is>
          <t>UDDEVALLA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46259</v>
      </c>
      <c r="F189" t="inlineStr">
        <is>
          <t>VÄSTRA GÖTALANDS LÄN</t>
        </is>
      </c>
      <c r="G189" t="inlineStr">
        <is>
          <t>UDDEVALLA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46259</v>
      </c>
      <c r="F190" t="inlineStr">
        <is>
          <t>VÄSTRA GÖTALANDS LÄN</t>
        </is>
      </c>
      <c r="G190" t="inlineStr">
        <is>
          <t>UDDEVALLA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46259</v>
      </c>
      <c r="F191" t="inlineStr">
        <is>
          <t>VÄSTRA GÖTALANDS LÄN</t>
        </is>
      </c>
      <c r="G191" t="inlineStr">
        <is>
          <t>UDDEVALLA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44733</v>
      </c>
      <c r="E192" s="1" t="n">
        <v>46259</v>
      </c>
      <c r="F192" t="inlineStr">
        <is>
          <t>VÄSTRA GÖTALANDS LÄN</t>
        </is>
      </c>
      <c r="G192" t="inlineStr">
        <is>
          <t>UDDEVALLA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46259</v>
      </c>
      <c r="F193" t="inlineStr">
        <is>
          <t>VÄSTRA GÖTALANDS LÄN</t>
        </is>
      </c>
      <c r="G193" t="inlineStr">
        <is>
          <t>UDDEVALLA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44715</v>
      </c>
      <c r="E194" s="1" t="n">
        <v>46259</v>
      </c>
      <c r="F194" t="inlineStr">
        <is>
          <t>VÄSTRA GÖTALANDS LÄN</t>
        </is>
      </c>
      <c r="G194" t="inlineStr">
        <is>
          <t>UDDEVALLA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46259</v>
      </c>
      <c r="F195" t="inlineStr">
        <is>
          <t>VÄSTRA GÖTALANDS LÄN</t>
        </is>
      </c>
      <c r="G195" t="inlineStr">
        <is>
          <t>UDDEVALLA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46259</v>
      </c>
      <c r="F196" t="inlineStr">
        <is>
          <t>VÄSTRA GÖTALANDS LÄN</t>
        </is>
      </c>
      <c r="G196" t="inlineStr">
        <is>
          <t>UDDEVALLA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44817</v>
      </c>
      <c r="E197" s="1" t="n">
        <v>46259</v>
      </c>
      <c r="F197" t="inlineStr">
        <is>
          <t>VÄSTRA GÖTALANDS LÄN</t>
        </is>
      </c>
      <c r="G197" t="inlineStr">
        <is>
          <t>UDDEVALLA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46259</v>
      </c>
      <c r="F198" t="inlineStr">
        <is>
          <t>VÄSTRA GÖTALANDS LÄN</t>
        </is>
      </c>
      <c r="G198" t="inlineStr">
        <is>
          <t>UDDEVALLA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20401-2026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46139</v>
      </c>
      <c r="E199" s="1" t="n">
        <v>46259</v>
      </c>
      <c r="F199" t="inlineStr">
        <is>
          <t>VÄSTRA GÖTALANDS LÄN</t>
        </is>
      </c>
      <c r="G199" t="inlineStr">
        <is>
          <t>UDDEVALLA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46259</v>
      </c>
      <c r="F200" t="inlineStr">
        <is>
          <t>VÄSTRA GÖTALANDS LÄN</t>
        </is>
      </c>
      <c r="G200" t="inlineStr">
        <is>
          <t>UDDEVALLA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46259</v>
      </c>
      <c r="F201" t="inlineStr">
        <is>
          <t>VÄSTRA GÖTALANDS LÄN</t>
        </is>
      </c>
      <c r="G201" t="inlineStr">
        <is>
          <t>UDDEVALLA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46259</v>
      </c>
      <c r="F202" t="inlineStr">
        <is>
          <t>VÄSTRA GÖTALANDS LÄN</t>
        </is>
      </c>
      <c r="G202" t="inlineStr">
        <is>
          <t>UDDEVALLA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60241-2024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45642</v>
      </c>
      <c r="E203" s="1" t="n">
        <v>46259</v>
      </c>
      <c r="F203" t="inlineStr">
        <is>
          <t>VÄSTRA GÖTALANDS LÄN</t>
        </is>
      </c>
      <c r="G203" t="inlineStr">
        <is>
          <t>UDDEVALLA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46259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Kommuner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46259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45656</v>
      </c>
      <c r="E206" s="1" t="n">
        <v>46259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Kommuner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46259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46259</v>
      </c>
      <c r="F208" t="inlineStr">
        <is>
          <t>VÄSTRA GÖTALANDS LÄN</t>
        </is>
      </c>
      <c r="G208" t="inlineStr">
        <is>
          <t>UDDEVALLA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45656</v>
      </c>
      <c r="E209" s="1" t="n">
        <v>46259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62074-2024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45656</v>
      </c>
      <c r="E210" s="1" t="n">
        <v>46259</v>
      </c>
      <c r="F210" t="inlineStr">
        <is>
          <t>VÄSTRA GÖTALANDS LÄN</t>
        </is>
      </c>
      <c r="G210" t="inlineStr">
        <is>
          <t>UDDEVALLA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62077-2024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45656</v>
      </c>
      <c r="E211" s="1" t="n">
        <v>46259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Kommuner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45279</v>
      </c>
      <c r="E212" s="1" t="n">
        <v>46259</v>
      </c>
      <c r="F212" t="inlineStr">
        <is>
          <t>VÄSTRA GÖTALANDS LÄN</t>
        </is>
      </c>
      <c r="G212" t="inlineStr">
        <is>
          <t>UDDEVALLA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46259</v>
      </c>
      <c r="F213" t="inlineStr">
        <is>
          <t>VÄSTRA GÖTALANDS LÄN</t>
        </is>
      </c>
      <c r="G213" t="inlineStr">
        <is>
          <t>UDDEVALLA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49721-2025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46259</v>
      </c>
      <c r="F214" t="inlineStr">
        <is>
          <t>VÄSTRA GÖTALANDS LÄN</t>
        </is>
      </c>
      <c r="G214" t="inlineStr">
        <is>
          <t>UDDEVALLA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46259</v>
      </c>
      <c r="F215" t="inlineStr">
        <is>
          <t>VÄSTRA GÖTALANDS LÄN</t>
        </is>
      </c>
      <c r="G215" t="inlineStr">
        <is>
          <t>UDDEVALLA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46259</v>
      </c>
      <c r="F216" t="inlineStr">
        <is>
          <t>VÄSTRA GÖTALANDS LÄN</t>
        </is>
      </c>
      <c r="G216" t="inlineStr">
        <is>
          <t>UDDEVALLA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46259</v>
      </c>
      <c r="F217" t="inlineStr">
        <is>
          <t>VÄSTRA GÖTALANDS LÄN</t>
        </is>
      </c>
      <c r="G217" t="inlineStr">
        <is>
          <t>UDDEVALLA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44998</v>
      </c>
      <c r="E218" s="1" t="n">
        <v>46259</v>
      </c>
      <c r="F218" t="inlineStr">
        <is>
          <t>VÄSTRA GÖTALANDS LÄN</t>
        </is>
      </c>
      <c r="G218" t="inlineStr">
        <is>
          <t>UDDEVALLA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46259</v>
      </c>
      <c r="F219" t="inlineStr">
        <is>
          <t>VÄSTRA GÖTALANDS LÄN</t>
        </is>
      </c>
      <c r="G219" t="inlineStr">
        <is>
          <t>UDDEVALLA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46259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46259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45121</v>
      </c>
      <c r="E222" s="1" t="n">
        <v>46259</v>
      </c>
      <c r="F222" t="inlineStr">
        <is>
          <t>VÄSTRA GÖTALANDS LÄN</t>
        </is>
      </c>
      <c r="G222" t="inlineStr">
        <is>
          <t>UDDEVALLA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45484</v>
      </c>
      <c r="E223" s="1" t="n">
        <v>46259</v>
      </c>
      <c r="F223" t="inlineStr">
        <is>
          <t>VÄSTRA GÖTALANDS LÄN</t>
        </is>
      </c>
      <c r="G223" t="inlineStr">
        <is>
          <t>UDDEVALLA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73007-2021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44550</v>
      </c>
      <c r="E224" s="1" t="n">
        <v>46259</v>
      </c>
      <c r="F224" t="inlineStr">
        <is>
          <t>VÄSTRA GÖTALANDS LÄN</t>
        </is>
      </c>
      <c r="G224" t="inlineStr">
        <is>
          <t>UDDEVALLA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45365</v>
      </c>
      <c r="E225" s="1" t="n">
        <v>46259</v>
      </c>
      <c r="F225" t="inlineStr">
        <is>
          <t>VÄSTRA GÖTALANDS LÄN</t>
        </is>
      </c>
      <c r="G225" t="inlineStr">
        <is>
          <t>UDDEVALLA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46147</v>
      </c>
      <c r="E226" s="1" t="n">
        <v>46259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Kommuner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46259</v>
      </c>
      <c r="F227" t="inlineStr">
        <is>
          <t>VÄSTRA GÖTALANDS LÄN</t>
        </is>
      </c>
      <c r="G227" t="inlineStr">
        <is>
          <t>UDDEVALLA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46259</v>
      </c>
      <c r="F228" t="inlineStr">
        <is>
          <t>VÄSTRA GÖTALANDS LÄN</t>
        </is>
      </c>
      <c r="G228" t="inlineStr">
        <is>
          <t>UDDEVALLA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44823</v>
      </c>
      <c r="E229" s="1" t="n">
        <v>46259</v>
      </c>
      <c r="F229" t="inlineStr">
        <is>
          <t>VÄSTRA GÖTALANDS LÄN</t>
        </is>
      </c>
      <c r="G229" t="inlineStr">
        <is>
          <t>UDDEVALLA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46259</v>
      </c>
      <c r="F230" t="inlineStr">
        <is>
          <t>VÄSTRA GÖTALANDS LÄN</t>
        </is>
      </c>
      <c r="G230" t="inlineStr">
        <is>
          <t>UDDEVALLA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46259</v>
      </c>
      <c r="F231" t="inlineStr">
        <is>
          <t>VÄSTRA GÖTALANDS LÄN</t>
        </is>
      </c>
      <c r="G231" t="inlineStr">
        <is>
          <t>UDDEVALLA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63878-2021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44509</v>
      </c>
      <c r="E232" s="1" t="n">
        <v>46259</v>
      </c>
      <c r="F232" t="inlineStr">
        <is>
          <t>VÄSTRA GÖTALANDS LÄN</t>
        </is>
      </c>
      <c r="G232" t="inlineStr">
        <is>
          <t>UDDEVALLA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46259</v>
      </c>
      <c r="F233" t="inlineStr">
        <is>
          <t>VÄSTRA GÖTALANDS LÄN</t>
        </is>
      </c>
      <c r="G233" t="inlineStr">
        <is>
          <t>UDDEVALLA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46259</v>
      </c>
      <c r="F234" t="inlineStr">
        <is>
          <t>VÄSTRA GÖTALANDS LÄN</t>
        </is>
      </c>
      <c r="G234" t="inlineStr">
        <is>
          <t>UDDEVALLA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46259</v>
      </c>
      <c r="F235" t="inlineStr">
        <is>
          <t>VÄSTRA GÖTALANDS LÄN</t>
        </is>
      </c>
      <c r="G235" t="inlineStr">
        <is>
          <t>UDDEVALLA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46259</v>
      </c>
      <c r="F236" t="inlineStr">
        <is>
          <t>VÄSTRA GÖTALANDS LÄN</t>
        </is>
      </c>
      <c r="G236" t="inlineStr">
        <is>
          <t>UDDEVALLA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46259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9797-2023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44984</v>
      </c>
      <c r="E238" s="1" t="n">
        <v>46259</v>
      </c>
      <c r="F238" t="inlineStr">
        <is>
          <t>VÄSTRA GÖTALANDS LÄN</t>
        </is>
      </c>
      <c r="G238" t="inlineStr">
        <is>
          <t>UDDEVALLA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51747-2025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45950</v>
      </c>
      <c r="E239" s="1" t="n">
        <v>46259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46259</v>
      </c>
      <c r="F240" t="inlineStr">
        <is>
          <t>VÄSTRA GÖTALANDS LÄN</t>
        </is>
      </c>
      <c r="G240" t="inlineStr">
        <is>
          <t>UDDEVALLA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46259</v>
      </c>
      <c r="F241" t="inlineStr">
        <is>
          <t>VÄSTRA GÖTALANDS LÄN</t>
        </is>
      </c>
      <c r="G241" t="inlineStr">
        <is>
          <t>UDDEVALLA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44683</v>
      </c>
      <c r="E242" s="1" t="n">
        <v>46259</v>
      </c>
      <c r="F242" t="inlineStr">
        <is>
          <t>VÄSTRA GÖTALANDS LÄN</t>
        </is>
      </c>
      <c r="G242" t="inlineStr">
        <is>
          <t>UDDEVALLA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46259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Övriga statliga verk och myndigheter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45093</v>
      </c>
      <c r="E244" s="1" t="n">
        <v>46259</v>
      </c>
      <c r="F244" t="inlineStr">
        <is>
          <t>VÄSTRA GÖTALANDS LÄN</t>
        </is>
      </c>
      <c r="G244" t="inlineStr">
        <is>
          <t>UDDEVALLA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46259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70491-2021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46259</v>
      </c>
      <c r="F246" t="inlineStr">
        <is>
          <t>VÄSTRA GÖTALANDS LÄN</t>
        </is>
      </c>
      <c r="G246" t="inlineStr">
        <is>
          <t>UDDEVALLA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46259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46259</v>
      </c>
      <c r="F248" t="inlineStr">
        <is>
          <t>VÄSTRA GÖTALANDS LÄN</t>
        </is>
      </c>
      <c r="G248" t="inlineStr">
        <is>
          <t>UDDEVALLA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45495</v>
      </c>
      <c r="E249" s="1" t="n">
        <v>46259</v>
      </c>
      <c r="F249" t="inlineStr">
        <is>
          <t>VÄSTRA GÖTALANDS LÄN</t>
        </is>
      </c>
      <c r="G249" t="inlineStr">
        <is>
          <t>UDDEVALLA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46259</v>
      </c>
      <c r="F250" t="inlineStr">
        <is>
          <t>VÄSTRA GÖTALANDS LÄN</t>
        </is>
      </c>
      <c r="G250" t="inlineStr">
        <is>
          <t>UDDEVALLA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45553</v>
      </c>
      <c r="E251" s="1" t="n">
        <v>46259</v>
      </c>
      <c r="F251" t="inlineStr">
        <is>
          <t>VÄSTRA GÖTALANDS LÄN</t>
        </is>
      </c>
      <c r="G251" t="inlineStr">
        <is>
          <t>UDDEVALLA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46259</v>
      </c>
      <c r="F252" t="inlineStr">
        <is>
          <t>VÄSTRA GÖTALANDS LÄN</t>
        </is>
      </c>
      <c r="G252" t="inlineStr">
        <is>
          <t>UDDEVALLA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46259</v>
      </c>
      <c r="F253" t="inlineStr">
        <is>
          <t>VÄSTRA GÖTALANDS LÄN</t>
        </is>
      </c>
      <c r="G253" t="inlineStr">
        <is>
          <t>UDDEVALLA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46259</v>
      </c>
      <c r="F254" t="inlineStr">
        <is>
          <t>VÄSTRA GÖTALANDS LÄN</t>
        </is>
      </c>
      <c r="G254" t="inlineStr">
        <is>
          <t>UDDEVALLA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46259</v>
      </c>
      <c r="F255" t="inlineStr">
        <is>
          <t>VÄSTRA GÖTALANDS LÄN</t>
        </is>
      </c>
      <c r="G255" t="inlineStr">
        <is>
          <t>UDDEVALLA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46259</v>
      </c>
      <c r="F256" t="inlineStr">
        <is>
          <t>VÄSTRA GÖTALANDS LÄN</t>
        </is>
      </c>
      <c r="G256" t="inlineStr">
        <is>
          <t>UDDEVALLA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46259</v>
      </c>
      <c r="F257" t="inlineStr">
        <is>
          <t>VÄSTRA GÖTALANDS LÄN</t>
        </is>
      </c>
      <c r="G257" t="inlineStr">
        <is>
          <t>UDDEVALLA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46259</v>
      </c>
      <c r="F258" t="inlineStr">
        <is>
          <t>VÄSTRA GÖTALANDS LÄN</t>
        </is>
      </c>
      <c r="G258" t="inlineStr">
        <is>
          <t>UDDEVALLA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45028</v>
      </c>
      <c r="E259" s="1" t="n">
        <v>46259</v>
      </c>
      <c r="F259" t="inlineStr">
        <is>
          <t>VÄSTRA GÖTALANDS LÄN</t>
        </is>
      </c>
      <c r="G259" t="inlineStr">
        <is>
          <t>UDDEVALLA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46259</v>
      </c>
      <c r="F260" t="inlineStr">
        <is>
          <t>VÄSTRA GÖTALANDS LÄN</t>
        </is>
      </c>
      <c r="G260" t="inlineStr">
        <is>
          <t>UDDEVALLA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31481-2026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46222</v>
      </c>
      <c r="E261" s="1" t="n">
        <v>46259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Kommuner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46259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46259</v>
      </c>
      <c r="F263" t="inlineStr">
        <is>
          <t>VÄSTRA GÖTALANDS LÄN</t>
        </is>
      </c>
      <c r="G263" t="inlineStr">
        <is>
          <t>UDDEVALLA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46259</v>
      </c>
      <c r="F264" t="inlineStr">
        <is>
          <t>VÄSTRA GÖTALANDS LÄN</t>
        </is>
      </c>
      <c r="G264" t="inlineStr">
        <is>
          <t>UDDEVALLA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46259</v>
      </c>
      <c r="F265" t="inlineStr">
        <is>
          <t>VÄSTRA GÖTALANDS LÄN</t>
        </is>
      </c>
      <c r="G265" t="inlineStr">
        <is>
          <t>UDDEVALLA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46259</v>
      </c>
      <c r="F266" t="inlineStr">
        <is>
          <t>VÄSTRA GÖTALANDS LÄN</t>
        </is>
      </c>
      <c r="G266" t="inlineStr">
        <is>
          <t>UDDEVALLA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46259</v>
      </c>
      <c r="F267" t="inlineStr">
        <is>
          <t>VÄSTRA GÖTALANDS LÄN</t>
        </is>
      </c>
      <c r="G267" t="inlineStr">
        <is>
          <t>UDDEVALLA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46259</v>
      </c>
      <c r="F268" t="inlineStr">
        <is>
          <t>VÄSTRA GÖTALANDS LÄN</t>
        </is>
      </c>
      <c r="G268" t="inlineStr">
        <is>
          <t>UDDEVALLA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46259</v>
      </c>
      <c r="F269" t="inlineStr">
        <is>
          <t>VÄSTRA GÖTALANDS LÄN</t>
        </is>
      </c>
      <c r="G269" t="inlineStr">
        <is>
          <t>UDDEVALLA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8893-2024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45355</v>
      </c>
      <c r="E270" s="1" t="n">
        <v>46259</v>
      </c>
      <c r="F270" t="inlineStr">
        <is>
          <t>VÄSTRA GÖTALANDS LÄN</t>
        </is>
      </c>
      <c r="G270" t="inlineStr">
        <is>
          <t>UDDEVALLA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46259</v>
      </c>
      <c r="F271" t="inlineStr">
        <is>
          <t>VÄSTRA GÖTALANDS LÄN</t>
        </is>
      </c>
      <c r="G271" t="inlineStr">
        <is>
          <t>UDDEVALLA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46259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46259</v>
      </c>
      <c r="F273" t="inlineStr">
        <is>
          <t>VÄSTRA GÖTALANDS LÄN</t>
        </is>
      </c>
      <c r="G273" t="inlineStr">
        <is>
          <t>UDDEVALLA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46259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45167</v>
      </c>
      <c r="E275" s="1" t="n">
        <v>46259</v>
      </c>
      <c r="F275" t="inlineStr">
        <is>
          <t>VÄSTRA GÖTALANDS LÄN</t>
        </is>
      </c>
      <c r="G275" t="inlineStr">
        <is>
          <t>UDDEVALLA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46007</v>
      </c>
      <c r="E276" s="1" t="n">
        <v>46259</v>
      </c>
      <c r="F276" t="inlineStr">
        <is>
          <t>VÄSTRA GÖTALANDS LÄN</t>
        </is>
      </c>
      <c r="G276" t="inlineStr">
        <is>
          <t>UDDEVALLA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46259</v>
      </c>
      <c r="F277" t="inlineStr">
        <is>
          <t>VÄSTRA GÖTALANDS LÄN</t>
        </is>
      </c>
      <c r="G277" t="inlineStr">
        <is>
          <t>UDDEVALLA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46259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46259</v>
      </c>
      <c r="F279" t="inlineStr">
        <is>
          <t>VÄSTRA GÖTALANDS LÄN</t>
        </is>
      </c>
      <c r="G279" t="inlineStr">
        <is>
          <t>UDDEVALLA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45580</v>
      </c>
      <c r="E280" s="1" t="n">
        <v>46259</v>
      </c>
      <c r="F280" t="inlineStr">
        <is>
          <t>VÄSTRA GÖTALANDS LÄN</t>
        </is>
      </c>
      <c r="G280" t="inlineStr">
        <is>
          <t>UDDEVALLA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46259</v>
      </c>
      <c r="F281" t="inlineStr">
        <is>
          <t>VÄSTRA GÖTALANDS LÄN</t>
        </is>
      </c>
      <c r="G281" t="inlineStr">
        <is>
          <t>UDDEVALLA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45076</v>
      </c>
      <c r="E282" s="1" t="n">
        <v>46259</v>
      </c>
      <c r="F282" t="inlineStr">
        <is>
          <t>VÄSTRA GÖTALANDS LÄN</t>
        </is>
      </c>
      <c r="G282" t="inlineStr">
        <is>
          <t>UDDEVALLA</t>
        </is>
      </c>
      <c r="I282" t="n">
        <v>12.2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46259</v>
      </c>
      <c r="F283" t="inlineStr">
        <is>
          <t>VÄSTRA GÖTALANDS LÄN</t>
        </is>
      </c>
      <c r="G283" t="inlineStr">
        <is>
          <t>UDDEVALLA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58625-2024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45635</v>
      </c>
      <c r="E284" s="1" t="n">
        <v>46259</v>
      </c>
      <c r="F284" t="inlineStr">
        <is>
          <t>VÄSTRA GÖTALANDS LÄN</t>
        </is>
      </c>
      <c r="G284" t="inlineStr">
        <is>
          <t>UDDEVALLA</t>
        </is>
      </c>
      <c r="I284" t="n">
        <v>14.9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44924</v>
      </c>
      <c r="E285" s="1" t="n">
        <v>46259</v>
      </c>
      <c r="F285" t="inlineStr">
        <is>
          <t>VÄSTRA GÖTALANDS LÄN</t>
        </is>
      </c>
      <c r="G285" t="inlineStr">
        <is>
          <t>UDDEVALLA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46026</v>
      </c>
      <c r="E286" s="1" t="n">
        <v>46259</v>
      </c>
      <c r="F286" t="inlineStr">
        <is>
          <t>VÄSTRA GÖTALANDS LÄN</t>
        </is>
      </c>
      <c r="G286" t="inlineStr">
        <is>
          <t>UDDEVALLA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46259</v>
      </c>
      <c r="F287" t="inlineStr">
        <is>
          <t>VÄSTRA GÖTALANDS LÄN</t>
        </is>
      </c>
      <c r="G287" t="inlineStr">
        <is>
          <t>UDDEVALLA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46259</v>
      </c>
      <c r="F288" t="inlineStr">
        <is>
          <t>VÄSTRA GÖTALANDS LÄN</t>
        </is>
      </c>
      <c r="G288" t="inlineStr">
        <is>
          <t>UDDEVALLA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45188</v>
      </c>
      <c r="E289" s="1" t="n">
        <v>46259</v>
      </c>
      <c r="F289" t="inlineStr">
        <is>
          <t>VÄSTRA GÖTALANDS LÄN</t>
        </is>
      </c>
      <c r="G289" t="inlineStr">
        <is>
          <t>UDDEVALLA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46259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46259</v>
      </c>
      <c r="F291" t="inlineStr">
        <is>
          <t>VÄSTRA GÖTALANDS LÄN</t>
        </is>
      </c>
      <c r="G291" t="inlineStr">
        <is>
          <t>UDDEVALLA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45426</v>
      </c>
      <c r="E292" s="1" t="n">
        <v>46259</v>
      </c>
      <c r="F292" t="inlineStr">
        <is>
          <t>VÄSTRA GÖTALANDS LÄN</t>
        </is>
      </c>
      <c r="G292" t="inlineStr">
        <is>
          <t>UDDEVALLA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46259</v>
      </c>
      <c r="F293" t="inlineStr">
        <is>
          <t>VÄSTRA GÖTALANDS LÄN</t>
        </is>
      </c>
      <c r="G293" t="inlineStr">
        <is>
          <t>UDDEVALLA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46259</v>
      </c>
      <c r="F294" t="inlineStr">
        <is>
          <t>VÄSTRA GÖTALANDS LÄN</t>
        </is>
      </c>
      <c r="G294" t="inlineStr">
        <is>
          <t>UDDEVALLA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46259</v>
      </c>
      <c r="F295" t="inlineStr">
        <is>
          <t>VÄSTRA GÖTALANDS LÄN</t>
        </is>
      </c>
      <c r="G295" t="inlineStr">
        <is>
          <t>UDDEVALLA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46259</v>
      </c>
      <c r="F296" t="inlineStr">
        <is>
          <t>VÄSTRA GÖTALANDS LÄN</t>
        </is>
      </c>
      <c r="G296" t="inlineStr">
        <is>
          <t>UDDEVALLA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46259</v>
      </c>
      <c r="F297" t="inlineStr">
        <is>
          <t>VÄSTRA GÖTALANDS LÄN</t>
        </is>
      </c>
      <c r="G297" t="inlineStr">
        <is>
          <t>UDDEVALLA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46036</v>
      </c>
      <c r="E298" s="1" t="n">
        <v>46259</v>
      </c>
      <c r="F298" t="inlineStr">
        <is>
          <t>VÄSTRA GÖTALANDS LÄN</t>
        </is>
      </c>
      <c r="G298" t="inlineStr">
        <is>
          <t>UDDEVALLA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46259</v>
      </c>
      <c r="F299" t="inlineStr">
        <is>
          <t>VÄSTRA GÖTALANDS LÄN</t>
        </is>
      </c>
      <c r="G299" t="inlineStr">
        <is>
          <t>UDDEVALLA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46259</v>
      </c>
      <c r="F300" t="inlineStr">
        <is>
          <t>VÄSTRA GÖTALANDS LÄN</t>
        </is>
      </c>
      <c r="G300" t="inlineStr">
        <is>
          <t>UDDEVALLA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45771</v>
      </c>
      <c r="E301" s="1" t="n">
        <v>46259</v>
      </c>
      <c r="F301" t="inlineStr">
        <is>
          <t>VÄSTRA GÖTALANDS LÄN</t>
        </is>
      </c>
      <c r="G301" t="inlineStr">
        <is>
          <t>UDDEVALLA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46259</v>
      </c>
      <c r="F302" t="inlineStr">
        <is>
          <t>VÄSTRA GÖTALANDS LÄN</t>
        </is>
      </c>
      <c r="G302" t="inlineStr">
        <is>
          <t>UDDEVALLA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46259</v>
      </c>
      <c r="F303" t="inlineStr">
        <is>
          <t>VÄSTRA GÖTALANDS LÄN</t>
        </is>
      </c>
      <c r="G303" t="inlineStr">
        <is>
          <t>UDDEVALLA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46259</v>
      </c>
      <c r="F304" t="inlineStr">
        <is>
          <t>VÄSTRA GÖTALANDS LÄN</t>
        </is>
      </c>
      <c r="G304" t="inlineStr">
        <is>
          <t>UDDEVALLA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46259</v>
      </c>
      <c r="F305" t="inlineStr">
        <is>
          <t>VÄSTRA GÖTALANDS LÄN</t>
        </is>
      </c>
      <c r="G305" t="inlineStr">
        <is>
          <t>UDDEVALLA</t>
        </is>
      </c>
      <c r="I305" t="n">
        <v>12.9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46251</v>
      </c>
      <c r="E306" s="1" t="n">
        <v>46259</v>
      </c>
      <c r="F306" t="inlineStr">
        <is>
          <t>VÄSTRA GÖTALANDS LÄN</t>
        </is>
      </c>
      <c r="G306" t="inlineStr">
        <is>
          <t>UDDEVALLA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46210</v>
      </c>
      <c r="E307" s="1" t="n">
        <v>46259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Kommuner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46259</v>
      </c>
      <c r="F308" t="inlineStr">
        <is>
          <t>VÄSTRA GÖTALANDS LÄN</t>
        </is>
      </c>
      <c r="G308" t="inlineStr">
        <is>
          <t>UDDEVALLA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46210</v>
      </c>
      <c r="E309" s="1" t="n">
        <v>46259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Kommuner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46211</v>
      </c>
      <c r="E310" s="1" t="n">
        <v>46259</v>
      </c>
      <c r="F310" t="inlineStr">
        <is>
          <t>VÄSTRA GÖTALANDS LÄN</t>
        </is>
      </c>
      <c r="G310" t="inlineStr">
        <is>
          <t>UDDEVALLA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46259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46259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46259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46259</v>
      </c>
      <c r="F314" t="inlineStr">
        <is>
          <t>VÄSTRA GÖTALANDS LÄN</t>
        </is>
      </c>
      <c r="G314" t="inlineStr">
        <is>
          <t>UDDEVALLA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46259</v>
      </c>
      <c r="F315" t="inlineStr">
        <is>
          <t>VÄSTRA GÖTALANDS LÄN</t>
        </is>
      </c>
      <c r="G315" t="inlineStr">
        <is>
          <t>UDDEVALLA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46259</v>
      </c>
      <c r="F316" t="inlineStr">
        <is>
          <t>VÄSTRA GÖTALANDS LÄN</t>
        </is>
      </c>
      <c r="G316" t="inlineStr">
        <is>
          <t>UDDEVALLA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46259</v>
      </c>
      <c r="F317" t="inlineStr">
        <is>
          <t>VÄSTRA GÖTALANDS LÄN</t>
        </is>
      </c>
      <c r="G317" t="inlineStr">
        <is>
          <t>UDDEVALLA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46259</v>
      </c>
      <c r="F318" t="inlineStr">
        <is>
          <t>VÄSTRA GÖTALANDS LÄN</t>
        </is>
      </c>
      <c r="G318" t="inlineStr">
        <is>
          <t>UDDEVALLA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44935</v>
      </c>
      <c r="E319" s="1" t="n">
        <v>46259</v>
      </c>
      <c r="F319" t="inlineStr">
        <is>
          <t>VÄSTRA GÖTALANDS LÄN</t>
        </is>
      </c>
      <c r="G319" t="inlineStr">
        <is>
          <t>UDDEVALLA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10436-2026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46076</v>
      </c>
      <c r="E320" s="1" t="n">
        <v>46259</v>
      </c>
      <c r="F320" t="inlineStr">
        <is>
          <t>VÄSTRA GÖTALANDS LÄN</t>
        </is>
      </c>
      <c r="G320" t="inlineStr">
        <is>
          <t>UDDEVALLA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46083</v>
      </c>
      <c r="E321" s="1" t="n">
        <v>46259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46259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46259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46259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16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57762-2025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46259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45400</v>
      </c>
      <c r="E326" s="1" t="n">
        <v>46259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46259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45540</v>
      </c>
      <c r="E328" s="1" t="n">
        <v>46259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Kyrkan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46259</v>
      </c>
      <c r="F329" t="inlineStr">
        <is>
          <t>VÄSTRA GÖTALANDS LÄN</t>
        </is>
      </c>
      <c r="G329" t="inlineStr">
        <is>
          <t>UDDEVALLA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46259</v>
      </c>
      <c r="F330" t="inlineStr">
        <is>
          <t>VÄSTRA GÖTALANDS LÄN</t>
        </is>
      </c>
      <c r="G330" t="inlineStr">
        <is>
          <t>UDDEVALLA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46259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46259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46259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46259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2026-08-25T01:49:12Z</dcterms:created>
  <dcterms:modified xmlns:dcterms="http://purl.org/dc/terms/" xmlns:xsi="http://www.w3.org/2001/XMLSchema-instance" xsi:type="dcterms:W3CDTF">2026-08-25T01:49:12Z</dcterms:modified>
</cp:coreProperties>
</file>