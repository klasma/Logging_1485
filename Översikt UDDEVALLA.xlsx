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46227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46227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46227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46227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46227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46227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46227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46227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46227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14063-2025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45740</v>
      </c>
      <c r="E11" s="1" t="n">
        <v>46227</v>
      </c>
      <c r="F11" t="inlineStr">
        <is>
          <t>VÄSTRA GÖTALANDS LÄN</t>
        </is>
      </c>
      <c r="G11" t="inlineStr">
        <is>
          <t>UDDEVALLA</t>
        </is>
      </c>
      <c r="I11" t="n">
        <v>8.800000000000001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Granspira
Mattlummer
Lopplummer (aggregat)</t>
        </is>
      </c>
      <c r="W11">
        <f>HYPERLINK("https://klasma.github.io/Logging_1485/artfynd/A 14063-2025 artfynd.xlsx", "A 14063-2025")</f>
        <v/>
      </c>
      <c r="X11">
        <f>HYPERLINK("https://klasma.github.io/Logging_1485/kartor/A 14063-2025 karta.png", "A 14063-2025")</f>
        <v/>
      </c>
      <c r="Y11">
        <f>HYPERLINK("https://klasma.github.io/Logging_1485/kartor_geotiff/A 14063-2025 georefererad karta.tif", "A 14063-2025")</f>
        <v/>
      </c>
      <c r="AA11">
        <f>HYPERLINK("https://klasma.github.io/Logging_1485/klagomål/A 14063-2025 FSC-klagomål.docx", "A 14063-2025")</f>
        <v/>
      </c>
      <c r="AB11">
        <f>HYPERLINK("https://klasma.github.io/Logging_1485/klagomålsmail/A 14063-2025 FSC-klagomål mail.docx", "A 14063-2025")</f>
        <v/>
      </c>
      <c r="AC11">
        <f>HYPERLINK("https://klasma.github.io/Logging_1485/tillsyn/A 14063-2025 tillsynsbegäran.docx", "A 14063-2025")</f>
        <v/>
      </c>
      <c r="AD11">
        <f>HYPERLINK("https://klasma.github.io/Logging_1485/tillsynsmail/A 14063-2025 tillsynsbegäran mail.docx", "A 14063-2025")</f>
        <v/>
      </c>
    </row>
    <row r="12" ht="15" customHeight="1">
      <c r="A12" t="inlineStr">
        <is>
          <t>A 59552-2025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45990</v>
      </c>
      <c r="E12" s="1" t="n">
        <v>46227</v>
      </c>
      <c r="F12" t="inlineStr">
        <is>
          <t>VÄSTRA GÖTALANDS LÄN</t>
        </is>
      </c>
      <c r="G12" t="inlineStr">
        <is>
          <t>UDDEVALLA</t>
        </is>
      </c>
      <c r="I12" t="n">
        <v>5.1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Kattfotslav
Stor revmossa
Revlummer</t>
        </is>
      </c>
      <c r="W12">
        <f>HYPERLINK("https://klasma.github.io/Logging_1485/artfynd/A 59552-2025 artfynd.xlsx", "A 59552-2025")</f>
        <v/>
      </c>
      <c r="X12">
        <f>HYPERLINK("https://klasma.github.io/Logging_1485/kartor/A 59552-2025 karta.png", "A 59552-2025")</f>
        <v/>
      </c>
      <c r="Y12">
        <f>HYPERLINK("https://klasma.github.io/Logging_1485/kartor_geotiff/A 59552-2025 georefererad karta.tif", "A 59552-2025")</f>
        <v/>
      </c>
      <c r="AA12">
        <f>HYPERLINK("https://klasma.github.io/Logging_1485/klagomål/A 59552-2025 FSC-klagomål.docx", "A 59552-2025")</f>
        <v/>
      </c>
      <c r="AB12">
        <f>HYPERLINK("https://klasma.github.io/Logging_1485/klagomålsmail/A 59552-2025 FSC-klagomål mail.docx", "A 59552-2025")</f>
        <v/>
      </c>
      <c r="AC12">
        <f>HYPERLINK("https://klasma.github.io/Logging_1485/tillsyn/A 59552-2025 tillsynsbegäran.docx", "A 59552-2025")</f>
        <v/>
      </c>
      <c r="AD12">
        <f>HYPERLINK("https://klasma.github.io/Logging_1485/tillsynsmail/A 59552-2025 tillsynsbegäran mail.docx", "A 59552-2025")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46227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46227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46227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46227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46227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46227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8666-2024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46227</v>
      </c>
      <c r="F20" t="inlineStr">
        <is>
          <t>VÄSTRA GÖTALANDS LÄN</t>
        </is>
      </c>
      <c r="G20" t="inlineStr">
        <is>
          <t>UDDEVALLA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Västlig hakmossa
Spillkråka</t>
        </is>
      </c>
      <c r="W20">
        <f>HYPERLINK("https://klasma.github.io/Logging_1485/artfynd/A 8666-2024 artfynd.xlsx", "A 8666-2024")</f>
        <v/>
      </c>
      <c r="X20">
        <f>HYPERLINK("https://klasma.github.io/Logging_1485/kartor/A 8666-2024 karta.png", "A 8666-2024")</f>
        <v/>
      </c>
      <c r="Y20">
        <f>HYPERLINK("https://klasma.github.io/Logging_1485/kartor_geotiff/A 8666-2024 georefererad karta.tif", "A 8666-2024")</f>
        <v/>
      </c>
      <c r="AA20">
        <f>HYPERLINK("https://klasma.github.io/Logging_1485/klagomål/A 8666-2024 FSC-klagomål.docx", "A 8666-2024")</f>
        <v/>
      </c>
      <c r="AB20">
        <f>HYPERLINK("https://klasma.github.io/Logging_1485/klagomålsmail/A 8666-2024 FSC-klagomål mail.docx", "A 8666-2024")</f>
        <v/>
      </c>
      <c r="AC20">
        <f>HYPERLINK("https://klasma.github.io/Logging_1485/tillsyn/A 8666-2024 tillsynsbegäran.docx", "A 8666-2024")</f>
        <v/>
      </c>
      <c r="AD20">
        <f>HYPERLINK("https://klasma.github.io/Logging_1485/tillsynsmail/A 8666-2024 tillsynsbegäran mail.docx", "A 8666-2024")</f>
        <v/>
      </c>
      <c r="AE20">
        <f>HYPERLINK("https://klasma.github.io/Logging_1485/fåglar/A 8666-2024 prioriterade fågelarter.docx", "A 8666-2024")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46227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46227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46227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46227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46227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46227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46227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65109-2023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45288</v>
      </c>
      <c r="E28" s="1" t="n">
        <v>46227</v>
      </c>
      <c r="F28" t="inlineStr">
        <is>
          <t>VÄSTRA GÖTALANDS LÄN</t>
        </is>
      </c>
      <c r="G28" t="inlineStr">
        <is>
          <t>UDDEVALLA</t>
        </is>
      </c>
      <c r="I28" t="n">
        <v>1.8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Åttafläckig praktbagge</t>
        </is>
      </c>
      <c r="W28">
        <f>HYPERLINK("https://klasma.github.io/Logging_1485/artfynd/A 65109-2023 artfynd.xlsx", "A 65109-2023")</f>
        <v/>
      </c>
      <c r="X28">
        <f>HYPERLINK("https://klasma.github.io/Logging_1485/kartor/A 65109-2023 karta.png", "A 65109-2023")</f>
        <v/>
      </c>
      <c r="Y28">
        <f>HYPERLINK("https://klasma.github.io/Logging_1485/kartor_geotiff/A 65109-2023 georefererad karta.tif", "A 65109-2023")</f>
        <v/>
      </c>
      <c r="AA28">
        <f>HYPERLINK("https://klasma.github.io/Logging_1485/klagomål/A 65109-2023 FSC-klagomål.docx", "A 65109-2023")</f>
        <v/>
      </c>
      <c r="AB28">
        <f>HYPERLINK("https://klasma.github.io/Logging_1485/klagomålsmail/A 65109-2023 FSC-klagomål mail.docx", "A 65109-2023")</f>
        <v/>
      </c>
      <c r="AC28">
        <f>HYPERLINK("https://klasma.github.io/Logging_1485/tillsyn/A 65109-2023 tillsynsbegäran.docx", "A 65109-2023")</f>
        <v/>
      </c>
      <c r="AD28">
        <f>HYPERLINK("https://klasma.github.io/Logging_1485/tillsynsmail/A 65109-2023 tillsynsbegäran mail.docx", "A 65109-2023")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46227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46227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46227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23322-2025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46227</v>
      </c>
      <c r="F32" t="inlineStr">
        <is>
          <t>VÄSTRA GÖTALANDS LÄN</t>
        </is>
      </c>
      <c r="G32" t="inlineStr">
        <is>
          <t>UDDEVALLA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HYPERLINK("https://klasma.github.io/Logging_1485/artfynd/A 23322-2025 artfynd.xlsx", "A 23322-2025")</f>
        <v/>
      </c>
      <c r="X32">
        <f>HYPERLINK("https://klasma.github.io/Logging_1485/kartor/A 23322-2025 karta.png", "A 23322-2025")</f>
        <v/>
      </c>
      <c r="Y32">
        <f>HYPERLINK("https://klasma.github.io/Logging_1485/kartor_geotiff/A 23322-2025 georefererad karta.tif", "A 23322-2025")</f>
        <v/>
      </c>
      <c r="AA32">
        <f>HYPERLINK("https://klasma.github.io/Logging_1485/klagomål/A 23322-2025 FSC-klagomål.docx", "A 23322-2025")</f>
        <v/>
      </c>
      <c r="AB32">
        <f>HYPERLINK("https://klasma.github.io/Logging_1485/klagomålsmail/A 23322-2025 FSC-klagomål mail.docx", "A 23322-2025")</f>
        <v/>
      </c>
      <c r="AC32">
        <f>HYPERLINK("https://klasma.github.io/Logging_1485/tillsyn/A 23322-2025 tillsynsbegäran.docx", "A 23322-2025")</f>
        <v/>
      </c>
      <c r="AD32">
        <f>HYPERLINK("https://klasma.github.io/Logging_1485/tillsynsmail/A 23322-2025 tillsynsbegäran mail.docx", "A 23322-2025")</f>
        <v/>
      </c>
      <c r="AE32">
        <f>HYPERLINK("https://klasma.github.io/Logging_1485/fåglar/A 23322-2025 prioriterade fågelarter.docx", "A 23322-2025")</f>
        <v/>
      </c>
    </row>
    <row r="33" ht="15" customHeight="1">
      <c r="A33" t="inlineStr">
        <is>
          <t>A 34058-2023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45135</v>
      </c>
      <c r="E33" s="1" t="n">
        <v>46227</v>
      </c>
      <c r="F33" t="inlineStr">
        <is>
          <t>VÄSTRA GÖTALANDS LÄN</t>
        </is>
      </c>
      <c r="G33" t="inlineStr">
        <is>
          <t>UDDEVALLA</t>
        </is>
      </c>
      <c r="I33" t="n">
        <v>1.3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Lundvaxskivling</t>
        </is>
      </c>
      <c r="W33">
        <f>HYPERLINK("https://klasma.github.io/Logging_1485/artfynd/A 34058-2023 artfynd.xlsx", "A 34058-2023")</f>
        <v/>
      </c>
      <c r="X33">
        <f>HYPERLINK("https://klasma.github.io/Logging_1485/kartor/A 34058-2023 karta.png", "A 34058-2023")</f>
        <v/>
      </c>
      <c r="Y33">
        <f>HYPERLINK("https://klasma.github.io/Logging_1485/kartor_geotiff/A 34058-2023 georefererad karta.tif", "A 34058-2023")</f>
        <v/>
      </c>
      <c r="AA33">
        <f>HYPERLINK("https://klasma.github.io/Logging_1485/klagomål/A 34058-2023 FSC-klagomål.docx", "A 34058-2023")</f>
        <v/>
      </c>
      <c r="AB33">
        <f>HYPERLINK("https://klasma.github.io/Logging_1485/klagomålsmail/A 34058-2023 FSC-klagomål mail.docx", "A 34058-2023")</f>
        <v/>
      </c>
      <c r="AC33">
        <f>HYPERLINK("https://klasma.github.io/Logging_1485/tillsyn/A 34058-2023 tillsynsbegäran.docx", "A 34058-2023")</f>
        <v/>
      </c>
      <c r="AD33">
        <f>HYPERLINK("https://klasma.github.io/Logging_1485/tillsynsmail/A 34058-2023 tillsynsbegäran mail.docx", "A 34058-2023")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46227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HYPERLINK("https://klasma.github.io/Logging_1485/artfynd/A 495-2023 artfynd.xlsx", "A 495-2023")</f>
        <v/>
      </c>
      <c r="X34">
        <f>HYPERLINK("https://klasma.github.io/Logging_1485/kartor/A 495-2023 karta.png", "A 495-2023")</f>
        <v/>
      </c>
      <c r="Y34">
        <f>HYPERLINK("https://klasma.github.io/Logging_1485/kartor_geotiff/A 495-2023 georefererad karta.tif", "A 495-2023")</f>
        <v/>
      </c>
      <c r="AA34">
        <f>HYPERLINK("https://klasma.github.io/Logging_1485/klagomål/A 495-2023 FSC-klagomål.docx", "A 495-2023")</f>
        <v/>
      </c>
      <c r="AB34">
        <f>HYPERLINK("https://klasma.github.io/Logging_1485/klagomålsmail/A 495-2023 FSC-klagomål mail.docx", "A 495-2023")</f>
        <v/>
      </c>
      <c r="AC34">
        <f>HYPERLINK("https://klasma.github.io/Logging_1485/tillsyn/A 495-2023 tillsynsbegäran.docx", "A 495-2023")</f>
        <v/>
      </c>
      <c r="AD34">
        <f>HYPERLINK("https://klasma.github.io/Logging_1485/tillsynsmail/A 495-2023 tillsynsbegäran mail.docx", "A 495-2023")</f>
        <v/>
      </c>
      <c r="AE34">
        <f>HYPERLINK("https://klasma.github.io/Logging_1485/fåglar/A 495-2023 prioriterade fågelarter.docx", "A 495-2023")</f>
        <v/>
      </c>
    </row>
    <row r="35" ht="15" customHeight="1">
      <c r="A35" t="inlineStr">
        <is>
          <t>A 30954-2025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46227</v>
      </c>
      <c r="F35" t="inlineStr">
        <is>
          <t>VÄSTRA GÖTALANDS LÄN</t>
        </is>
      </c>
      <c r="G35" t="inlineStr">
        <is>
          <t>UDDEVALLA</t>
        </is>
      </c>
      <c r="I35" t="n">
        <v>11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HYPERLINK("https://klasma.github.io/Logging_1485/artfynd/A 30954-2025 artfynd.xlsx", "A 30954-2025")</f>
        <v/>
      </c>
      <c r="X35">
        <f>HYPERLINK("https://klasma.github.io/Logging_1485/kartor/A 30954-2025 karta.png", "A 30954-2025")</f>
        <v/>
      </c>
      <c r="Y35">
        <f>HYPERLINK("https://klasma.github.io/Logging_1485/kartor_geotiff/A 30954-2025 georefererad karta.tif", "A 30954-2025")</f>
        <v/>
      </c>
      <c r="AA35">
        <f>HYPERLINK("https://klasma.github.io/Logging_1485/klagomål/A 30954-2025 FSC-klagomål.docx", "A 30954-2025")</f>
        <v/>
      </c>
      <c r="AB35">
        <f>HYPERLINK("https://klasma.github.io/Logging_1485/klagomålsmail/A 30954-2025 FSC-klagomål mail.docx", "A 30954-2025")</f>
        <v/>
      </c>
      <c r="AC35">
        <f>HYPERLINK("https://klasma.github.io/Logging_1485/tillsyn/A 30954-2025 tillsynsbegäran.docx", "A 30954-2025")</f>
        <v/>
      </c>
      <c r="AD35">
        <f>HYPERLINK("https://klasma.github.io/Logging_1485/tillsynsmail/A 30954-2025 tillsynsbegäran mail.docx", "A 30954-2025")</f>
        <v/>
      </c>
    </row>
    <row r="36" ht="15" customHeight="1">
      <c r="A36" t="inlineStr">
        <is>
          <t>A 10865-2022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46227</v>
      </c>
      <c r="F36" t="inlineStr">
        <is>
          <t>VÄSTRA GÖTALANDS LÄN</t>
        </is>
      </c>
      <c r="G36" t="inlineStr">
        <is>
          <t>UDDEVALLA</t>
        </is>
      </c>
      <c r="I36" t="n">
        <v>3.9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10865-2022 artfynd.xlsx", "A 10865-2022")</f>
        <v/>
      </c>
      <c r="X36">
        <f>HYPERLINK("https://klasma.github.io/Logging_1485/kartor/A 10865-2022 karta.png", "A 10865-2022")</f>
        <v/>
      </c>
      <c r="Y36">
        <f>HYPERLINK("https://klasma.github.io/Logging_1485/kartor_geotiff/A 10865-2022 georefererad karta.tif", "A 10865-2022")</f>
        <v/>
      </c>
      <c r="AA36">
        <f>HYPERLINK("https://klasma.github.io/Logging_1485/klagomål/A 10865-2022 FSC-klagomål.docx", "A 10865-2022")</f>
        <v/>
      </c>
      <c r="AB36">
        <f>HYPERLINK("https://klasma.github.io/Logging_1485/klagomålsmail/A 10865-2022 FSC-klagomål mail.docx", "A 10865-2022")</f>
        <v/>
      </c>
      <c r="AC36">
        <f>HYPERLINK("https://klasma.github.io/Logging_1485/tillsyn/A 10865-2022 tillsynsbegäran.docx", "A 10865-2022")</f>
        <v/>
      </c>
      <c r="AD36">
        <f>HYPERLINK("https://klasma.github.io/Logging_1485/tillsynsmail/A 10865-2022 tillsynsbegäran mail.docx", "A 10865-2022")</f>
        <v/>
      </c>
    </row>
    <row r="37" ht="15" customHeight="1">
      <c r="A37" t="inlineStr">
        <is>
          <t>A 9424-2026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46071</v>
      </c>
      <c r="E37" s="1" t="n">
        <v>46227</v>
      </c>
      <c r="F37" t="inlineStr">
        <is>
          <t>VÄSTRA GÖTALANDS LÄN</t>
        </is>
      </c>
      <c r="G37" t="inlineStr">
        <is>
          <t>UDDEVALLA</t>
        </is>
      </c>
      <c r="I37" t="n">
        <v>4.3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Flotagräs</t>
        </is>
      </c>
      <c r="W37">
        <f>HYPERLINK("https://klasma.github.io/Logging_1485/artfynd/A 9424-2026 artfynd.xlsx", "A 9424-2026")</f>
        <v/>
      </c>
      <c r="X37">
        <f>HYPERLINK("https://klasma.github.io/Logging_1485/kartor/A 9424-2026 karta.png", "A 9424-2026")</f>
        <v/>
      </c>
      <c r="Y37">
        <f>HYPERLINK("https://klasma.github.io/Logging_1485/kartor_geotiff/A 9424-2026 georefererad karta.tif", "A 9424-2026")</f>
        <v/>
      </c>
      <c r="AA37">
        <f>HYPERLINK("https://klasma.github.io/Logging_1485/klagomål/A 9424-2026 FSC-klagomål.docx", "A 9424-2026")</f>
        <v/>
      </c>
      <c r="AB37">
        <f>HYPERLINK("https://klasma.github.io/Logging_1485/klagomålsmail/A 9424-2026 FSC-klagomål mail.docx", "A 9424-2026")</f>
        <v/>
      </c>
      <c r="AC37">
        <f>HYPERLINK("https://klasma.github.io/Logging_1485/tillsyn/A 9424-2026 tillsynsbegäran.docx", "A 9424-2026")</f>
        <v/>
      </c>
      <c r="AD37">
        <f>HYPERLINK("https://klasma.github.io/Logging_1485/tillsynsmail/A 9424-2026 tillsynsbegäran mail.docx", "A 9424-2026")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46227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Kopparödla</t>
        </is>
      </c>
      <c r="W38">
        <f>HYPERLINK("https://klasma.github.io/Logging_1485/artfynd/A 29691-2023 artfynd.xlsx", "A 29691-2023")</f>
        <v/>
      </c>
      <c r="X38">
        <f>HYPERLINK("https://klasma.github.io/Logging_1485/kartor/A 29691-2023 karta.png", "A 29691-2023")</f>
        <v/>
      </c>
      <c r="Y38">
        <f>HYPERLINK("https://klasma.github.io/Logging_1485/kartor_geotiff/A 29691-2023 georefererad karta.tif", "A 29691-2023")</f>
        <v/>
      </c>
      <c r="AA38">
        <f>HYPERLINK("https://klasma.github.io/Logging_1485/klagomål/A 29691-2023 FSC-klagomål.docx", "A 29691-2023")</f>
        <v/>
      </c>
      <c r="AB38">
        <f>HYPERLINK("https://klasma.github.io/Logging_1485/klagomålsmail/A 29691-2023 FSC-klagomål mail.docx", "A 29691-2023")</f>
        <v/>
      </c>
      <c r="AC38">
        <f>HYPERLINK("https://klasma.github.io/Logging_1485/tillsyn/A 29691-2023 tillsynsbegäran.docx", "A 29691-2023")</f>
        <v/>
      </c>
      <c r="AD38">
        <f>HYPERLINK("https://klasma.github.io/Logging_1485/tillsynsmail/A 29691-2023 tillsynsbegäran mail.docx", "A 29691-2023")</f>
        <v/>
      </c>
    </row>
    <row r="39" ht="15" customHeight="1">
      <c r="A39" t="inlineStr">
        <is>
          <t>A 7770-2024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46227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Kyrkan</t>
        </is>
      </c>
      <c r="I39" t="n">
        <v>6.2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HYPERLINK("https://klasma.github.io/Logging_1485/artfynd/A 7770-2024 artfynd.xlsx", "A 7770-2024")</f>
        <v/>
      </c>
      <c r="X39">
        <f>HYPERLINK("https://klasma.github.io/Logging_1485/kartor/A 7770-2024 karta.png", "A 7770-2024")</f>
        <v/>
      </c>
      <c r="Y39">
        <f>HYPERLINK("https://klasma.github.io/Logging_1485/kartor_geotiff/A 7770-2024 georefererad karta.tif", "A 7770-2024")</f>
        <v/>
      </c>
      <c r="AA39">
        <f>HYPERLINK("https://klasma.github.io/Logging_1485/klagomål/A 7770-2024 FSC-klagomål.docx", "A 7770-2024")</f>
        <v/>
      </c>
      <c r="AB39">
        <f>HYPERLINK("https://klasma.github.io/Logging_1485/klagomålsmail/A 7770-2024 FSC-klagomål mail.docx", "A 7770-2024")</f>
        <v/>
      </c>
      <c r="AC39">
        <f>HYPERLINK("https://klasma.github.io/Logging_1485/tillsyn/A 7770-2024 tillsynsbegäran.docx", "A 7770-2024")</f>
        <v/>
      </c>
      <c r="AD39">
        <f>HYPERLINK("https://klasma.github.io/Logging_1485/tillsynsmail/A 7770-2024 tillsynsbegäran mail.docx", "A 7770-2024")</f>
        <v/>
      </c>
    </row>
    <row r="40" ht="15" customHeight="1">
      <c r="A40" t="inlineStr">
        <is>
          <t>A 22603-2023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46227</v>
      </c>
      <c r="F40" t="inlineStr">
        <is>
          <t>VÄSTRA GÖTALANDS LÄN</t>
        </is>
      </c>
      <c r="G40" t="inlineStr">
        <is>
          <t>UDDEVALLA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HYPERLINK("https://klasma.github.io/Logging_1485/artfynd/A 22603-2023 artfynd.xlsx", "A 22603-2023")</f>
        <v/>
      </c>
      <c r="X40">
        <f>HYPERLINK("https://klasma.github.io/Logging_1485/kartor/A 22603-2023 karta.png", "A 22603-2023")</f>
        <v/>
      </c>
      <c r="Y40">
        <f>HYPERLINK("https://klasma.github.io/Logging_1485/kartor_geotiff/A 22603-2023 georefererad karta.tif", "A 22603-2023")</f>
        <v/>
      </c>
      <c r="AA40">
        <f>HYPERLINK("https://klasma.github.io/Logging_1485/klagomål/A 22603-2023 FSC-klagomål.docx", "A 22603-2023")</f>
        <v/>
      </c>
      <c r="AB40">
        <f>HYPERLINK("https://klasma.github.io/Logging_1485/klagomålsmail/A 22603-2023 FSC-klagomål mail.docx", "A 22603-2023")</f>
        <v/>
      </c>
      <c r="AC40">
        <f>HYPERLINK("https://klasma.github.io/Logging_1485/tillsyn/A 22603-2023 tillsynsbegäran.docx", "A 22603-2023")</f>
        <v/>
      </c>
      <c r="AD40">
        <f>HYPERLINK("https://klasma.github.io/Logging_1485/tillsynsmail/A 22603-2023 tillsynsbegäran mail.docx", "A 22603-2023")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46227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46227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46227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236-2023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46227</v>
      </c>
      <c r="F44" t="inlineStr">
        <is>
          <t>VÄSTRA GÖTALANDS LÄN</t>
        </is>
      </c>
      <c r="G44" t="inlineStr">
        <is>
          <t>UDDEVALLA</t>
        </is>
      </c>
      <c r="I44" t="n">
        <v>16.7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Rödgul trumpetsvamp</t>
        </is>
      </c>
      <c r="W44">
        <f>HYPERLINK("https://klasma.github.io/Logging_1485/artfynd/A 236-2023 artfynd.xlsx", "A 236-2023")</f>
        <v/>
      </c>
      <c r="X44">
        <f>HYPERLINK("https://klasma.github.io/Logging_1485/kartor/A 236-2023 karta.png", "A 236-2023")</f>
        <v/>
      </c>
      <c r="Y44">
        <f>HYPERLINK("https://klasma.github.io/Logging_1485/kartor_geotiff/A 236-2023 georefererad karta.tif", "A 236-2023")</f>
        <v/>
      </c>
      <c r="AA44">
        <f>HYPERLINK("https://klasma.github.io/Logging_1485/klagomål/A 236-2023 FSC-klagomål.docx", "A 236-2023")</f>
        <v/>
      </c>
      <c r="AB44">
        <f>HYPERLINK("https://klasma.github.io/Logging_1485/klagomålsmail/A 236-2023 FSC-klagomål mail.docx", "A 236-2023")</f>
        <v/>
      </c>
      <c r="AC44">
        <f>HYPERLINK("https://klasma.github.io/Logging_1485/tillsyn/A 236-2023 tillsynsbegäran.docx", "A 236-2023")</f>
        <v/>
      </c>
      <c r="AD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45076</v>
      </c>
      <c r="E45" s="1" t="n">
        <v>46227</v>
      </c>
      <c r="F45" t="inlineStr">
        <is>
          <t>VÄSTRA GÖTALANDS LÄN</t>
        </is>
      </c>
      <c r="G45" t="inlineStr">
        <is>
          <t>UDDEVALLA</t>
        </is>
      </c>
      <c r="I45" t="n">
        <v>3.3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HYPERLINK("https://klasma.github.io/Logging_1485/artfynd/A 23401-2023 artfynd.xlsx", "A 23401-2023")</f>
        <v/>
      </c>
      <c r="X45">
        <f>HYPERLINK("https://klasma.github.io/Logging_1485/kartor/A 23401-2023 karta.png", "A 23401-2023")</f>
        <v/>
      </c>
      <c r="Y45">
        <f>HYPERLINK("https://klasma.github.io/Logging_1485/kartor_geotiff/A 23401-2023 georefererad karta.tif", "A 23401-2023")</f>
        <v/>
      </c>
      <c r="AA45">
        <f>HYPERLINK("https://klasma.github.io/Logging_1485/klagomål/A 23401-2023 FSC-klagomål.docx", "A 23401-2023")</f>
        <v/>
      </c>
      <c r="AB45">
        <f>HYPERLINK("https://klasma.github.io/Logging_1485/klagomålsmail/A 23401-2023 FSC-klagomål mail.docx", "A 23401-2023")</f>
        <v/>
      </c>
      <c r="AC45">
        <f>HYPERLINK("https://klasma.github.io/Logging_1485/tillsyn/A 23401-2023 tillsynsbegäran.docx", "A 23401-2023")</f>
        <v/>
      </c>
      <c r="AD45">
        <f>HYPERLINK("https://klasma.github.io/Logging_1485/tillsynsmail/A 23401-2023 tillsynsbegäran mail.docx", "A 23401-2023")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46227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3607-2022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46227</v>
      </c>
      <c r="F47" t="inlineStr">
        <is>
          <t>VÄSTRA GÖTALANDS LÄN</t>
        </is>
      </c>
      <c r="G47" t="inlineStr">
        <is>
          <t>UDDEVALLA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46227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46227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46227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46227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46227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46227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46227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46227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46227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46227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46227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46227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46227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46227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46227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46227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46227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46227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46227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46227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46227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46227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46227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46227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46227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46227</v>
      </c>
      <c r="F73" t="inlineStr">
        <is>
          <t>VÄSTRA GÖTALANDS LÄN</t>
        </is>
      </c>
      <c r="G73" t="inlineStr">
        <is>
          <t>UDDEVALLA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46227</v>
      </c>
      <c r="F74" t="inlineStr">
        <is>
          <t>VÄSTRA GÖTALANDS LÄN</t>
        </is>
      </c>
      <c r="G74" t="inlineStr">
        <is>
          <t>UDDEVALLA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46227</v>
      </c>
      <c r="F75" t="inlineStr">
        <is>
          <t>VÄSTRA GÖTALANDS LÄN</t>
        </is>
      </c>
      <c r="G75" t="inlineStr">
        <is>
          <t>UDDEVALLA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46227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46227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46227</v>
      </c>
      <c r="F78" t="inlineStr">
        <is>
          <t>VÄSTRA GÖTALANDS LÄN</t>
        </is>
      </c>
      <c r="G78" t="inlineStr">
        <is>
          <t>UDDEVALLA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46227</v>
      </c>
      <c r="F79" t="inlineStr">
        <is>
          <t>VÄSTRA GÖTALANDS LÄN</t>
        </is>
      </c>
      <c r="G79" t="inlineStr">
        <is>
          <t>UDDEVALLA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46227</v>
      </c>
      <c r="F80" t="inlineStr">
        <is>
          <t>VÄSTRA GÖTALANDS LÄN</t>
        </is>
      </c>
      <c r="G80" t="inlineStr">
        <is>
          <t>UDDEVALLA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46227</v>
      </c>
      <c r="F81" t="inlineStr">
        <is>
          <t>VÄSTRA GÖTALANDS LÄN</t>
        </is>
      </c>
      <c r="G81" t="inlineStr">
        <is>
          <t>UDDEVALLA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46227</v>
      </c>
      <c r="F82" t="inlineStr">
        <is>
          <t>VÄSTRA GÖTALANDS LÄN</t>
        </is>
      </c>
      <c r="G82" t="inlineStr">
        <is>
          <t>UDDEVALLA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45644</v>
      </c>
      <c r="E83" s="1" t="n">
        <v>46227</v>
      </c>
      <c r="F83" t="inlineStr">
        <is>
          <t>VÄSTRA GÖTALANDS LÄN</t>
        </is>
      </c>
      <c r="G83" t="inlineStr">
        <is>
          <t>UDDEVALLA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45777</v>
      </c>
      <c r="E84" s="1" t="n">
        <v>46227</v>
      </c>
      <c r="F84" t="inlineStr">
        <is>
          <t>VÄSTRA GÖTALANDS LÄN</t>
        </is>
      </c>
      <c r="G84" t="inlineStr">
        <is>
          <t>UDDEVALLA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46227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46227</v>
      </c>
      <c r="F86" t="inlineStr">
        <is>
          <t>VÄSTRA GÖTALANDS LÄN</t>
        </is>
      </c>
      <c r="G86" t="inlineStr">
        <is>
          <t>UDDEVALLA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45463</v>
      </c>
      <c r="E87" s="1" t="n">
        <v>46227</v>
      </c>
      <c r="F87" t="inlineStr">
        <is>
          <t>VÄSTRA GÖTALANDS LÄN</t>
        </is>
      </c>
      <c r="G87" t="inlineStr">
        <is>
          <t>UDDEVALLA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46227</v>
      </c>
      <c r="F88" t="inlineStr">
        <is>
          <t>VÄSTRA GÖTALANDS LÄN</t>
        </is>
      </c>
      <c r="G88" t="inlineStr">
        <is>
          <t>UDDEVALLA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46227</v>
      </c>
      <c r="F89" t="inlineStr">
        <is>
          <t>VÄSTRA GÖTALANDS LÄN</t>
        </is>
      </c>
      <c r="G89" t="inlineStr">
        <is>
          <t>UDDEVALLA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46227</v>
      </c>
      <c r="F90" t="inlineStr">
        <is>
          <t>VÄSTRA GÖTALANDS LÄN</t>
        </is>
      </c>
      <c r="G90" t="inlineStr">
        <is>
          <t>UDDEVALLA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46227</v>
      </c>
      <c r="F91" t="inlineStr">
        <is>
          <t>VÄSTRA GÖTALANDS LÄN</t>
        </is>
      </c>
      <c r="G91" t="inlineStr">
        <is>
          <t>UDDEVALLA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46227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46227</v>
      </c>
      <c r="F93" t="inlineStr">
        <is>
          <t>VÄSTRA GÖTALANDS LÄN</t>
        </is>
      </c>
      <c r="G93" t="inlineStr">
        <is>
          <t>UDDEVALLA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45537</v>
      </c>
      <c r="E94" s="1" t="n">
        <v>46227</v>
      </c>
      <c r="F94" t="inlineStr">
        <is>
          <t>VÄSTRA GÖTALANDS LÄN</t>
        </is>
      </c>
      <c r="G94" t="inlineStr">
        <is>
          <t>UDDEVALLA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45484</v>
      </c>
      <c r="E95" s="1" t="n">
        <v>46227</v>
      </c>
      <c r="F95" t="inlineStr">
        <is>
          <t>VÄSTRA GÖTALANDS LÄN</t>
        </is>
      </c>
      <c r="G95" t="inlineStr">
        <is>
          <t>UDDEVALLA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17139-2023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45034</v>
      </c>
      <c r="E96" s="1" t="n">
        <v>46227</v>
      </c>
      <c r="F96" t="inlineStr">
        <is>
          <t>VÄSTRA GÖTALANDS LÄN</t>
        </is>
      </c>
      <c r="G96" t="inlineStr">
        <is>
          <t>UDDEVALLA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45035</v>
      </c>
      <c r="E97" s="1" t="n">
        <v>46227</v>
      </c>
      <c r="F97" t="inlineStr">
        <is>
          <t>VÄSTRA GÖTALANDS LÄN</t>
        </is>
      </c>
      <c r="G97" t="inlineStr">
        <is>
          <t>UDDEVALLA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46227</v>
      </c>
      <c r="F98" t="inlineStr">
        <is>
          <t>VÄSTRA GÖTALANDS LÄN</t>
        </is>
      </c>
      <c r="G98" t="inlineStr">
        <is>
          <t>UDDEVALLA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46227</v>
      </c>
      <c r="F99" t="inlineStr">
        <is>
          <t>VÄSTRA GÖTALANDS LÄN</t>
        </is>
      </c>
      <c r="G99" t="inlineStr">
        <is>
          <t>UDDEVALLA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46227</v>
      </c>
      <c r="F100" t="inlineStr">
        <is>
          <t>VÄSTRA GÖTALANDS LÄN</t>
        </is>
      </c>
      <c r="G100" t="inlineStr">
        <is>
          <t>UDDEVALLA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46227</v>
      </c>
      <c r="F101" t="inlineStr">
        <is>
          <t>VÄSTRA GÖTALANDS LÄN</t>
        </is>
      </c>
      <c r="G101" t="inlineStr">
        <is>
          <t>UDDEVALLA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46227</v>
      </c>
      <c r="F102" t="inlineStr">
        <is>
          <t>VÄSTRA GÖTALANDS LÄN</t>
        </is>
      </c>
      <c r="G102" t="inlineStr">
        <is>
          <t>UDDEVALLA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46227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45517</v>
      </c>
      <c r="E104" s="1" t="n">
        <v>46227</v>
      </c>
      <c r="F104" t="inlineStr">
        <is>
          <t>VÄSTRA GÖTALANDS LÄN</t>
        </is>
      </c>
      <c r="G104" t="inlineStr">
        <is>
          <t>UDDEVALLA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46227</v>
      </c>
      <c r="F105" t="inlineStr">
        <is>
          <t>VÄSTRA GÖTALANDS LÄN</t>
        </is>
      </c>
      <c r="G105" t="inlineStr">
        <is>
          <t>UDDEVALLA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45722</v>
      </c>
      <c r="E106" s="1" t="n">
        <v>46227</v>
      </c>
      <c r="F106" t="inlineStr">
        <is>
          <t>VÄSTRA GÖTALANDS LÄN</t>
        </is>
      </c>
      <c r="G106" t="inlineStr">
        <is>
          <t>UDDEVALLA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46227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46227</v>
      </c>
      <c r="F108" t="inlineStr">
        <is>
          <t>VÄSTRA GÖTALANDS LÄN</t>
        </is>
      </c>
      <c r="G108" t="inlineStr">
        <is>
          <t>UDDEVALLA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45972</v>
      </c>
      <c r="E109" s="1" t="n">
        <v>46227</v>
      </c>
      <c r="F109" t="inlineStr">
        <is>
          <t>VÄSTRA GÖTALANDS LÄN</t>
        </is>
      </c>
      <c r="G109" t="inlineStr">
        <is>
          <t>UDDEVALLA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46227</v>
      </c>
      <c r="F110" t="inlineStr">
        <is>
          <t>VÄSTRA GÖTALANDS LÄN</t>
        </is>
      </c>
      <c r="G110" t="inlineStr">
        <is>
          <t>UDDEVALLA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46227</v>
      </c>
      <c r="F111" t="inlineStr">
        <is>
          <t>VÄSTRA GÖTALANDS LÄN</t>
        </is>
      </c>
      <c r="G111" t="inlineStr">
        <is>
          <t>UDDEVALLA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46227</v>
      </c>
      <c r="F112" t="inlineStr">
        <is>
          <t>VÄSTRA GÖTALANDS LÄN</t>
        </is>
      </c>
      <c r="G112" t="inlineStr">
        <is>
          <t>UDDEVALLA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46227</v>
      </c>
      <c r="F113" t="inlineStr">
        <is>
          <t>VÄSTRA GÖTALANDS LÄN</t>
        </is>
      </c>
      <c r="G113" t="inlineStr">
        <is>
          <t>UDDEVALLA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46227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46227</v>
      </c>
      <c r="F115" t="inlineStr">
        <is>
          <t>VÄSTRA GÖTALANDS LÄN</t>
        </is>
      </c>
      <c r="G115" t="inlineStr">
        <is>
          <t>UDDEVALLA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46227</v>
      </c>
      <c r="F116" t="inlineStr">
        <is>
          <t>VÄSTRA GÖTALANDS LÄN</t>
        </is>
      </c>
      <c r="G116" t="inlineStr">
        <is>
          <t>UDDEVALLA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46227</v>
      </c>
      <c r="F117" t="inlineStr">
        <is>
          <t>VÄSTRA GÖTALANDS LÄN</t>
        </is>
      </c>
      <c r="G117" t="inlineStr">
        <is>
          <t>UDDEVALLA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46227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46227</v>
      </c>
      <c r="F119" t="inlineStr">
        <is>
          <t>VÄSTRA GÖTALANDS LÄN</t>
        </is>
      </c>
      <c r="G119" t="inlineStr">
        <is>
          <t>UDDEVALLA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46227</v>
      </c>
      <c r="F120" t="inlineStr">
        <is>
          <t>VÄSTRA GÖTALANDS LÄN</t>
        </is>
      </c>
      <c r="G120" t="inlineStr">
        <is>
          <t>UDDEVALLA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45197</v>
      </c>
      <c r="E121" s="1" t="n">
        <v>46227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4639-2022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44592</v>
      </c>
      <c r="E122" s="1" t="n">
        <v>46227</v>
      </c>
      <c r="F122" t="inlineStr">
        <is>
          <t>VÄSTRA GÖTALANDS LÄN</t>
        </is>
      </c>
      <c r="G122" t="inlineStr">
        <is>
          <t>UDDEVALLA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45633</v>
      </c>
      <c r="E123" s="1" t="n">
        <v>46227</v>
      </c>
      <c r="F123" t="inlineStr">
        <is>
          <t>VÄSTRA GÖTALANDS LÄN</t>
        </is>
      </c>
      <c r="G123" t="inlineStr">
        <is>
          <t>UDDEVALLA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46227</v>
      </c>
      <c r="F124" t="inlineStr">
        <is>
          <t>VÄSTRA GÖTALANDS LÄN</t>
        </is>
      </c>
      <c r="G124" t="inlineStr">
        <is>
          <t>UDDEVALLA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46227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46227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45843</v>
      </c>
      <c r="E127" s="1" t="n">
        <v>46227</v>
      </c>
      <c r="F127" t="inlineStr">
        <is>
          <t>VÄSTRA GÖTALANDS LÄN</t>
        </is>
      </c>
      <c r="G127" t="inlineStr">
        <is>
          <t>UDDEVALLA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46227</v>
      </c>
      <c r="F128" t="inlineStr">
        <is>
          <t>VÄSTRA GÖTALANDS LÄN</t>
        </is>
      </c>
      <c r="G128" t="inlineStr">
        <is>
          <t>UDDEVALLA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46227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46227</v>
      </c>
      <c r="F130" t="inlineStr">
        <is>
          <t>VÄSTRA GÖTALANDS LÄN</t>
        </is>
      </c>
      <c r="G130" t="inlineStr">
        <is>
          <t>UDDEVALLA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46227</v>
      </c>
      <c r="F131" t="inlineStr">
        <is>
          <t>VÄSTRA GÖTALANDS LÄN</t>
        </is>
      </c>
      <c r="G131" t="inlineStr">
        <is>
          <t>UDDEVALLA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46227</v>
      </c>
      <c r="F132" t="inlineStr">
        <is>
          <t>VÄSTRA GÖTALANDS LÄN</t>
        </is>
      </c>
      <c r="G132" t="inlineStr">
        <is>
          <t>UDDEVALLA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46227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46227</v>
      </c>
      <c r="F134" t="inlineStr">
        <is>
          <t>VÄSTRA GÖTALANDS LÄN</t>
        </is>
      </c>
      <c r="G134" t="inlineStr">
        <is>
          <t>UDDEVALLA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45455</v>
      </c>
      <c r="E135" s="1" t="n">
        <v>46227</v>
      </c>
      <c r="F135" t="inlineStr">
        <is>
          <t>VÄSTRA GÖTALANDS LÄN</t>
        </is>
      </c>
      <c r="G135" t="inlineStr">
        <is>
          <t>UDDEVALLA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46227</v>
      </c>
      <c r="F136" t="inlineStr">
        <is>
          <t>VÄSTRA GÖTALANDS LÄN</t>
        </is>
      </c>
      <c r="G136" t="inlineStr">
        <is>
          <t>UDDEVALLA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46227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46227</v>
      </c>
      <c r="F138" t="inlineStr">
        <is>
          <t>VÄSTRA GÖTALANDS LÄN</t>
        </is>
      </c>
      <c r="G138" t="inlineStr">
        <is>
          <t>UDDEVALLA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46227</v>
      </c>
      <c r="F139" t="inlineStr">
        <is>
          <t>VÄSTRA GÖTALANDS LÄN</t>
        </is>
      </c>
      <c r="G139" t="inlineStr">
        <is>
          <t>UDDEVALLA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44634</v>
      </c>
      <c r="E140" s="1" t="n">
        <v>46227</v>
      </c>
      <c r="F140" t="inlineStr">
        <is>
          <t>VÄSTRA GÖTALANDS LÄN</t>
        </is>
      </c>
      <c r="G140" t="inlineStr">
        <is>
          <t>UDDEVALLA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59674-2023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45255</v>
      </c>
      <c r="E141" s="1" t="n">
        <v>46227</v>
      </c>
      <c r="F141" t="inlineStr">
        <is>
          <t>VÄSTRA GÖTALANDS LÄN</t>
        </is>
      </c>
      <c r="G141" t="inlineStr">
        <is>
          <t>UDDEVALLA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46227</v>
      </c>
      <c r="F142" t="inlineStr">
        <is>
          <t>VÄSTRA GÖTALANDS LÄN</t>
        </is>
      </c>
      <c r="G142" t="inlineStr">
        <is>
          <t>UDDEVALLA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44991</v>
      </c>
      <c r="E143" s="1" t="n">
        <v>46227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46227</v>
      </c>
      <c r="F144" t="inlineStr">
        <is>
          <t>VÄSTRA GÖTALANDS LÄN</t>
        </is>
      </c>
      <c r="G144" t="inlineStr">
        <is>
          <t>UDDEVALLA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40037-2021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44418</v>
      </c>
      <c r="E145" s="1" t="n">
        <v>46227</v>
      </c>
      <c r="F145" t="inlineStr">
        <is>
          <t>VÄSTRA GÖTALANDS LÄN</t>
        </is>
      </c>
      <c r="G145" t="inlineStr">
        <is>
          <t>UDDEVALLA</t>
        </is>
      </c>
      <c r="I145" t="n">
        <v>10.3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46227</v>
      </c>
      <c r="F146" t="inlineStr">
        <is>
          <t>VÄSTRA GÖTALANDS LÄN</t>
        </is>
      </c>
      <c r="G146" t="inlineStr">
        <is>
          <t>UDDEVALLA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46227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46007</v>
      </c>
      <c r="E148" s="1" t="n">
        <v>46227</v>
      </c>
      <c r="F148" t="inlineStr">
        <is>
          <t>VÄSTRA GÖTALANDS LÄN</t>
        </is>
      </c>
      <c r="G148" t="inlineStr">
        <is>
          <t>UDDEVALLA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47083-2025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46227</v>
      </c>
      <c r="F149" t="inlineStr">
        <is>
          <t>VÄSTRA GÖTALANDS LÄN</t>
        </is>
      </c>
      <c r="G149" t="inlineStr">
        <is>
          <t>UDDEVALLA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46227</v>
      </c>
      <c r="F150" t="inlineStr">
        <is>
          <t>VÄSTRA GÖTALANDS LÄN</t>
        </is>
      </c>
      <c r="G150" t="inlineStr">
        <is>
          <t>UDDEVALLA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46227</v>
      </c>
      <c r="F151" t="inlineStr">
        <is>
          <t>VÄSTRA GÖTALANDS LÄN</t>
        </is>
      </c>
      <c r="G151" t="inlineStr">
        <is>
          <t>UDDEVALLA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44998</v>
      </c>
      <c r="E152" s="1" t="n">
        <v>46227</v>
      </c>
      <c r="F152" t="inlineStr">
        <is>
          <t>VÄSTRA GÖTALANDS LÄN</t>
        </is>
      </c>
      <c r="G152" t="inlineStr">
        <is>
          <t>UDDEVALLA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46227</v>
      </c>
      <c r="F153" t="inlineStr">
        <is>
          <t>VÄSTRA GÖTALANDS LÄN</t>
        </is>
      </c>
      <c r="G153" t="inlineStr">
        <is>
          <t>UDDEVALLA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46227</v>
      </c>
      <c r="F154" t="inlineStr">
        <is>
          <t>VÄSTRA GÖTALANDS LÄN</t>
        </is>
      </c>
      <c r="G154" t="inlineStr">
        <is>
          <t>UDDEVALLA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60241-2024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45642</v>
      </c>
      <c r="E155" s="1" t="n">
        <v>46227</v>
      </c>
      <c r="F155" t="inlineStr">
        <is>
          <t>VÄSTRA GÖTALANDS LÄN</t>
        </is>
      </c>
      <c r="G155" t="inlineStr">
        <is>
          <t>UDDEVALLA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46227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45470</v>
      </c>
      <c r="E157" s="1" t="n">
        <v>46227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46026</v>
      </c>
      <c r="E158" s="1" t="n">
        <v>46227</v>
      </c>
      <c r="F158" t="inlineStr">
        <is>
          <t>VÄSTRA GÖTALANDS LÄN</t>
        </is>
      </c>
      <c r="G158" t="inlineStr">
        <is>
          <t>UDDEVALLA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46227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45656</v>
      </c>
      <c r="E160" s="1" t="n">
        <v>46227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46227</v>
      </c>
      <c r="F161" t="inlineStr">
        <is>
          <t>VÄSTRA GÖTALANDS LÄN</t>
        </is>
      </c>
      <c r="G161" t="inlineStr">
        <is>
          <t>UDDEVALLA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46227</v>
      </c>
      <c r="F162" t="inlineStr">
        <is>
          <t>VÄSTRA GÖTALANDS LÄN</t>
        </is>
      </c>
      <c r="G162" t="inlineStr">
        <is>
          <t>UDDEVALLA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45656</v>
      </c>
      <c r="E163" s="1" t="n">
        <v>46227</v>
      </c>
      <c r="F163" t="inlineStr">
        <is>
          <t>VÄSTRA GÖTALANDS LÄN</t>
        </is>
      </c>
      <c r="G163" t="inlineStr">
        <is>
          <t>UDDEVALLA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46227</v>
      </c>
      <c r="F164" t="inlineStr">
        <is>
          <t>VÄSTRA GÖTALANDS LÄN</t>
        </is>
      </c>
      <c r="G164" t="inlineStr">
        <is>
          <t>UDDEVALLA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46227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Kommuner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46227</v>
      </c>
      <c r="F166" t="inlineStr">
        <is>
          <t>VÄSTRA GÖTALANDS LÄN</t>
        </is>
      </c>
      <c r="G166" t="inlineStr">
        <is>
          <t>UDDEVALLA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46227</v>
      </c>
      <c r="F167" t="inlineStr">
        <is>
          <t>VÄSTRA GÖTALANDS LÄN</t>
        </is>
      </c>
      <c r="G167" t="inlineStr">
        <is>
          <t>UDDEVALLA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46227</v>
      </c>
      <c r="F168" t="inlineStr">
        <is>
          <t>VÄSTRA GÖTALANDS LÄN</t>
        </is>
      </c>
      <c r="G168" t="inlineStr">
        <is>
          <t>UDDEVALLA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46227</v>
      </c>
      <c r="F169" t="inlineStr">
        <is>
          <t>VÄSTRA GÖTALANDS LÄN</t>
        </is>
      </c>
      <c r="G169" t="inlineStr">
        <is>
          <t>UDDEVALLA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46036</v>
      </c>
      <c r="E170" s="1" t="n">
        <v>46227</v>
      </c>
      <c r="F170" t="inlineStr">
        <is>
          <t>VÄSTRA GÖTALANDS LÄN</t>
        </is>
      </c>
      <c r="G170" t="inlineStr">
        <is>
          <t>UDDEVALLA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46227</v>
      </c>
      <c r="F171" t="inlineStr">
        <is>
          <t>VÄSTRA GÖTALANDS LÄN</t>
        </is>
      </c>
      <c r="G171" t="inlineStr">
        <is>
          <t>UDDEVALLA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46227</v>
      </c>
      <c r="F172" t="inlineStr">
        <is>
          <t>VÄSTRA GÖTALANDS LÄN</t>
        </is>
      </c>
      <c r="G172" t="inlineStr">
        <is>
          <t>UDDEVALLA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46227</v>
      </c>
      <c r="F173" t="inlineStr">
        <is>
          <t>VÄSTRA GÖTALANDS LÄN</t>
        </is>
      </c>
      <c r="G173" t="inlineStr">
        <is>
          <t>UDDEVALLA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46227</v>
      </c>
      <c r="F174" t="inlineStr">
        <is>
          <t>VÄSTRA GÖTALANDS LÄN</t>
        </is>
      </c>
      <c r="G174" t="inlineStr">
        <is>
          <t>UDDEVALLA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46227</v>
      </c>
      <c r="F175" t="inlineStr">
        <is>
          <t>VÄSTRA GÖTALANDS LÄN</t>
        </is>
      </c>
      <c r="G175" t="inlineStr">
        <is>
          <t>UDDEVALLA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44823</v>
      </c>
      <c r="E176" s="1" t="n">
        <v>46227</v>
      </c>
      <c r="F176" t="inlineStr">
        <is>
          <t>VÄSTRA GÖTALANDS LÄN</t>
        </is>
      </c>
      <c r="G176" t="inlineStr">
        <is>
          <t>UDDEVALLA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46227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46227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46227</v>
      </c>
      <c r="F179" t="inlineStr">
        <is>
          <t>VÄSTRA GÖTALANDS LÄN</t>
        </is>
      </c>
      <c r="G179" t="inlineStr">
        <is>
          <t>UDDEVALLA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46227</v>
      </c>
      <c r="F180" t="inlineStr">
        <is>
          <t>VÄSTRA GÖTALANDS LÄN</t>
        </is>
      </c>
      <c r="G180" t="inlineStr">
        <is>
          <t>UDDEVALLA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46227</v>
      </c>
      <c r="F181" t="inlineStr">
        <is>
          <t>VÄSTRA GÖTALANDS LÄN</t>
        </is>
      </c>
      <c r="G181" t="inlineStr">
        <is>
          <t>UDDEVALLA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46227</v>
      </c>
      <c r="F182" t="inlineStr">
        <is>
          <t>VÄSTRA GÖTALANDS LÄN</t>
        </is>
      </c>
      <c r="G182" t="inlineStr">
        <is>
          <t>UDDEVALLA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46227</v>
      </c>
      <c r="F183" t="inlineStr">
        <is>
          <t>VÄSTRA GÖTALANDS LÄN</t>
        </is>
      </c>
      <c r="G183" t="inlineStr">
        <is>
          <t>UDDEVALLA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46227</v>
      </c>
      <c r="F184" t="inlineStr">
        <is>
          <t>VÄSTRA GÖTALANDS LÄN</t>
        </is>
      </c>
      <c r="G184" t="inlineStr">
        <is>
          <t>UDDEVALLA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51747-2025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45950</v>
      </c>
      <c r="E185" s="1" t="n">
        <v>46227</v>
      </c>
      <c r="F185" t="inlineStr">
        <is>
          <t>VÄSTRA GÖTALANDS LÄN</t>
        </is>
      </c>
      <c r="G185" t="inlineStr">
        <is>
          <t>UDDEVALLA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46227</v>
      </c>
      <c r="F186" t="inlineStr">
        <is>
          <t>VÄSTRA GÖTALANDS LÄN</t>
        </is>
      </c>
      <c r="G186" t="inlineStr">
        <is>
          <t>UDDEVALLA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46227</v>
      </c>
      <c r="F187" t="inlineStr">
        <is>
          <t>VÄSTRA GÖTALANDS LÄN</t>
        </is>
      </c>
      <c r="G187" t="inlineStr">
        <is>
          <t>UDDEVALLA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46227</v>
      </c>
      <c r="F188" t="inlineStr">
        <is>
          <t>VÄSTRA GÖTALANDS LÄN</t>
        </is>
      </c>
      <c r="G188" t="inlineStr">
        <is>
          <t>UDDEVALLA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46227</v>
      </c>
      <c r="F189" t="inlineStr">
        <is>
          <t>VÄSTRA GÖTALANDS LÄN</t>
        </is>
      </c>
      <c r="G189" t="inlineStr">
        <is>
          <t>UDDEVALLA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45672</v>
      </c>
      <c r="E190" s="1" t="n">
        <v>46227</v>
      </c>
      <c r="F190" t="inlineStr">
        <is>
          <t>VÄSTRA GÖTALANDS LÄN</t>
        </is>
      </c>
      <c r="G190" t="inlineStr">
        <is>
          <t>UDDEVALLA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46227</v>
      </c>
      <c r="F191" t="inlineStr">
        <is>
          <t>VÄSTRA GÖTALANDS LÄN</t>
        </is>
      </c>
      <c r="G191" t="inlineStr">
        <is>
          <t>UDDEVALLA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46227</v>
      </c>
      <c r="F192" t="inlineStr">
        <is>
          <t>VÄSTRA GÖTALANDS LÄN</t>
        </is>
      </c>
      <c r="G192" t="inlineStr">
        <is>
          <t>UDDEVALLA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46227</v>
      </c>
      <c r="F193" t="inlineStr">
        <is>
          <t>VÄSTRA GÖTALANDS LÄN</t>
        </is>
      </c>
      <c r="G193" t="inlineStr">
        <is>
          <t>UDDEVALLA</t>
        </is>
      </c>
      <c r="I193" t="n">
        <v>12.2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17058-2025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45754</v>
      </c>
      <c r="E194" s="1" t="n">
        <v>46227</v>
      </c>
      <c r="F194" t="inlineStr">
        <is>
          <t>VÄSTRA GÖTALANDS LÄN</t>
        </is>
      </c>
      <c r="G194" t="inlineStr">
        <is>
          <t>UDDEVALLA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43170-2021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44431</v>
      </c>
      <c r="E195" s="1" t="n">
        <v>46227</v>
      </c>
      <c r="F195" t="inlineStr">
        <is>
          <t>VÄSTRA GÖTALANDS LÄN</t>
        </is>
      </c>
      <c r="G195" t="inlineStr">
        <is>
          <t>UDDEVALLA</t>
        </is>
      </c>
      <c r="I195" t="n">
        <v>13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45551</v>
      </c>
      <c r="E196" s="1" t="n">
        <v>46227</v>
      </c>
      <c r="F196" t="inlineStr">
        <is>
          <t>VÄSTRA GÖTALANDS LÄN</t>
        </is>
      </c>
      <c r="G196" t="inlineStr">
        <is>
          <t>UDDEVALLA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46227</v>
      </c>
      <c r="F197" t="inlineStr">
        <is>
          <t>VÄSTRA GÖTALANDS LÄN</t>
        </is>
      </c>
      <c r="G197" t="inlineStr">
        <is>
          <t>UDDEVALLA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46227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46227</v>
      </c>
      <c r="F199" t="inlineStr">
        <is>
          <t>VÄSTRA GÖTALANDS LÄN</t>
        </is>
      </c>
      <c r="G199" t="inlineStr">
        <is>
          <t>UDDEVALLA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46227</v>
      </c>
      <c r="F200" t="inlineStr">
        <is>
          <t>VÄSTRA GÖTALANDS LÄN</t>
        </is>
      </c>
      <c r="G200" t="inlineStr">
        <is>
          <t>UDDEVALLA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46227</v>
      </c>
      <c r="F201" t="inlineStr">
        <is>
          <t>VÄSTRA GÖTALANDS LÄN</t>
        </is>
      </c>
      <c r="G201" t="inlineStr">
        <is>
          <t>UDDEVALLA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46227</v>
      </c>
      <c r="F202" t="inlineStr">
        <is>
          <t>VÄSTRA GÖTALANDS LÄN</t>
        </is>
      </c>
      <c r="G202" t="inlineStr">
        <is>
          <t>UDDEVALLA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46227</v>
      </c>
      <c r="F203" t="inlineStr">
        <is>
          <t>VÄSTRA GÖTALANDS LÄN</t>
        </is>
      </c>
      <c r="G203" t="inlineStr">
        <is>
          <t>UDDEVALLA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10436-2026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46076</v>
      </c>
      <c r="E204" s="1" t="n">
        <v>46227</v>
      </c>
      <c r="F204" t="inlineStr">
        <is>
          <t>VÄSTRA GÖTALANDS LÄN</t>
        </is>
      </c>
      <c r="G204" t="inlineStr">
        <is>
          <t>UDDEVALLA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46227</v>
      </c>
      <c r="F205" t="inlineStr">
        <is>
          <t>VÄSTRA GÖTALANDS LÄN</t>
        </is>
      </c>
      <c r="G205" t="inlineStr">
        <is>
          <t>UDDEVALLA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46083</v>
      </c>
      <c r="E206" s="1" t="n">
        <v>46227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46227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46227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46227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46227</v>
      </c>
      <c r="F210" t="inlineStr">
        <is>
          <t>VÄSTRA GÖTALANDS LÄN</t>
        </is>
      </c>
      <c r="G210" t="inlineStr">
        <is>
          <t>UDDEVALLA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46227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46227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46227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46227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Kyrkan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46227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Kyrkan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46227</v>
      </c>
      <c r="F216" t="inlineStr">
        <is>
          <t>VÄSTRA GÖTALANDS LÄN</t>
        </is>
      </c>
      <c r="G216" t="inlineStr">
        <is>
          <t>UDDEVALLA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46227</v>
      </c>
      <c r="F217" t="inlineStr">
        <is>
          <t>VÄSTRA GÖTALANDS LÄN</t>
        </is>
      </c>
      <c r="G217" t="inlineStr">
        <is>
          <t>UDDEVALLA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46227</v>
      </c>
      <c r="F218" t="inlineStr">
        <is>
          <t>VÄSTRA GÖTALANDS LÄN</t>
        </is>
      </c>
      <c r="G218" t="inlineStr">
        <is>
          <t>UDDEVALLA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46227</v>
      </c>
      <c r="F219" t="inlineStr">
        <is>
          <t>VÄSTRA GÖTALANDS LÄN</t>
        </is>
      </c>
      <c r="G219" t="inlineStr">
        <is>
          <t>UDDEVALLA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46227</v>
      </c>
      <c r="F220" t="inlineStr">
        <is>
          <t>VÄSTRA GÖTALANDS LÄN</t>
        </is>
      </c>
      <c r="G220" t="inlineStr">
        <is>
          <t>UDDEVALLA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45150</v>
      </c>
      <c r="E221" s="1" t="n">
        <v>46227</v>
      </c>
      <c r="F221" t="inlineStr">
        <is>
          <t>VÄSTRA GÖTALANDS LÄN</t>
        </is>
      </c>
      <c r="G221" t="inlineStr">
        <is>
          <t>UDDEVALLA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46227</v>
      </c>
      <c r="F222" t="inlineStr">
        <is>
          <t>VÄSTRA GÖTALANDS LÄN</t>
        </is>
      </c>
      <c r="G222" t="inlineStr">
        <is>
          <t>UDDEVALLA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46227</v>
      </c>
      <c r="F223" t="inlineStr">
        <is>
          <t>VÄSTRA GÖTALANDS LÄN</t>
        </is>
      </c>
      <c r="G223" t="inlineStr">
        <is>
          <t>UDDEVALLA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46227</v>
      </c>
      <c r="F224" t="inlineStr">
        <is>
          <t>VÄSTRA GÖTALANDS LÄN</t>
        </is>
      </c>
      <c r="G224" t="inlineStr">
        <is>
          <t>UDDEVALLA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46227</v>
      </c>
      <c r="F225" t="inlineStr">
        <is>
          <t>VÄSTRA GÖTALANDS LÄN</t>
        </is>
      </c>
      <c r="G225" t="inlineStr">
        <is>
          <t>UDDEVALLA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45387</v>
      </c>
      <c r="E226" s="1" t="n">
        <v>46227</v>
      </c>
      <c r="F226" t="inlineStr">
        <is>
          <t>VÄSTRA GÖTALANDS LÄN</t>
        </is>
      </c>
      <c r="G226" t="inlineStr">
        <is>
          <t>UDDEVALLA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46227</v>
      </c>
      <c r="F227" t="inlineStr">
        <is>
          <t>VÄSTRA GÖTALANDS LÄN</t>
        </is>
      </c>
      <c r="G227" t="inlineStr">
        <is>
          <t>UDDEVALLA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46227</v>
      </c>
      <c r="F228" t="inlineStr">
        <is>
          <t>VÄSTRA GÖTALANDS LÄN</t>
        </is>
      </c>
      <c r="G228" t="inlineStr">
        <is>
          <t>UDDEVALLA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16819-2026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46113</v>
      </c>
      <c r="E229" s="1" t="n">
        <v>46227</v>
      </c>
      <c r="F229" t="inlineStr">
        <is>
          <t>VÄSTRA GÖTALANDS LÄN</t>
        </is>
      </c>
      <c r="G229" t="inlineStr">
        <is>
          <t>UDDEVALLA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58958-2021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44489</v>
      </c>
      <c r="E230" s="1" t="n">
        <v>46227</v>
      </c>
      <c r="F230" t="inlineStr">
        <is>
          <t>VÄSTRA GÖTALANDS LÄN</t>
        </is>
      </c>
      <c r="G230" t="inlineStr">
        <is>
          <t>UDDEVALLA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46227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46227</v>
      </c>
      <c r="F232" t="inlineStr">
        <is>
          <t>VÄSTRA GÖTALANDS LÄN</t>
        </is>
      </c>
      <c r="G232" t="inlineStr">
        <is>
          <t>UDDEVALLA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46227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46227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46227</v>
      </c>
      <c r="F235" t="inlineStr">
        <is>
          <t>VÄSTRA GÖTALANDS LÄN</t>
        </is>
      </c>
      <c r="G235" t="inlineStr">
        <is>
          <t>UDDEVALLA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46227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46227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44981</v>
      </c>
      <c r="E238" s="1" t="n">
        <v>46227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46227</v>
      </c>
      <c r="F239" t="inlineStr">
        <is>
          <t>VÄSTRA GÖTALANDS LÄN</t>
        </is>
      </c>
      <c r="G239" t="inlineStr">
        <is>
          <t>UDDEVALLA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46227</v>
      </c>
      <c r="F240" t="inlineStr">
        <is>
          <t>VÄSTRA GÖTALANDS LÄN</t>
        </is>
      </c>
      <c r="G240" t="inlineStr">
        <is>
          <t>UDDEVALLA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46227</v>
      </c>
      <c r="F241" t="inlineStr">
        <is>
          <t>VÄSTRA GÖTALANDS LÄN</t>
        </is>
      </c>
      <c r="G241" t="inlineStr">
        <is>
          <t>UDDEVALLA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46227</v>
      </c>
      <c r="F242" t="inlineStr">
        <is>
          <t>VÄSTRA GÖTALANDS LÄN</t>
        </is>
      </c>
      <c r="G242" t="inlineStr">
        <is>
          <t>UDDEVALLA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46227</v>
      </c>
      <c r="F243" t="inlineStr">
        <is>
          <t>VÄSTRA GÖTALANDS LÄN</t>
        </is>
      </c>
      <c r="G243" t="inlineStr">
        <is>
          <t>UDDEVALLA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45349</v>
      </c>
      <c r="E244" s="1" t="n">
        <v>46227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46227</v>
      </c>
      <c r="F245" t="inlineStr">
        <is>
          <t>VÄSTRA GÖTALANDS LÄN</t>
        </is>
      </c>
      <c r="G245" t="inlineStr">
        <is>
          <t>UDDEVALLA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44582</v>
      </c>
      <c r="E246" s="1" t="n">
        <v>46227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45575</v>
      </c>
      <c r="E247" s="1" t="n">
        <v>46227</v>
      </c>
      <c r="F247" t="inlineStr">
        <is>
          <t>VÄSTRA GÖTALANDS LÄN</t>
        </is>
      </c>
      <c r="G247" t="inlineStr">
        <is>
          <t>UDDEVALLA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44578</v>
      </c>
      <c r="E248" s="1" t="n">
        <v>46227</v>
      </c>
      <c r="F248" t="inlineStr">
        <is>
          <t>VÄSTRA GÖTALANDS LÄN</t>
        </is>
      </c>
      <c r="G248" t="inlineStr">
        <is>
          <t>UDDEVALLA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46227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45302</v>
      </c>
      <c r="E250" s="1" t="n">
        <v>46227</v>
      </c>
      <c r="F250" t="inlineStr">
        <is>
          <t>VÄSTRA GÖTALANDS LÄN</t>
        </is>
      </c>
      <c r="G250" t="inlineStr">
        <is>
          <t>UDDEVALLA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44602</v>
      </c>
      <c r="E251" s="1" t="n">
        <v>46227</v>
      </c>
      <c r="F251" t="inlineStr">
        <is>
          <t>VÄSTRA GÖTALANDS LÄN</t>
        </is>
      </c>
      <c r="G251" t="inlineStr">
        <is>
          <t>UDDEVALLA</t>
        </is>
      </c>
      <c r="I251" t="n">
        <v>9.6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46227</v>
      </c>
      <c r="F252" t="inlineStr">
        <is>
          <t>VÄSTRA GÖTALANDS LÄN</t>
        </is>
      </c>
      <c r="G252" t="inlineStr">
        <is>
          <t>UDDEVALLA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45656</v>
      </c>
      <c r="E253" s="1" t="n">
        <v>46227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45907</v>
      </c>
      <c r="E254" s="1" t="n">
        <v>46227</v>
      </c>
      <c r="F254" t="inlineStr">
        <is>
          <t>VÄSTRA GÖTALANDS LÄN</t>
        </is>
      </c>
      <c r="G254" t="inlineStr">
        <is>
          <t>UDDEVALLA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46227</v>
      </c>
      <c r="F255" t="inlineStr">
        <is>
          <t>VÄSTRA GÖTALANDS LÄN</t>
        </is>
      </c>
      <c r="G255" t="inlineStr">
        <is>
          <t>UDDEVALLA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46227</v>
      </c>
      <c r="F256" t="inlineStr">
        <is>
          <t>VÄSTRA GÖTALANDS LÄN</t>
        </is>
      </c>
      <c r="G256" t="inlineStr">
        <is>
          <t>UDDEVALLA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46227</v>
      </c>
      <c r="F257" t="inlineStr">
        <is>
          <t>VÄSTRA GÖTALANDS LÄN</t>
        </is>
      </c>
      <c r="G257" t="inlineStr">
        <is>
          <t>UDDEVALLA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20401-2026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46139</v>
      </c>
      <c r="E258" s="1" t="n">
        <v>46227</v>
      </c>
      <c r="F258" t="inlineStr">
        <is>
          <t>VÄSTRA GÖTALANDS LÄN</t>
        </is>
      </c>
      <c r="G258" t="inlineStr">
        <is>
          <t>UDDEVALLA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46227</v>
      </c>
      <c r="F259" t="inlineStr">
        <is>
          <t>VÄSTRA GÖTALANDS LÄN</t>
        </is>
      </c>
      <c r="G259" t="inlineStr">
        <is>
          <t>UDDEVALLA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46227</v>
      </c>
      <c r="F260" t="inlineStr">
        <is>
          <t>VÄSTRA GÖTALANDS LÄN</t>
        </is>
      </c>
      <c r="G260" t="inlineStr">
        <is>
          <t>UDDEVALLA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46227</v>
      </c>
      <c r="F261" t="inlineStr">
        <is>
          <t>VÄSTRA GÖTALANDS LÄN</t>
        </is>
      </c>
      <c r="G261" t="inlineStr">
        <is>
          <t>UDDEVALLA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45456</v>
      </c>
      <c r="E262" s="1" t="n">
        <v>46227</v>
      </c>
      <c r="F262" t="inlineStr">
        <is>
          <t>VÄSTRA GÖTALANDS LÄN</t>
        </is>
      </c>
      <c r="G262" t="inlineStr">
        <is>
          <t>UDDEVALLA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46227</v>
      </c>
      <c r="F263" t="inlineStr">
        <is>
          <t>VÄSTRA GÖTALANDS LÄN</t>
        </is>
      </c>
      <c r="G263" t="inlineStr">
        <is>
          <t>UDDEVALLA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46227</v>
      </c>
      <c r="F264" t="inlineStr">
        <is>
          <t>VÄSTRA GÖTALANDS LÄN</t>
        </is>
      </c>
      <c r="G264" t="inlineStr">
        <is>
          <t>UDDEVALLA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45226</v>
      </c>
      <c r="E265" s="1" t="n">
        <v>46227</v>
      </c>
      <c r="F265" t="inlineStr">
        <is>
          <t>VÄSTRA GÖTALANDS LÄN</t>
        </is>
      </c>
      <c r="G265" t="inlineStr">
        <is>
          <t>UDDEVALLA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46227</v>
      </c>
      <c r="F266" t="inlineStr">
        <is>
          <t>VÄSTRA GÖTALANDS LÄN</t>
        </is>
      </c>
      <c r="G266" t="inlineStr">
        <is>
          <t>UDDEVALLA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44133-2024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45572</v>
      </c>
      <c r="E267" s="1" t="n">
        <v>46227</v>
      </c>
      <c r="F267" t="inlineStr">
        <is>
          <t>VÄSTRA GÖTALANDS LÄN</t>
        </is>
      </c>
      <c r="G267" t="inlineStr">
        <is>
          <t>UDDEVALLA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46227</v>
      </c>
      <c r="F268" t="inlineStr">
        <is>
          <t>VÄSTRA GÖTALANDS LÄN</t>
        </is>
      </c>
      <c r="G268" t="inlineStr">
        <is>
          <t>UDDEVALLA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46227</v>
      </c>
      <c r="F269" t="inlineStr">
        <is>
          <t>VÄSTRA GÖTALANDS LÄN</t>
        </is>
      </c>
      <c r="G269" t="inlineStr">
        <is>
          <t>UDDEVALLA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46227</v>
      </c>
      <c r="F270" t="inlineStr">
        <is>
          <t>VÄSTRA GÖTALANDS LÄN</t>
        </is>
      </c>
      <c r="G270" t="inlineStr">
        <is>
          <t>UDDEVALLA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44733</v>
      </c>
      <c r="E271" s="1" t="n">
        <v>46227</v>
      </c>
      <c r="F271" t="inlineStr">
        <is>
          <t>VÄSTRA GÖTALANDS LÄN</t>
        </is>
      </c>
      <c r="G271" t="inlineStr">
        <is>
          <t>UDDEVALLA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22923-2022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44715</v>
      </c>
      <c r="E272" s="1" t="n">
        <v>46227</v>
      </c>
      <c r="F272" t="inlineStr">
        <is>
          <t>VÄSTRA GÖTALANDS LÄN</t>
        </is>
      </c>
      <c r="G272" t="inlineStr">
        <is>
          <t>UDDEVALLA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73007-2021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44550</v>
      </c>
      <c r="E273" s="1" t="n">
        <v>46227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46227</v>
      </c>
      <c r="F274" t="inlineStr">
        <is>
          <t>VÄSTRA GÖTALANDS LÄN</t>
        </is>
      </c>
      <c r="G274" t="inlineStr">
        <is>
          <t>UDDEVALLA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39991-2022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44820</v>
      </c>
      <c r="E275" s="1" t="n">
        <v>46227</v>
      </c>
      <c r="F275" t="inlineStr">
        <is>
          <t>VÄSTRA GÖTALANDS LÄN</t>
        </is>
      </c>
      <c r="G275" t="inlineStr">
        <is>
          <t>UDDEVALLA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44817</v>
      </c>
      <c r="E276" s="1" t="n">
        <v>46227</v>
      </c>
      <c r="F276" t="inlineStr">
        <is>
          <t>VÄSTRA GÖTALANDS LÄN</t>
        </is>
      </c>
      <c r="G276" t="inlineStr">
        <is>
          <t>UDDEVALLA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45303</v>
      </c>
      <c r="E277" s="1" t="n">
        <v>46227</v>
      </c>
      <c r="F277" t="inlineStr">
        <is>
          <t>VÄSTRA GÖTALANDS LÄN</t>
        </is>
      </c>
      <c r="G277" t="inlineStr">
        <is>
          <t>UDDEVALLA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46147</v>
      </c>
      <c r="E278" s="1" t="n">
        <v>46227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46227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46227</v>
      </c>
      <c r="F280" t="inlineStr">
        <is>
          <t>VÄSTRA GÖTALANDS LÄN</t>
        </is>
      </c>
      <c r="G280" t="inlineStr">
        <is>
          <t>UDDEVALLA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46227</v>
      </c>
      <c r="F281" t="inlineStr">
        <is>
          <t>VÄSTRA GÖTALANDS LÄN</t>
        </is>
      </c>
      <c r="G281" t="inlineStr">
        <is>
          <t>UDDEVALLA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45257</v>
      </c>
      <c r="E282" s="1" t="n">
        <v>46227</v>
      </c>
      <c r="F282" t="inlineStr">
        <is>
          <t>VÄSTRA GÖTALANDS LÄN</t>
        </is>
      </c>
      <c r="G282" t="inlineStr">
        <is>
          <t>UDDEVALLA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46227</v>
      </c>
      <c r="F283" t="inlineStr">
        <is>
          <t>VÄSTRA GÖTALANDS LÄN</t>
        </is>
      </c>
      <c r="G283" t="inlineStr">
        <is>
          <t>UDDEVALLA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46227</v>
      </c>
      <c r="F284" t="inlineStr">
        <is>
          <t>VÄSTRA GÖTALANDS LÄN</t>
        </is>
      </c>
      <c r="G284" t="inlineStr">
        <is>
          <t>UDDEVALLA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44984</v>
      </c>
      <c r="E285" s="1" t="n">
        <v>46227</v>
      </c>
      <c r="F285" t="inlineStr">
        <is>
          <t>VÄSTRA GÖTALANDS LÄN</t>
        </is>
      </c>
      <c r="G285" t="inlineStr">
        <is>
          <t>UDDEVALLA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46227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44683</v>
      </c>
      <c r="E287" s="1" t="n">
        <v>46227</v>
      </c>
      <c r="F287" t="inlineStr">
        <is>
          <t>VÄSTRA GÖTALANDS LÄN</t>
        </is>
      </c>
      <c r="G287" t="inlineStr">
        <is>
          <t>UDDEVALLA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46227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Övriga statliga verk och myndigheter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46227</v>
      </c>
      <c r="F289" t="inlineStr">
        <is>
          <t>VÄSTRA GÖTALANDS LÄN</t>
        </is>
      </c>
      <c r="G289" t="inlineStr">
        <is>
          <t>UDDEVALLA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70491-2021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46227</v>
      </c>
      <c r="F290" t="inlineStr">
        <is>
          <t>VÄSTRA GÖTALANDS LÄN</t>
        </is>
      </c>
      <c r="G290" t="inlineStr">
        <is>
          <t>UDDEVALLA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46227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46227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46227</v>
      </c>
      <c r="F293" t="inlineStr">
        <is>
          <t>VÄSTRA GÖTALANDS LÄN</t>
        </is>
      </c>
      <c r="G293" t="inlineStr">
        <is>
          <t>UDDEVALLA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46227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46227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46227</v>
      </c>
      <c r="F296" t="inlineStr">
        <is>
          <t>VÄSTRA GÖTALANDS LÄN</t>
        </is>
      </c>
      <c r="G296" t="inlineStr">
        <is>
          <t>UDDEVALLA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46227</v>
      </c>
      <c r="F297" t="inlineStr">
        <is>
          <t>VÄSTRA GÖTALANDS LÄN</t>
        </is>
      </c>
      <c r="G297" t="inlineStr">
        <is>
          <t>UDDEVALLA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46212</v>
      </c>
      <c r="E298" s="1" t="n">
        <v>46227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46227</v>
      </c>
      <c r="F299" t="inlineStr">
        <is>
          <t>VÄSTRA GÖTALANDS LÄN</t>
        </is>
      </c>
      <c r="G299" t="inlineStr">
        <is>
          <t>UDDEVALLA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46227</v>
      </c>
      <c r="F300" t="inlineStr">
        <is>
          <t>VÄSTRA GÖTALANDS LÄN</t>
        </is>
      </c>
      <c r="G300" t="inlineStr">
        <is>
          <t>UDDEVALLA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46227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45495</v>
      </c>
      <c r="E302" s="1" t="n">
        <v>46227</v>
      </c>
      <c r="F302" t="inlineStr">
        <is>
          <t>VÄSTRA GÖTALANDS LÄN</t>
        </is>
      </c>
      <c r="G302" t="inlineStr">
        <is>
          <t>UDDEVALLA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45237</v>
      </c>
      <c r="E303" s="1" t="n">
        <v>46227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46227</v>
      </c>
      <c r="F304" t="inlineStr">
        <is>
          <t>VÄSTRA GÖTALANDS LÄN</t>
        </is>
      </c>
      <c r="G304" t="inlineStr">
        <is>
          <t>UDDEVALLA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46227</v>
      </c>
      <c r="F305" t="inlineStr">
        <is>
          <t>VÄSTRA GÖTALANDS LÄN</t>
        </is>
      </c>
      <c r="G305" t="inlineStr">
        <is>
          <t>UDDEVALLA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46227</v>
      </c>
      <c r="F306" t="inlineStr">
        <is>
          <t>VÄSTRA GÖTALANDS LÄN</t>
        </is>
      </c>
      <c r="G306" t="inlineStr">
        <is>
          <t>UDDEVALLA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46227</v>
      </c>
      <c r="F307" t="inlineStr">
        <is>
          <t>VÄSTRA GÖTALANDS LÄN</t>
        </is>
      </c>
      <c r="G307" t="inlineStr">
        <is>
          <t>UDDEVALLA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46227</v>
      </c>
      <c r="F308" t="inlineStr">
        <is>
          <t>VÄSTRA GÖTALANDS LÄN</t>
        </is>
      </c>
      <c r="G308" t="inlineStr">
        <is>
          <t>UDDEVALLA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46227</v>
      </c>
      <c r="F309" t="inlineStr">
        <is>
          <t>VÄSTRA GÖTALANDS LÄN</t>
        </is>
      </c>
      <c r="G309" t="inlineStr">
        <is>
          <t>UDDEVALLA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46227</v>
      </c>
      <c r="F310" t="inlineStr">
        <is>
          <t>VÄSTRA GÖTALANDS LÄN</t>
        </is>
      </c>
      <c r="G310" t="inlineStr">
        <is>
          <t>UDDEVALLA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46227</v>
      </c>
      <c r="F311" t="inlineStr">
        <is>
          <t>VÄSTRA GÖTALANDS LÄN</t>
        </is>
      </c>
      <c r="G311" t="inlineStr">
        <is>
          <t>UDDEVALLA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8893-2024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46227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46227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46227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Kommuner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46227</v>
      </c>
      <c r="F315" t="inlineStr">
        <is>
          <t>VÄSTRA GÖTALANDS LÄN</t>
        </is>
      </c>
      <c r="G315" t="inlineStr">
        <is>
          <t>UDDEVALLA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46211</v>
      </c>
      <c r="E316" s="1" t="n">
        <v>46227</v>
      </c>
      <c r="F316" t="inlineStr">
        <is>
          <t>VÄSTRA GÖTALANDS LÄN</t>
        </is>
      </c>
      <c r="G316" t="inlineStr">
        <is>
          <t>UDDEVALLA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46227</v>
      </c>
      <c r="F317" t="inlineStr">
        <is>
          <t>VÄSTRA GÖTALANDS LÄN</t>
        </is>
      </c>
      <c r="G317" t="inlineStr">
        <is>
          <t>UDDEVALLA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46227</v>
      </c>
      <c r="F318" t="inlineStr">
        <is>
          <t>VÄSTRA GÖTALANDS LÄN</t>
        </is>
      </c>
      <c r="G318" t="inlineStr">
        <is>
          <t>UDDEVALLA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45251</v>
      </c>
      <c r="E319" s="1" t="n">
        <v>46227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46227</v>
      </c>
      <c r="F320" t="inlineStr">
        <is>
          <t>VÄSTRA GÖTALANDS LÄN</t>
        </is>
      </c>
      <c r="G320" t="inlineStr">
        <is>
          <t>UDDEVALLA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45902-2024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45580</v>
      </c>
      <c r="E321" s="1" t="n">
        <v>46227</v>
      </c>
      <c r="F321" t="inlineStr">
        <is>
          <t>VÄSTRA GÖTALANDS LÄN</t>
        </is>
      </c>
      <c r="G321" t="inlineStr">
        <is>
          <t>UDDEVALLA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46227</v>
      </c>
      <c r="F322" t="inlineStr">
        <is>
          <t>VÄSTRA GÖTALANDS LÄN</t>
        </is>
      </c>
      <c r="G322" t="inlineStr">
        <is>
          <t>UDDEVALLA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46227</v>
      </c>
      <c r="F323" t="inlineStr">
        <is>
          <t>VÄSTRA GÖTALANDS LÄN</t>
        </is>
      </c>
      <c r="G323" t="inlineStr">
        <is>
          <t>UDDEVALLA</t>
        </is>
      </c>
      <c r="I323" t="n">
        <v>12.2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45568</v>
      </c>
      <c r="E324" s="1" t="n">
        <v>46227</v>
      </c>
      <c r="F324" t="inlineStr">
        <is>
          <t>VÄSTRA GÖTALANDS LÄN</t>
        </is>
      </c>
      <c r="G324" t="inlineStr">
        <is>
          <t>UDDEVALLA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58625-2024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45635</v>
      </c>
      <c r="E325" s="1" t="n">
        <v>46227</v>
      </c>
      <c r="F325" t="inlineStr">
        <is>
          <t>VÄSTRA GÖTALANDS LÄN</t>
        </is>
      </c>
      <c r="G325" t="inlineStr">
        <is>
          <t>UDDEVALLA</t>
        </is>
      </c>
      <c r="I325" t="n">
        <v>14.9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44924</v>
      </c>
      <c r="E326" s="1" t="n">
        <v>46227</v>
      </c>
      <c r="F326" t="inlineStr">
        <is>
          <t>VÄSTRA GÖTALANDS LÄN</t>
        </is>
      </c>
      <c r="G326" t="inlineStr">
        <is>
          <t>UDDEVALLA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45684</v>
      </c>
      <c r="E327" s="1" t="n">
        <v>46227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46227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46227</v>
      </c>
      <c r="F329" t="inlineStr">
        <is>
          <t>VÄSTRA GÖTALANDS LÄN</t>
        </is>
      </c>
      <c r="G329" t="inlineStr">
        <is>
          <t>UDDEVALLA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46227</v>
      </c>
      <c r="F330" t="inlineStr">
        <is>
          <t>VÄSTRA GÖTALANDS LÄN</t>
        </is>
      </c>
      <c r="G330" t="inlineStr">
        <is>
          <t>UDDEVALLA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45426</v>
      </c>
      <c r="E331" s="1" t="n">
        <v>46227</v>
      </c>
      <c r="F331" t="inlineStr">
        <is>
          <t>VÄSTRA GÖTALANDS LÄN</t>
        </is>
      </c>
      <c r="G331" t="inlineStr">
        <is>
          <t>UDDEVALLA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46227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46227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46227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46227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2026-07-24T01:46:25Z</dcterms:created>
  <dcterms:modified xmlns:dcterms="http://purl.org/dc/terms/" xmlns:xsi="http://www.w3.org/2001/XMLSchema-instance" xsi:type="dcterms:W3CDTF">2026-07-24T01:46:25Z</dcterms:modified>
</cp:coreProperties>
</file>