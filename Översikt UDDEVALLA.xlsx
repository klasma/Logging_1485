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46280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46280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46280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46280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46280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46280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46280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46280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46280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46280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46280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16882-2026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46113</v>
      </c>
      <c r="E21" s="1" t="n">
        <v>46280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Iller
Svinrot</t>
        </is>
      </c>
      <c r="W21">
        <f>HYPERLINK("https://klasma.github.io/Logging_1485/artfynd/A 16882-2026 artfynd.xlsx", "A 16882-2026")</f>
        <v/>
      </c>
      <c r="X21">
        <f>HYPERLINK("https://klasma.github.io/Logging_1485/kartor/A 16882-2026 karta.png", "A 16882-2026")</f>
        <v/>
      </c>
      <c r="Y21">
        <f>HYPERLINK("https://klasma.github.io/Logging_1485/kartor_geotiff/A 16882-2026 georefererad karta.tif", "A 16882-2026")</f>
        <v/>
      </c>
      <c r="AA21">
        <f>HYPERLINK("https://klasma.github.io/Logging_1485/klagomål/A 16882-2026 FSC-klagomål.docx", "A 16882-2026")</f>
        <v/>
      </c>
      <c r="AB21">
        <f>HYPERLINK("https://klasma.github.io/Logging_1485/klagomålsmail/A 16882-2026 FSC-klagomål mail.docx", "A 16882-2026")</f>
        <v/>
      </c>
      <c r="AC21">
        <f>HYPERLINK("https://klasma.github.io/Logging_1485/tillsyn/A 16882-2026 tillsynsbegäran.docx", "A 16882-2026")</f>
        <v/>
      </c>
      <c r="AD21">
        <f>HYPERLINK("https://klasma.github.io/Logging_1485/tillsynsmail/A 16882-2026 tillsynsbegäran mail.docx", "A 16882-2026")</f>
        <v/>
      </c>
    </row>
    <row r="22" ht="15" customHeight="1">
      <c r="A22" t="inlineStr">
        <is>
          <t>A 17995-2026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46124</v>
      </c>
      <c r="E22" s="1" t="n">
        <v>46280</v>
      </c>
      <c r="F22" t="inlineStr">
        <is>
          <t>VÄSTRA GÖTALANDS LÄN</t>
        </is>
      </c>
      <c r="G22" t="inlineStr">
        <is>
          <t>UDDEVALLA</t>
        </is>
      </c>
      <c r="I22" t="n">
        <v>3.8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Spillkråka
Revlummer</t>
        </is>
      </c>
      <c r="W22">
        <f>HYPERLINK("https://klasma.github.io/Logging_1485/artfynd/A 17995-2026 artfynd.xlsx", "A 17995-2026")</f>
        <v/>
      </c>
      <c r="X22">
        <f>HYPERLINK("https://klasma.github.io/Logging_1485/kartor/A 17995-2026 karta.png", "A 17995-2026")</f>
        <v/>
      </c>
      <c r="Y22">
        <f>HYPERLINK("https://klasma.github.io/Logging_1485/kartor_geotiff/A 17995-2026 georefererad karta.tif", "A 17995-2026")</f>
        <v/>
      </c>
      <c r="AA22">
        <f>HYPERLINK("https://klasma.github.io/Logging_1485/klagomål/A 17995-2026 FSC-klagomål.docx", "A 17995-2026")</f>
        <v/>
      </c>
      <c r="AB22">
        <f>HYPERLINK("https://klasma.github.io/Logging_1485/klagomålsmail/A 17995-2026 FSC-klagomål mail.docx", "A 17995-2026")</f>
        <v/>
      </c>
      <c r="AC22">
        <f>HYPERLINK("https://klasma.github.io/Logging_1485/tillsyn/A 17995-2026 tillsynsbegäran.docx", "A 17995-2026")</f>
        <v/>
      </c>
      <c r="AD22">
        <f>HYPERLINK("https://klasma.github.io/Logging_1485/tillsynsmail/A 17995-2026 tillsynsbegäran mail.docx", "A 17995-2026")</f>
        <v/>
      </c>
      <c r="AE22">
        <f>HYPERLINK("https://klasma.github.io/Logging_1485/fåglar/A 17995-2026 prioriterade fågelarter.docx", "A 17995-2026")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46280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46280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65109-2023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45288</v>
      </c>
      <c r="E25" s="1" t="n">
        <v>46280</v>
      </c>
      <c r="F25" t="inlineStr">
        <is>
          <t>VÄSTRA GÖTALANDS LÄN</t>
        </is>
      </c>
      <c r="G25" t="inlineStr">
        <is>
          <t>UDDEVALLA</t>
        </is>
      </c>
      <c r="I25" t="n">
        <v>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Åttafläckig praktbagge</t>
        </is>
      </c>
      <c r="W25">
        <f>HYPERLINK("https://klasma.github.io/Logging_1485/artfynd/A 65109-2023 artfynd.xlsx", "A 65109-2023")</f>
        <v/>
      </c>
      <c r="X25">
        <f>HYPERLINK("https://klasma.github.io/Logging_1485/kartor/A 65109-2023 karta.png", "A 65109-2023")</f>
        <v/>
      </c>
      <c r="Y25">
        <f>HYPERLINK("https://klasma.github.io/Logging_1485/kartor_geotiff/A 65109-2023 georefererad karta.tif", "A 65109-2023")</f>
        <v/>
      </c>
      <c r="AA25">
        <f>HYPERLINK("https://klasma.github.io/Logging_1485/klagomål/A 65109-2023 FSC-klagomål.docx", "A 65109-2023")</f>
        <v/>
      </c>
      <c r="AB25">
        <f>HYPERLINK("https://klasma.github.io/Logging_1485/klagomålsmail/A 65109-2023 FSC-klagomål mail.docx", "A 65109-2023")</f>
        <v/>
      </c>
      <c r="AC25">
        <f>HYPERLINK("https://klasma.github.io/Logging_1485/tillsyn/A 65109-2023 tillsynsbegäran.docx", "A 65109-2023")</f>
        <v/>
      </c>
      <c r="AD25">
        <f>HYPERLINK("https://klasma.github.io/Logging_1485/tillsynsmail/A 65109-2023 tillsynsbegäran mail.docx", "A 65109-2023")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46280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46280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34390-2026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46280</v>
      </c>
      <c r="F28" t="inlineStr">
        <is>
          <t>VÄSTRA GÖTALANDS LÄN</t>
        </is>
      </c>
      <c r="G28" t="inlineStr">
        <is>
          <t>UDDEVALLA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Större träfjäril</t>
        </is>
      </c>
      <c r="W28">
        <f>HYPERLINK("https://klasma.github.io/Logging_1485/artfynd/A 34390-2026 artfynd.xlsx", "A 34390-2026")</f>
        <v/>
      </c>
      <c r="X28">
        <f>HYPERLINK("https://klasma.github.io/Logging_1485/kartor/A 34390-2026 karta.png", "A 34390-2026")</f>
        <v/>
      </c>
      <c r="Y28">
        <f>HYPERLINK("https://klasma.github.io/Logging_1485/kartor_geotiff/A 34390-2026 georefererad karta.tif", "A 34390-2026")</f>
        <v/>
      </c>
      <c r="AA28">
        <f>HYPERLINK("https://klasma.github.io/Logging_1485/klagomål/A 34390-2026 FSC-klagomål.docx", "A 34390-2026")</f>
        <v/>
      </c>
      <c r="AB28">
        <f>HYPERLINK("https://klasma.github.io/Logging_1485/klagomålsmail/A 34390-2026 FSC-klagomål mail.docx", "A 34390-2026")</f>
        <v/>
      </c>
      <c r="AC28">
        <f>HYPERLINK("https://klasma.github.io/Logging_1485/tillsyn/A 34390-2026 tillsynsbegäran.docx", "A 34390-2026")</f>
        <v/>
      </c>
      <c r="AD28">
        <f>HYPERLINK("https://klasma.github.io/Logging_1485/tillsynsmail/A 34390-2026 tillsynsbegäran mail.docx", "A 34390-2026")</f>
        <v/>
      </c>
      <c r="AE28">
        <f>HYPERLINK("https://klasma.github.io/Logging_1485/fåglar/A 34390-2026 prioriterade fågelarter.docx", "A 34390-2026")</f>
        <v/>
      </c>
    </row>
    <row r="29" ht="15" customHeight="1">
      <c r="A29" t="inlineStr">
        <is>
          <t>A 16863-2025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46280</v>
      </c>
      <c r="F29" t="inlineStr">
        <is>
          <t>VÄSTRA GÖTALANDS LÄN</t>
        </is>
      </c>
      <c r="G29" t="inlineStr">
        <is>
          <t>UDDEVALLA</t>
        </is>
      </c>
      <c r="I29" t="n">
        <v>15.3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Kambräken
Kopparödla</t>
        </is>
      </c>
      <c r="W29">
        <f>HYPERLINK("https://klasma.github.io/Logging_1485/artfynd/A 16863-2025 artfynd.xlsx", "A 16863-2025")</f>
        <v/>
      </c>
      <c r="X29">
        <f>HYPERLINK("https://klasma.github.io/Logging_1485/kartor/A 16863-2025 karta.png", "A 16863-2025")</f>
        <v/>
      </c>
      <c r="Y29">
        <f>HYPERLINK("https://klasma.github.io/Logging_1485/kartor_geotiff/A 16863-2025 georefererad karta.tif", "A 16863-2025")</f>
        <v/>
      </c>
      <c r="AA29">
        <f>HYPERLINK("https://klasma.github.io/Logging_1485/klagomål/A 16863-2025 FSC-klagomål.docx", "A 16863-2025")</f>
        <v/>
      </c>
      <c r="AB29">
        <f>HYPERLINK("https://klasma.github.io/Logging_1485/klagomålsmail/A 16863-2025 FSC-klagomål mail.docx", "A 16863-2025")</f>
        <v/>
      </c>
      <c r="AC29">
        <f>HYPERLINK("https://klasma.github.io/Logging_1485/tillsyn/A 16863-2025 tillsynsbegäran.docx", "A 16863-2025")</f>
        <v/>
      </c>
      <c r="AD29">
        <f>HYPERLINK("https://klasma.github.io/Logging_1485/tillsynsmail/A 16863-2025 tillsynsbegäran mail.docx", "A 16863-2025")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46280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41292-2022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44825</v>
      </c>
      <c r="E31" s="1" t="n">
        <v>46280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9.699999999999999</v>
      </c>
      <c r="J31" t="n">
        <v>1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Entita</t>
        </is>
      </c>
      <c r="W31">
        <f>HYPERLINK("https://klasma.github.io/Logging_1485/artfynd/A 41292-2022 artfynd.xlsx", "A 41292-2022")</f>
        <v/>
      </c>
      <c r="X31">
        <f>HYPERLINK("https://klasma.github.io/Logging_1485/kartor/A 41292-2022 karta.png", "A 41292-2022")</f>
        <v/>
      </c>
      <c r="Y31">
        <f>HYPERLINK("https://klasma.github.io/Logging_1485/kartor_geotiff/A 41292-2022 georefererad karta.tif", "A 41292-2022")</f>
        <v/>
      </c>
      <c r="AA31">
        <f>HYPERLINK("https://klasma.github.io/Logging_1485/klagomål/A 41292-2022 FSC-klagomål.docx", "A 41292-2022")</f>
        <v/>
      </c>
      <c r="AB31">
        <f>HYPERLINK("https://klasma.github.io/Logging_1485/klagomålsmail/A 41292-2022 FSC-klagomål mail.docx", "A 41292-2022")</f>
        <v/>
      </c>
      <c r="AC31">
        <f>HYPERLINK("https://klasma.github.io/Logging_1485/tillsyn/A 41292-2022 tillsynsbegäran.docx", "A 41292-2022")</f>
        <v/>
      </c>
      <c r="AD31">
        <f>HYPERLINK("https://klasma.github.io/Logging_1485/tillsynsmail/A 41292-2022 tillsynsbegäran mail.docx", "A 41292-2022")</f>
        <v/>
      </c>
      <c r="AE31">
        <f>HYPERLINK("https://klasma.github.io/Logging_1485/fåglar/A 41292-2022 prioriterade fågelarter.docx", "A 41292-2022")</f>
        <v/>
      </c>
    </row>
    <row r="32" ht="15" customHeight="1">
      <c r="A32" t="inlineStr">
        <is>
          <t>A 32523-2024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45513</v>
      </c>
      <c r="E32" s="1" t="n">
        <v>46280</v>
      </c>
      <c r="F32" t="inlineStr">
        <is>
          <t>VÄSTRA GÖTALANDS LÄN</t>
        </is>
      </c>
      <c r="G32" t="inlineStr">
        <is>
          <t>UDDEVALLA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Grönhjon
Granbarkgnagare</t>
        </is>
      </c>
      <c r="W32">
        <f>HYPERLINK("https://klasma.github.io/Logging_1485/artfynd/A 32523-2024 artfynd.xlsx", "A 32523-2024")</f>
        <v/>
      </c>
      <c r="X32">
        <f>HYPERLINK("https://klasma.github.io/Logging_1485/kartor/A 32523-2024 karta.png", "A 32523-2024")</f>
        <v/>
      </c>
      <c r="Y32">
        <f>HYPERLINK("https://klasma.github.io/Logging_1485/kartor_geotiff/A 32523-2024 georefererad karta.tif", "A 32523-2024")</f>
        <v/>
      </c>
      <c r="AA32">
        <f>HYPERLINK("https://klasma.github.io/Logging_1485/klagomål/A 32523-2024 FSC-klagomål.docx", "A 32523-2024")</f>
        <v/>
      </c>
      <c r="AB32">
        <f>HYPERLINK("https://klasma.github.io/Logging_1485/klagomålsmail/A 32523-2024 FSC-klagomål mail.docx", "A 32523-2024")</f>
        <v/>
      </c>
      <c r="AC32">
        <f>HYPERLINK("https://klasma.github.io/Logging_1485/tillsyn/A 32523-2024 tillsynsbegäran.docx", "A 32523-2024")</f>
        <v/>
      </c>
      <c r="AD32">
        <f>HYPERLINK("https://klasma.github.io/Logging_1485/tillsynsmail/A 32523-2024 tillsynsbegäran mail.docx", "A 32523-2024")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46280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46280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46280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46280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46280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46280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46280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46280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236-2023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46280</v>
      </c>
      <c r="F41" t="inlineStr">
        <is>
          <t>VÄSTRA GÖTALANDS LÄN</t>
        </is>
      </c>
      <c r="G41" t="inlineStr">
        <is>
          <t>UDDEVALLA</t>
        </is>
      </c>
      <c r="I41" t="n">
        <v>16.7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Rödgul trumpetsvamp</t>
        </is>
      </c>
      <c r="W41">
        <f>HYPERLINK("https://klasma.github.io/Logging_1485/artfynd/A 236-2023 artfynd.xlsx", "A 236-2023")</f>
        <v/>
      </c>
      <c r="X41">
        <f>HYPERLINK("https://klasma.github.io/Logging_1485/kartor/A 236-2023 karta.png", "A 236-2023")</f>
        <v/>
      </c>
      <c r="Y41">
        <f>HYPERLINK("https://klasma.github.io/Logging_1485/kartor_geotiff/A 236-2023 georefererad karta.tif", "A 236-2023")</f>
        <v/>
      </c>
      <c r="AA41">
        <f>HYPERLINK("https://klasma.github.io/Logging_1485/klagomål/A 236-2023 FSC-klagomål.docx", "A 236-2023")</f>
        <v/>
      </c>
      <c r="AB41">
        <f>HYPERLINK("https://klasma.github.io/Logging_1485/klagomålsmail/A 236-2023 FSC-klagomål mail.docx", "A 236-2023")</f>
        <v/>
      </c>
      <c r="AC41">
        <f>HYPERLINK("https://klasma.github.io/Logging_1485/tillsyn/A 236-2023 tillsynsbegäran.docx", "A 236-2023")</f>
        <v/>
      </c>
      <c r="AD41">
        <f>HYPERLINK("https://klasma.github.io/Logging_1485/tillsynsmail/A 236-2023 tillsynsbegäran mail.docx", "A 236-2023")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46280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46280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55288-2023 artfynd.xlsx", "A 55288-2023")</f>
        <v/>
      </c>
      <c r="X43">
        <f>HYPERLINK("https://klasma.github.io/Logging_1485/kartor/A 55288-2023 karta.png", "A 55288-2023")</f>
        <v/>
      </c>
      <c r="Y43">
        <f>HYPERLINK("https://klasma.github.io/Logging_1485/kartor_geotiff/A 55288-2023 georefererad karta.tif", "A 55288-2023")</f>
        <v/>
      </c>
      <c r="AA43">
        <f>HYPERLINK("https://klasma.github.io/Logging_1485/klagomål/A 55288-2023 FSC-klagomål.docx", "A 55288-2023")</f>
        <v/>
      </c>
      <c r="AB43">
        <f>HYPERLINK("https://klasma.github.io/Logging_1485/klagomålsmail/A 55288-2023 FSC-klagomål mail.docx", "A 55288-2023")</f>
        <v/>
      </c>
      <c r="AC43">
        <f>HYPERLINK("https://klasma.github.io/Logging_1485/tillsyn/A 55288-2023 tillsynsbegäran.docx", "A 55288-2023")</f>
        <v/>
      </c>
      <c r="AD43">
        <f>HYPERLINK("https://klasma.github.io/Logging_1485/tillsynsmail/A 55288-2023 tillsynsbegäran mail.docx", "A 55288-2023")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46280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46280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2429-2026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46280</v>
      </c>
      <c r="F46" t="inlineStr">
        <is>
          <t>VÄSTRA GÖTALANDS LÄN</t>
        </is>
      </c>
      <c r="G46" t="inlineStr">
        <is>
          <t>UDDEVALLA</t>
        </is>
      </c>
      <c r="I46" t="n">
        <v>7.6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HYPERLINK("https://klasma.github.io/Logging_1485/artfynd/A 2429-2026 artfynd.xlsx", "A 2429-2026")</f>
        <v/>
      </c>
      <c r="X46">
        <f>HYPERLINK("https://klasma.github.io/Logging_1485/kartor/A 2429-2026 karta.png", "A 2429-2026")</f>
        <v/>
      </c>
      <c r="Y46">
        <f>HYPERLINK("https://klasma.github.io/Logging_1485/kartor_geotiff/A 2429-2026 georefererad karta.tif", "A 2429-2026")</f>
        <v/>
      </c>
      <c r="AA46">
        <f>HYPERLINK("https://klasma.github.io/Logging_1485/klagomål/A 2429-2026 FSC-klagomål.docx", "A 2429-2026")</f>
        <v/>
      </c>
      <c r="AB46">
        <f>HYPERLINK("https://klasma.github.io/Logging_1485/klagomålsmail/A 2429-2026 FSC-klagomål mail.docx", "A 2429-2026")</f>
        <v/>
      </c>
      <c r="AC46">
        <f>HYPERLINK("https://klasma.github.io/Logging_1485/tillsyn/A 2429-2026 tillsynsbegäran.docx", "A 2429-2026")</f>
        <v/>
      </c>
      <c r="AD46">
        <f>HYPERLINK("https://klasma.github.io/Logging_1485/tillsynsmail/A 2429-2026 tillsynsbegäran mail.docx", "A 2429-2026")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46280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1293-2024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45303</v>
      </c>
      <c r="E48" s="1" t="n">
        <v>46280</v>
      </c>
      <c r="F48" t="inlineStr">
        <is>
          <t>VÄSTRA GÖTALANDS LÄN</t>
        </is>
      </c>
      <c r="G48" t="inlineStr">
        <is>
          <t>UDDEVALLA</t>
        </is>
      </c>
      <c r="I48" t="n">
        <v>2.2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Tornseglare</t>
        </is>
      </c>
      <c r="W48">
        <f>HYPERLINK("https://klasma.github.io/Logging_1485/artfynd/A 1293-2024 artfynd.xlsx", "A 1293-2024")</f>
        <v/>
      </c>
      <c r="X48">
        <f>HYPERLINK("https://klasma.github.io/Logging_1485/kartor/A 1293-2024 karta.png", "A 1293-2024")</f>
        <v/>
      </c>
      <c r="Y48">
        <f>HYPERLINK("https://klasma.github.io/Logging_1485/kartor_geotiff/A 1293-2024 georefererad karta.tif", "A 1293-2024")</f>
        <v/>
      </c>
      <c r="AA48">
        <f>HYPERLINK("https://klasma.github.io/Logging_1485/klagomål/A 1293-2024 FSC-klagomål.docx", "A 1293-2024")</f>
        <v/>
      </c>
      <c r="AB48">
        <f>HYPERLINK("https://klasma.github.io/Logging_1485/klagomålsmail/A 1293-2024 FSC-klagomål mail.docx", "A 1293-2024")</f>
        <v/>
      </c>
      <c r="AC48">
        <f>HYPERLINK("https://klasma.github.io/Logging_1485/tillsyn/A 1293-2024 tillsynsbegäran.docx", "A 1293-2024")</f>
        <v/>
      </c>
      <c r="AD48">
        <f>HYPERLINK("https://klasma.github.io/Logging_1485/tillsynsmail/A 1293-2024 tillsynsbegäran mail.docx", "A 1293-2024")</f>
        <v/>
      </c>
      <c r="AE48">
        <f>HYPERLINK("https://klasma.github.io/Logging_1485/fåglar/A 1293-2024 prioriterade fågelarter.docx", "A 1293-2024")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46280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34058-2023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45135</v>
      </c>
      <c r="E50" s="1" t="n">
        <v>46280</v>
      </c>
      <c r="F50" t="inlineStr">
        <is>
          <t>VÄSTRA GÖTALANDS LÄN</t>
        </is>
      </c>
      <c r="G50" t="inlineStr">
        <is>
          <t>UDDEVALLA</t>
        </is>
      </c>
      <c r="I50" t="n">
        <v>1.3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Lundvaxskivling</t>
        </is>
      </c>
      <c r="W50">
        <f>HYPERLINK("https://klasma.github.io/Logging_1485/artfynd/A 34058-2023 artfynd.xlsx", "A 34058-2023")</f>
        <v/>
      </c>
      <c r="X50">
        <f>HYPERLINK("https://klasma.github.io/Logging_1485/kartor/A 34058-2023 karta.png", "A 34058-2023")</f>
        <v/>
      </c>
      <c r="Y50">
        <f>HYPERLINK("https://klasma.github.io/Logging_1485/kartor_geotiff/A 34058-2023 georefererad karta.tif", "A 34058-2023")</f>
        <v/>
      </c>
      <c r="AA50">
        <f>HYPERLINK("https://klasma.github.io/Logging_1485/klagomål/A 34058-2023 FSC-klagomål.docx", "A 34058-2023")</f>
        <v/>
      </c>
      <c r="AB50">
        <f>HYPERLINK("https://klasma.github.io/Logging_1485/klagomålsmail/A 34058-2023 FSC-klagomål mail.docx", "A 34058-2023")</f>
        <v/>
      </c>
      <c r="AC50">
        <f>HYPERLINK("https://klasma.github.io/Logging_1485/tillsyn/A 34058-2023 tillsynsbegäran.docx", "A 34058-2023")</f>
        <v/>
      </c>
      <c r="AD50">
        <f>HYPERLINK("https://klasma.github.io/Logging_1485/tillsynsmail/A 34058-2023 tillsynsbegäran mail.docx", "A 34058-2023")</f>
        <v/>
      </c>
    </row>
    <row r="51" ht="15" customHeight="1">
      <c r="A51" t="inlineStr">
        <is>
          <t>A 29691-2023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46280</v>
      </c>
      <c r="F51" t="inlineStr">
        <is>
          <t>VÄSTRA GÖTALANDS LÄN</t>
        </is>
      </c>
      <c r="G51" t="inlineStr">
        <is>
          <t>UDDEVALLA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Kopparödla</t>
        </is>
      </c>
      <c r="W51">
        <f>HYPERLINK("https://klasma.github.io/Logging_1485/artfynd/A 29691-2023 artfynd.xlsx", "A 29691-2023")</f>
        <v/>
      </c>
      <c r="X51">
        <f>HYPERLINK("https://klasma.github.io/Logging_1485/kartor/A 29691-2023 karta.png", "A 29691-2023")</f>
        <v/>
      </c>
      <c r="Y51">
        <f>HYPERLINK("https://klasma.github.io/Logging_1485/kartor_geotiff/A 29691-2023 georefererad karta.tif", "A 29691-2023")</f>
        <v/>
      </c>
      <c r="AA51">
        <f>HYPERLINK("https://klasma.github.io/Logging_1485/klagomål/A 29691-2023 FSC-klagomål.docx", "A 29691-2023")</f>
        <v/>
      </c>
      <c r="AB51">
        <f>HYPERLINK("https://klasma.github.io/Logging_1485/klagomålsmail/A 29691-2023 FSC-klagomål mail.docx", "A 29691-2023")</f>
        <v/>
      </c>
      <c r="AC51">
        <f>HYPERLINK("https://klasma.github.io/Logging_1485/tillsyn/A 29691-2023 tillsynsbegäran.docx", "A 29691-2023")</f>
        <v/>
      </c>
      <c r="AD51">
        <f>HYPERLINK("https://klasma.github.io/Logging_1485/tillsynsmail/A 29691-2023 tillsynsbegäran mail.docx", "A 29691-2023")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46280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46280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46280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46280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46280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46280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46280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46280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46280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46280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46280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46280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46280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46280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46280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46280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46280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46280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46280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46280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46280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46280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46280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46280</v>
      </c>
      <c r="F75" t="inlineStr">
        <is>
          <t>VÄSTRA GÖTALANDS LÄN</t>
        </is>
      </c>
      <c r="G75" t="inlineStr">
        <is>
          <t>UDDEVALLA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45212</v>
      </c>
      <c r="E76" s="1" t="n">
        <v>46280</v>
      </c>
      <c r="F76" t="inlineStr">
        <is>
          <t>VÄSTRA GÖTALANDS LÄN</t>
        </is>
      </c>
      <c r="G76" t="inlineStr">
        <is>
          <t>UDDEVALLA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45554</v>
      </c>
      <c r="E77" s="1" t="n">
        <v>46280</v>
      </c>
      <c r="F77" t="inlineStr">
        <is>
          <t>VÄSTRA GÖTALANDS LÄN</t>
        </is>
      </c>
      <c r="G77" t="inlineStr">
        <is>
          <t>UDDEVALLA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46280</v>
      </c>
      <c r="F78" t="inlineStr">
        <is>
          <t>VÄSTRA GÖTALANDS LÄN</t>
        </is>
      </c>
      <c r="G78" t="inlineStr">
        <is>
          <t>UDDEVALLA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46280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46280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46280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46280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46280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46280</v>
      </c>
      <c r="F84" t="inlineStr">
        <is>
          <t>VÄSTRA GÖTALANDS LÄN</t>
        </is>
      </c>
      <c r="G84" t="inlineStr">
        <is>
          <t>UDDEVALLA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46280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46280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46280</v>
      </c>
      <c r="F87" t="inlineStr">
        <is>
          <t>VÄSTRA GÖTALANDS LÄN</t>
        </is>
      </c>
      <c r="G87" t="inlineStr">
        <is>
          <t>UDDEVALLA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46280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46280</v>
      </c>
      <c r="F89" t="inlineStr">
        <is>
          <t>VÄSTRA GÖTALANDS LÄN</t>
        </is>
      </c>
      <c r="G89" t="inlineStr">
        <is>
          <t>UDDEVALLA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46280</v>
      </c>
      <c r="F90" t="inlineStr">
        <is>
          <t>VÄSTRA GÖTALANDS LÄN</t>
        </is>
      </c>
      <c r="G90" t="inlineStr">
        <is>
          <t>UDDEVALLA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46280</v>
      </c>
      <c r="F91" t="inlineStr">
        <is>
          <t>VÄSTRA GÖTALANDS LÄN</t>
        </is>
      </c>
      <c r="G91" t="inlineStr">
        <is>
          <t>UDDEVALLA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46280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46280</v>
      </c>
      <c r="F93" t="inlineStr">
        <is>
          <t>VÄSTRA GÖTALANDS LÄN</t>
        </is>
      </c>
      <c r="G93" t="inlineStr">
        <is>
          <t>UDDEVALLA</t>
        </is>
      </c>
      <c r="I93" t="n">
        <v>12.2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46280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46280</v>
      </c>
      <c r="F95" t="inlineStr">
        <is>
          <t>VÄSTRA GÖTALANDS LÄN</t>
        </is>
      </c>
      <c r="G95" t="inlineStr">
        <is>
          <t>UDDEVALLA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46280</v>
      </c>
      <c r="F96" t="inlineStr">
        <is>
          <t>VÄSTRA GÖTALANDS LÄN</t>
        </is>
      </c>
      <c r="G96" t="inlineStr">
        <is>
          <t>UDDEVALLA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46280</v>
      </c>
      <c r="F97" t="inlineStr">
        <is>
          <t>VÄSTRA GÖTALANDS LÄN</t>
        </is>
      </c>
      <c r="G97" t="inlineStr">
        <is>
          <t>UDDEVALLA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46280</v>
      </c>
      <c r="F98" t="inlineStr">
        <is>
          <t>VÄSTRA GÖTALANDS LÄN</t>
        </is>
      </c>
      <c r="G98" t="inlineStr">
        <is>
          <t>UDDEVALLA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46280</v>
      </c>
      <c r="F99" t="inlineStr">
        <is>
          <t>VÄSTRA GÖTALANDS LÄN</t>
        </is>
      </c>
      <c r="G99" t="inlineStr">
        <is>
          <t>UDDEVALLA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46280</v>
      </c>
      <c r="F100" t="inlineStr">
        <is>
          <t>VÄSTRA GÖTALANDS LÄN</t>
        </is>
      </c>
      <c r="G100" t="inlineStr">
        <is>
          <t>UDDEVALLA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46280</v>
      </c>
      <c r="F101" t="inlineStr">
        <is>
          <t>VÄSTRA GÖTALANDS LÄN</t>
        </is>
      </c>
      <c r="G101" t="inlineStr">
        <is>
          <t>UDDEVALLA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46280</v>
      </c>
      <c r="F102" t="inlineStr">
        <is>
          <t>VÄSTRA GÖTALANDS LÄN</t>
        </is>
      </c>
      <c r="G102" t="inlineStr">
        <is>
          <t>UDDEVALLA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73437-2021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46280</v>
      </c>
      <c r="F103" t="inlineStr">
        <is>
          <t>VÄSTRA GÖTALANDS LÄN</t>
        </is>
      </c>
      <c r="G103" t="inlineStr">
        <is>
          <t>UDDEVALLA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46280</v>
      </c>
      <c r="F104" t="inlineStr">
        <is>
          <t>VÄSTRA GÖTALANDS LÄN</t>
        </is>
      </c>
      <c r="G104" t="inlineStr">
        <is>
          <t>UDDEVALLA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46280</v>
      </c>
      <c r="F105" t="inlineStr">
        <is>
          <t>VÄSTRA GÖTALANDS LÄN</t>
        </is>
      </c>
      <c r="G105" t="inlineStr">
        <is>
          <t>UDDEVALLA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46026</v>
      </c>
      <c r="E106" s="1" t="n">
        <v>46280</v>
      </c>
      <c r="F106" t="inlineStr">
        <is>
          <t>VÄSTRA GÖTALANDS LÄN</t>
        </is>
      </c>
      <c r="G106" t="inlineStr">
        <is>
          <t>UDDEVALLA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46027</v>
      </c>
      <c r="E107" s="1" t="n">
        <v>46280</v>
      </c>
      <c r="F107" t="inlineStr">
        <is>
          <t>VÄSTRA GÖTALANDS LÄN</t>
        </is>
      </c>
      <c r="G107" t="inlineStr">
        <is>
          <t>UDDEVALLA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4639-2022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44592</v>
      </c>
      <c r="E108" s="1" t="n">
        <v>46280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45723</v>
      </c>
      <c r="E109" s="1" t="n">
        <v>46280</v>
      </c>
      <c r="F109" t="inlineStr">
        <is>
          <t>VÄSTRA GÖTALANDS LÄN</t>
        </is>
      </c>
      <c r="G109" t="inlineStr">
        <is>
          <t>UDDEVALLA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46280</v>
      </c>
      <c r="F110" t="inlineStr">
        <is>
          <t>VÄSTRA GÖTALANDS LÄN</t>
        </is>
      </c>
      <c r="G110" t="inlineStr">
        <is>
          <t>UDDEVALLA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45426</v>
      </c>
      <c r="E111" s="1" t="n">
        <v>46280</v>
      </c>
      <c r="F111" t="inlineStr">
        <is>
          <t>VÄSTRA GÖTALANDS LÄN</t>
        </is>
      </c>
      <c r="G111" t="inlineStr">
        <is>
          <t>UDDEVALLA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46280</v>
      </c>
      <c r="F112" t="inlineStr">
        <is>
          <t>VÄSTRA GÖTALANDS LÄN</t>
        </is>
      </c>
      <c r="G112" t="inlineStr">
        <is>
          <t>UDDEVALLA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46280</v>
      </c>
      <c r="F113" t="inlineStr">
        <is>
          <t>VÄSTRA GÖTALANDS LÄN</t>
        </is>
      </c>
      <c r="G113" t="inlineStr">
        <is>
          <t>UDDEVALLA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46280</v>
      </c>
      <c r="F114" t="inlineStr">
        <is>
          <t>VÄSTRA GÖTALANDS LÄN</t>
        </is>
      </c>
      <c r="G114" t="inlineStr">
        <is>
          <t>UDDEVALLA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46280</v>
      </c>
      <c r="F115" t="inlineStr">
        <is>
          <t>VÄSTRA GÖTALANDS LÄN</t>
        </is>
      </c>
      <c r="G115" t="inlineStr">
        <is>
          <t>UDDEVALLA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46280</v>
      </c>
      <c r="F116" t="inlineStr">
        <is>
          <t>VÄSTRA GÖTALANDS LÄN</t>
        </is>
      </c>
      <c r="G116" t="inlineStr">
        <is>
          <t>UDDEVALLA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46280</v>
      </c>
      <c r="F117" t="inlineStr">
        <is>
          <t>VÄSTRA GÖTALANDS LÄN</t>
        </is>
      </c>
      <c r="G117" t="inlineStr">
        <is>
          <t>UDDEVALLA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46280</v>
      </c>
      <c r="F118" t="inlineStr">
        <is>
          <t>VÄSTRA GÖTALANDS LÄN</t>
        </is>
      </c>
      <c r="G118" t="inlineStr">
        <is>
          <t>UDDEVALLA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46280</v>
      </c>
      <c r="F119" t="inlineStr">
        <is>
          <t>VÄSTRA GÖTALANDS LÄN</t>
        </is>
      </c>
      <c r="G119" t="inlineStr">
        <is>
          <t>UDDEVALLA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46280</v>
      </c>
      <c r="F120" t="inlineStr">
        <is>
          <t>VÄSTRA GÖTALANDS LÄN</t>
        </is>
      </c>
      <c r="G120" t="inlineStr">
        <is>
          <t>UDDEVALLA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46280</v>
      </c>
      <c r="F121" t="inlineStr">
        <is>
          <t>VÄSTRA GÖTALANDS LÄN</t>
        </is>
      </c>
      <c r="G121" t="inlineStr">
        <is>
          <t>UDDEVALLA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46280</v>
      </c>
      <c r="F122" t="inlineStr">
        <is>
          <t>VÄSTRA GÖTALANDS LÄN</t>
        </is>
      </c>
      <c r="G122" t="inlineStr">
        <is>
          <t>UDDEVALLA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46280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46280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46280</v>
      </c>
      <c r="F125" t="inlineStr">
        <is>
          <t>VÄSTRA GÖTALANDS LÄN</t>
        </is>
      </c>
      <c r="G125" t="inlineStr">
        <is>
          <t>UDDEVALLA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46280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46280</v>
      </c>
      <c r="F127" t="inlineStr">
        <is>
          <t>VÄSTRA GÖTALANDS LÄN</t>
        </is>
      </c>
      <c r="G127" t="inlineStr">
        <is>
          <t>UDDEVALLA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46280</v>
      </c>
      <c r="F128" t="inlineStr">
        <is>
          <t>VÄSTRA GÖTALANDS LÄN</t>
        </is>
      </c>
      <c r="G128" t="inlineStr">
        <is>
          <t>UDDEVALLA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46280</v>
      </c>
      <c r="F129" t="inlineStr">
        <is>
          <t>VÄSTRA GÖTALANDS LÄN</t>
        </is>
      </c>
      <c r="G129" t="inlineStr">
        <is>
          <t>UDDEVALLA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45572</v>
      </c>
      <c r="E130" s="1" t="n">
        <v>46280</v>
      </c>
      <c r="F130" t="inlineStr">
        <is>
          <t>VÄSTRA GÖTALANDS LÄN</t>
        </is>
      </c>
      <c r="G130" t="inlineStr">
        <is>
          <t>UDDEVALLA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46280</v>
      </c>
      <c r="F131" t="inlineStr">
        <is>
          <t>VÄSTRA GÖTALANDS LÄN</t>
        </is>
      </c>
      <c r="G131" t="inlineStr">
        <is>
          <t>UDDEVALLA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45914</v>
      </c>
      <c r="E132" s="1" t="n">
        <v>46280</v>
      </c>
      <c r="F132" t="inlineStr">
        <is>
          <t>VÄSTRA GÖTALANDS LÄN</t>
        </is>
      </c>
      <c r="G132" t="inlineStr">
        <is>
          <t>UDDEVALLA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46280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46280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46280</v>
      </c>
      <c r="F135" t="inlineStr">
        <is>
          <t>VÄSTRA GÖTALANDS LÄN</t>
        </is>
      </c>
      <c r="G135" t="inlineStr">
        <is>
          <t>UDDEVALLA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45843</v>
      </c>
      <c r="E136" s="1" t="n">
        <v>46280</v>
      </c>
      <c r="F136" t="inlineStr">
        <is>
          <t>VÄSTRA GÖTALANDS LÄN</t>
        </is>
      </c>
      <c r="G136" t="inlineStr">
        <is>
          <t>UDDEVALLA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46280</v>
      </c>
      <c r="F137" t="inlineStr">
        <is>
          <t>VÄSTRA GÖTALANDS LÄN</t>
        </is>
      </c>
      <c r="G137" t="inlineStr">
        <is>
          <t>UDDEVALLA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46280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46280</v>
      </c>
      <c r="F139" t="inlineStr">
        <is>
          <t>VÄSTRA GÖTALANDS LÄN</t>
        </is>
      </c>
      <c r="G139" t="inlineStr">
        <is>
          <t>UDDEVALLA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46280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46280</v>
      </c>
      <c r="F141" t="inlineStr">
        <is>
          <t>VÄSTRA GÖTALANDS LÄN</t>
        </is>
      </c>
      <c r="G141" t="inlineStr">
        <is>
          <t>UDDEVALLA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46280</v>
      </c>
      <c r="F142" t="inlineStr">
        <is>
          <t>VÄSTRA GÖTALANDS LÄN</t>
        </is>
      </c>
      <c r="G142" t="inlineStr">
        <is>
          <t>UDDEVALLA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58958-2021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44489</v>
      </c>
      <c r="E143" s="1" t="n">
        <v>46280</v>
      </c>
      <c r="F143" t="inlineStr">
        <is>
          <t>VÄSTRA GÖTALANDS LÄN</t>
        </is>
      </c>
      <c r="G143" t="inlineStr">
        <is>
          <t>UDDEVALLA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46280</v>
      </c>
      <c r="F144" t="inlineStr">
        <is>
          <t>VÄSTRA GÖTALANDS LÄN</t>
        </is>
      </c>
      <c r="G144" t="inlineStr">
        <is>
          <t>UDDEVALLA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46280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46280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46280</v>
      </c>
      <c r="F147" t="inlineStr">
        <is>
          <t>VÄSTRA GÖTALANDS LÄN</t>
        </is>
      </c>
      <c r="G147" t="inlineStr">
        <is>
          <t>UDDEVALLA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46280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46280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46280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46280</v>
      </c>
      <c r="F151" t="inlineStr">
        <is>
          <t>VÄSTRA GÖTALANDS LÄN</t>
        </is>
      </c>
      <c r="G151" t="inlineStr">
        <is>
          <t>UDDEVALLA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46280</v>
      </c>
      <c r="F152" t="inlineStr">
        <is>
          <t>VÄSTRA GÖTALANDS LÄN</t>
        </is>
      </c>
      <c r="G152" t="inlineStr">
        <is>
          <t>UDDEVALLA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46280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60241-2024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45642</v>
      </c>
      <c r="E154" s="1" t="n">
        <v>46280</v>
      </c>
      <c r="F154" t="inlineStr">
        <is>
          <t>VÄSTRA GÖTALANDS LÄN</t>
        </is>
      </c>
      <c r="G154" t="inlineStr">
        <is>
          <t>UDDEVALLA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46280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46280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46280</v>
      </c>
      <c r="F157" t="inlineStr">
        <is>
          <t>VÄSTRA GÖTALANDS LÄN</t>
        </is>
      </c>
      <c r="G157" t="inlineStr">
        <is>
          <t>UDDEVALLA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46280</v>
      </c>
      <c r="F158" t="inlineStr">
        <is>
          <t>VÄSTRA GÖTALANDS LÄN</t>
        </is>
      </c>
      <c r="G158" t="inlineStr">
        <is>
          <t>UDDEVALLA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10436-2026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46076</v>
      </c>
      <c r="E159" s="1" t="n">
        <v>46280</v>
      </c>
      <c r="F159" t="inlineStr">
        <is>
          <t>VÄSTRA GÖTALANDS LÄN</t>
        </is>
      </c>
      <c r="G159" t="inlineStr">
        <is>
          <t>UDDEVALLA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46280</v>
      </c>
      <c r="F160" t="inlineStr">
        <is>
          <t>VÄSTRA GÖTALANDS LÄN</t>
        </is>
      </c>
      <c r="G160" t="inlineStr">
        <is>
          <t>UDDEVALLA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46280</v>
      </c>
      <c r="F161" t="inlineStr">
        <is>
          <t>VÄSTRA GÖTALANDS LÄN</t>
        </is>
      </c>
      <c r="G161" t="inlineStr">
        <is>
          <t>UDDEVALLA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46280</v>
      </c>
      <c r="F162" t="inlineStr">
        <is>
          <t>VÄSTRA GÖTALANDS LÄN</t>
        </is>
      </c>
      <c r="G162" t="inlineStr">
        <is>
          <t>UDDEVALLA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46280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46280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46280</v>
      </c>
      <c r="F165" t="inlineStr">
        <is>
          <t>VÄSTRA GÖTALANDS LÄN</t>
        </is>
      </c>
      <c r="G165" t="inlineStr">
        <is>
          <t>UDDEVALLA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45672</v>
      </c>
      <c r="E166" s="1" t="n">
        <v>46280</v>
      </c>
      <c r="F166" t="inlineStr">
        <is>
          <t>VÄSTRA GÖTALANDS LÄN</t>
        </is>
      </c>
      <c r="G166" t="inlineStr">
        <is>
          <t>UDDEVALLA</t>
        </is>
      </c>
      <c r="I166" t="n">
        <v>14.1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46280</v>
      </c>
      <c r="F167" t="inlineStr">
        <is>
          <t>VÄSTRA GÖTALANDS LÄN</t>
        </is>
      </c>
      <c r="G167" t="inlineStr">
        <is>
          <t>UDDEVALLA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46280</v>
      </c>
      <c r="F168" t="inlineStr">
        <is>
          <t>VÄSTRA GÖTALANDS LÄN</t>
        </is>
      </c>
      <c r="G168" t="inlineStr">
        <is>
          <t>UDDEVALLA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20137-2025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45772</v>
      </c>
      <c r="E169" s="1" t="n">
        <v>46280</v>
      </c>
      <c r="F169" t="inlineStr">
        <is>
          <t>VÄSTRA GÖTALANDS LÄN</t>
        </is>
      </c>
      <c r="G169" t="inlineStr">
        <is>
          <t>UDDEVALLA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46280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Kyrkan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46280</v>
      </c>
      <c r="F171" t="inlineStr">
        <is>
          <t>VÄSTRA GÖTALANDS LÄN</t>
        </is>
      </c>
      <c r="G171" t="inlineStr">
        <is>
          <t>UDDEVALLA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46280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46280</v>
      </c>
      <c r="F173" t="inlineStr">
        <is>
          <t>VÄSTRA GÖTALANDS LÄN</t>
        </is>
      </c>
      <c r="G173" t="inlineStr">
        <is>
          <t>UDDEVALLA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46280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Kyrkan</t>
        </is>
      </c>
      <c r="I174" t="n">
        <v>16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46280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45400</v>
      </c>
      <c r="E176" s="1" t="n">
        <v>46280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45540</v>
      </c>
      <c r="E177" s="1" t="n">
        <v>46280</v>
      </c>
      <c r="F177" t="inlineStr">
        <is>
          <t>VÄSTRA GÖTALANDS LÄN</t>
        </is>
      </c>
      <c r="G177" t="inlineStr">
        <is>
          <t>UDDEVALLA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46280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51747-2025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45950</v>
      </c>
      <c r="E179" s="1" t="n">
        <v>46280</v>
      </c>
      <c r="F179" t="inlineStr">
        <is>
          <t>VÄSTRA GÖTALANDS LÄN</t>
        </is>
      </c>
      <c r="G179" t="inlineStr">
        <is>
          <t>UDDEVALLA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46280</v>
      </c>
      <c r="F180" t="inlineStr">
        <is>
          <t>VÄSTRA GÖTALANDS LÄN</t>
        </is>
      </c>
      <c r="G180" t="inlineStr">
        <is>
          <t>UDDEVALLA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46280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46280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46280</v>
      </c>
      <c r="F183" t="inlineStr">
        <is>
          <t>VÄSTRA GÖTALANDS LÄN</t>
        </is>
      </c>
      <c r="G183" t="inlineStr">
        <is>
          <t>UDDEVALLA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46090</v>
      </c>
      <c r="E184" s="1" t="n">
        <v>46280</v>
      </c>
      <c r="F184" t="inlineStr">
        <is>
          <t>VÄSTRA GÖTALANDS LÄN</t>
        </is>
      </c>
      <c r="G184" t="inlineStr">
        <is>
          <t>UDDEVALLA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45150</v>
      </c>
      <c r="E185" s="1" t="n">
        <v>46280</v>
      </c>
      <c r="F185" t="inlineStr">
        <is>
          <t>VÄSTRA GÖTALANDS LÄN</t>
        </is>
      </c>
      <c r="G185" t="inlineStr">
        <is>
          <t>UDDEVALLA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46280</v>
      </c>
      <c r="F186" t="inlineStr">
        <is>
          <t>VÄSTRA GÖTALANDS LÄN</t>
        </is>
      </c>
      <c r="G186" t="inlineStr">
        <is>
          <t>UDDEVALLA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16819-2026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46113</v>
      </c>
      <c r="E187" s="1" t="n">
        <v>46280</v>
      </c>
      <c r="F187" t="inlineStr">
        <is>
          <t>VÄSTRA GÖTALANDS LÄN</t>
        </is>
      </c>
      <c r="G187" t="inlineStr">
        <is>
          <t>UDDEVALLA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46280</v>
      </c>
      <c r="F188" t="inlineStr">
        <is>
          <t>VÄSTRA GÖTALANDS LÄN</t>
        </is>
      </c>
      <c r="G188" t="inlineStr">
        <is>
          <t>UDDEVALLA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46280</v>
      </c>
      <c r="F189" t="inlineStr">
        <is>
          <t>VÄSTRA GÖTALANDS LÄN</t>
        </is>
      </c>
      <c r="G189" t="inlineStr">
        <is>
          <t>UDDEVALLA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46119</v>
      </c>
      <c r="E190" s="1" t="n">
        <v>46280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46280</v>
      </c>
      <c r="F191" t="inlineStr">
        <is>
          <t>VÄSTRA GÖTALANDS LÄN</t>
        </is>
      </c>
      <c r="G191" t="inlineStr">
        <is>
          <t>UDDEVALLA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46280</v>
      </c>
      <c r="F192" t="inlineStr">
        <is>
          <t>VÄSTRA GÖTALANDS LÄN</t>
        </is>
      </c>
      <c r="G192" t="inlineStr">
        <is>
          <t>UDDEVALLA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46280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Kommuner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46280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46280</v>
      </c>
      <c r="F195" t="inlineStr">
        <is>
          <t>VÄSTRA GÖTALANDS LÄN</t>
        </is>
      </c>
      <c r="G195" t="inlineStr">
        <is>
          <t>UDDEVALLA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46280</v>
      </c>
      <c r="F196" t="inlineStr">
        <is>
          <t>VÄSTRA GÖTALANDS LÄN</t>
        </is>
      </c>
      <c r="G196" t="inlineStr">
        <is>
          <t>UDDEVALLA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46280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44834</v>
      </c>
      <c r="E198" s="1" t="n">
        <v>46280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46280</v>
      </c>
      <c r="F199" t="inlineStr">
        <is>
          <t>VÄSTRA GÖTALANDS LÄN</t>
        </is>
      </c>
      <c r="G199" t="inlineStr">
        <is>
          <t>UDDEVALLA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46280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45907</v>
      </c>
      <c r="E201" s="1" t="n">
        <v>46280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45560</v>
      </c>
      <c r="E202" s="1" t="n">
        <v>46280</v>
      </c>
      <c r="F202" t="inlineStr">
        <is>
          <t>VÄSTRA GÖTALANDS LÄN</t>
        </is>
      </c>
      <c r="G202" t="inlineStr">
        <is>
          <t>UDDEVALLA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46280</v>
      </c>
      <c r="F203" t="inlineStr">
        <is>
          <t>VÄSTRA GÖTALANDS LÄN</t>
        </is>
      </c>
      <c r="G203" t="inlineStr">
        <is>
          <t>UDDEVALLA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64083-2023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46280</v>
      </c>
      <c r="F204" t="inlineStr">
        <is>
          <t>VÄSTRA GÖTALANDS LÄN</t>
        </is>
      </c>
      <c r="G204" t="inlineStr">
        <is>
          <t>UDDEVALLA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58563-2025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46280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46280</v>
      </c>
      <c r="F206" t="inlineStr">
        <is>
          <t>VÄSTRA GÖTALANDS LÄN</t>
        </is>
      </c>
      <c r="G206" t="inlineStr">
        <is>
          <t>UDDEVALLA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46280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46280</v>
      </c>
      <c r="F208" t="inlineStr">
        <is>
          <t>VÄSTRA GÖTALANDS LÄN</t>
        </is>
      </c>
      <c r="G208" t="inlineStr">
        <is>
          <t>UDDEVALLA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46280</v>
      </c>
      <c r="F209" t="inlineStr">
        <is>
          <t>VÄSTRA GÖTALANDS LÄN</t>
        </is>
      </c>
      <c r="G209" t="inlineStr">
        <is>
          <t>UDDEVALLA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46280</v>
      </c>
      <c r="F210" t="inlineStr">
        <is>
          <t>VÄSTRA GÖTALANDS LÄN</t>
        </is>
      </c>
      <c r="G210" t="inlineStr">
        <is>
          <t>UDDEVALLA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46280</v>
      </c>
      <c r="F211" t="inlineStr">
        <is>
          <t>VÄSTRA GÖTALANDS LÄN</t>
        </is>
      </c>
      <c r="G211" t="inlineStr">
        <is>
          <t>UDDEVALLA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46280</v>
      </c>
      <c r="F212" t="inlineStr">
        <is>
          <t>VÄSTRA GÖTALANDS LÄN</t>
        </is>
      </c>
      <c r="G212" t="inlineStr">
        <is>
          <t>UDDEVALLA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46280</v>
      </c>
      <c r="F213" t="inlineStr">
        <is>
          <t>VÄSTRA GÖTALANDS LÄN</t>
        </is>
      </c>
      <c r="G213" t="inlineStr">
        <is>
          <t>UDDEVALLA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46280</v>
      </c>
      <c r="F214" t="inlineStr">
        <is>
          <t>VÄSTRA GÖTALANDS LÄN</t>
        </is>
      </c>
      <c r="G214" t="inlineStr">
        <is>
          <t>UDDEVALLA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45302</v>
      </c>
      <c r="E215" s="1" t="n">
        <v>46280</v>
      </c>
      <c r="F215" t="inlineStr">
        <is>
          <t>VÄSTRA GÖTALANDS LÄN</t>
        </is>
      </c>
      <c r="G215" t="inlineStr">
        <is>
          <t>UDDEVALLA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46280</v>
      </c>
      <c r="F216" t="inlineStr">
        <is>
          <t>VÄSTRA GÖTALANDS LÄN</t>
        </is>
      </c>
      <c r="G216" t="inlineStr">
        <is>
          <t>UDDEVALLA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46280</v>
      </c>
      <c r="F217" t="inlineStr">
        <is>
          <t>VÄSTRA GÖTALANDS LÄN</t>
        </is>
      </c>
      <c r="G217" t="inlineStr">
        <is>
          <t>UDDEVALLA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46280</v>
      </c>
      <c r="F218" t="inlineStr">
        <is>
          <t>VÄSTRA GÖTALANDS LÄN</t>
        </is>
      </c>
      <c r="G218" t="inlineStr">
        <is>
          <t>UDDEVALLA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45638</v>
      </c>
      <c r="E219" s="1" t="n">
        <v>46280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20401-2026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46139</v>
      </c>
      <c r="E220" s="1" t="n">
        <v>46280</v>
      </c>
      <c r="F220" t="inlineStr">
        <is>
          <t>VÄSTRA GÖTALANDS LÄN</t>
        </is>
      </c>
      <c r="G220" t="inlineStr">
        <is>
          <t>UDDEVALLA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46280</v>
      </c>
      <c r="F221" t="inlineStr">
        <is>
          <t>VÄSTRA GÖTALANDS LÄN</t>
        </is>
      </c>
      <c r="G221" t="inlineStr">
        <is>
          <t>UDDEVALLA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46280</v>
      </c>
      <c r="F222" t="inlineStr">
        <is>
          <t>VÄSTRA GÖTALANDS LÄN</t>
        </is>
      </c>
      <c r="G222" t="inlineStr">
        <is>
          <t>UDDEVALLA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46280</v>
      </c>
      <c r="F223" t="inlineStr">
        <is>
          <t>VÄSTRA GÖTALANDS LÄN</t>
        </is>
      </c>
      <c r="G223" t="inlineStr">
        <is>
          <t>UDDEVALLA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46280</v>
      </c>
      <c r="F224" t="inlineStr">
        <is>
          <t>VÄSTRA GÖTALANDS LÄN</t>
        </is>
      </c>
      <c r="G224" t="inlineStr">
        <is>
          <t>UDDEVALLA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46280</v>
      </c>
      <c r="F225" t="inlineStr">
        <is>
          <t>VÄSTRA GÖTALANDS LÄN</t>
        </is>
      </c>
      <c r="G225" t="inlineStr">
        <is>
          <t>UDDEVALLA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73007-2021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46280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46280</v>
      </c>
      <c r="F227" t="inlineStr">
        <is>
          <t>VÄSTRA GÖTALANDS LÄN</t>
        </is>
      </c>
      <c r="G227" t="inlineStr">
        <is>
          <t>UDDEVALLA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19981-2025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46280</v>
      </c>
      <c r="F228" t="inlineStr">
        <is>
          <t>VÄSTRA GÖTALANDS LÄN</t>
        </is>
      </c>
      <c r="G228" t="inlineStr">
        <is>
          <t>UDDEVALLA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46147</v>
      </c>
      <c r="E229" s="1" t="n">
        <v>46280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Kommuner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46280</v>
      </c>
      <c r="F230" t="inlineStr">
        <is>
          <t>VÄSTRA GÖTALANDS LÄN</t>
        </is>
      </c>
      <c r="G230" t="inlineStr">
        <is>
          <t>UDDEVALLA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46280</v>
      </c>
      <c r="F231" t="inlineStr">
        <is>
          <t>VÄSTRA GÖTALANDS LÄN</t>
        </is>
      </c>
      <c r="G231" t="inlineStr">
        <is>
          <t>UDDEVALLA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46280</v>
      </c>
      <c r="F232" t="inlineStr">
        <is>
          <t>VÄSTRA GÖTALANDS LÄN</t>
        </is>
      </c>
      <c r="G232" t="inlineStr">
        <is>
          <t>UDDEVALLA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46280</v>
      </c>
      <c r="F233" t="inlineStr">
        <is>
          <t>VÄSTRA GÖTALANDS LÄN</t>
        </is>
      </c>
      <c r="G233" t="inlineStr">
        <is>
          <t>UDDEVALLA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46280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46280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Övriga statliga verk och myndigheter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46280</v>
      </c>
      <c r="F236" t="inlineStr">
        <is>
          <t>VÄSTRA GÖTALANDS LÄN</t>
        </is>
      </c>
      <c r="G236" t="inlineStr">
        <is>
          <t>UDDEVALLA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45495</v>
      </c>
      <c r="E237" s="1" t="n">
        <v>46280</v>
      </c>
      <c r="F237" t="inlineStr">
        <is>
          <t>VÄSTRA GÖTALANDS LÄN</t>
        </is>
      </c>
      <c r="G237" t="inlineStr">
        <is>
          <t>UDDEVALLA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46280</v>
      </c>
      <c r="F238" t="inlineStr">
        <is>
          <t>VÄSTRA GÖTALANDS LÄN</t>
        </is>
      </c>
      <c r="G238" t="inlineStr">
        <is>
          <t>UDDEVALLA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46280</v>
      </c>
      <c r="F239" t="inlineStr">
        <is>
          <t>VÄSTRA GÖTALANDS LÄN</t>
        </is>
      </c>
      <c r="G239" t="inlineStr">
        <is>
          <t>UDDEVALLA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46280</v>
      </c>
      <c r="F240" t="inlineStr">
        <is>
          <t>VÄSTRA GÖTALANDS LÄN</t>
        </is>
      </c>
      <c r="G240" t="inlineStr">
        <is>
          <t>UDDEVALLA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46280</v>
      </c>
      <c r="F241" t="inlineStr">
        <is>
          <t>VÄSTRA GÖTALANDS LÄN</t>
        </is>
      </c>
      <c r="G241" t="inlineStr">
        <is>
          <t>UDDEVALLA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46280</v>
      </c>
      <c r="F242" t="inlineStr">
        <is>
          <t>VÄSTRA GÖTALANDS LÄN</t>
        </is>
      </c>
      <c r="G242" t="inlineStr">
        <is>
          <t>UDDEVALLA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46280</v>
      </c>
      <c r="F243" t="inlineStr">
        <is>
          <t>VÄSTRA GÖTALANDS LÄN</t>
        </is>
      </c>
      <c r="G243" t="inlineStr">
        <is>
          <t>UDDEVALLA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46280</v>
      </c>
      <c r="F244" t="inlineStr">
        <is>
          <t>VÄSTRA GÖTALANDS LÄN</t>
        </is>
      </c>
      <c r="G244" t="inlineStr">
        <is>
          <t>UDDEVALLA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46280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46280</v>
      </c>
      <c r="F246" t="inlineStr">
        <is>
          <t>VÄSTRA GÖTALANDS LÄN</t>
        </is>
      </c>
      <c r="G246" t="inlineStr">
        <is>
          <t>UDDEVALLA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46280</v>
      </c>
      <c r="F247" t="inlineStr">
        <is>
          <t>VÄSTRA GÖTALANDS LÄN</t>
        </is>
      </c>
      <c r="G247" t="inlineStr">
        <is>
          <t>UDDEVALLA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46280</v>
      </c>
      <c r="F248" t="inlineStr">
        <is>
          <t>VÄSTRA GÖTALANDS LÄN</t>
        </is>
      </c>
      <c r="G248" t="inlineStr">
        <is>
          <t>UDDEVALLA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46280</v>
      </c>
      <c r="F249" t="inlineStr">
        <is>
          <t>VÄSTRA GÖTALANDS LÄN</t>
        </is>
      </c>
      <c r="G249" t="inlineStr">
        <is>
          <t>UDDEVALLA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46251</v>
      </c>
      <c r="E250" s="1" t="n">
        <v>46280</v>
      </c>
      <c r="F250" t="inlineStr">
        <is>
          <t>VÄSTRA GÖTALANDS LÄN</t>
        </is>
      </c>
      <c r="G250" t="inlineStr">
        <is>
          <t>UDDEVALLA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46280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Kommuner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46280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46211</v>
      </c>
      <c r="E253" s="1" t="n">
        <v>46280</v>
      </c>
      <c r="F253" t="inlineStr">
        <is>
          <t>VÄSTRA GÖTALANDS LÄN</t>
        </is>
      </c>
      <c r="G253" t="inlineStr">
        <is>
          <t>UDDEVALLA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46212</v>
      </c>
      <c r="E254" s="1" t="n">
        <v>46280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44973</v>
      </c>
      <c r="E255" s="1" t="n">
        <v>46280</v>
      </c>
      <c r="F255" t="inlineStr">
        <is>
          <t>VÄSTRA GÖTALANDS LÄN</t>
        </is>
      </c>
      <c r="G255" t="inlineStr">
        <is>
          <t>UDDEVALLA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45764</v>
      </c>
      <c r="E256" s="1" t="n">
        <v>46280</v>
      </c>
      <c r="F256" t="inlineStr">
        <is>
          <t>VÄSTRA GÖTALANDS LÄN</t>
        </is>
      </c>
      <c r="G256" t="inlineStr">
        <is>
          <t>UDDEVALLA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46258</v>
      </c>
      <c r="E257" s="1" t="n">
        <v>46280</v>
      </c>
      <c r="F257" t="inlineStr">
        <is>
          <t>VÄSTRA GÖTALANDS LÄN</t>
        </is>
      </c>
      <c r="G257" t="inlineStr">
        <is>
          <t>UDDEVALLA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45314</v>
      </c>
      <c r="E258" s="1" t="n">
        <v>46280</v>
      </c>
      <c r="F258" t="inlineStr">
        <is>
          <t>VÄSTRA GÖTALANDS LÄN</t>
        </is>
      </c>
      <c r="G258" t="inlineStr">
        <is>
          <t>UDDEVALLA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45374</v>
      </c>
      <c r="E259" s="1" t="n">
        <v>46280</v>
      </c>
      <c r="F259" t="inlineStr">
        <is>
          <t>VÄSTRA GÖTALANDS LÄN</t>
        </is>
      </c>
      <c r="G259" t="inlineStr">
        <is>
          <t>UDDEVALLA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46280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46280</v>
      </c>
      <c r="F261" t="inlineStr">
        <is>
          <t>VÄSTRA GÖTALANDS LÄN</t>
        </is>
      </c>
      <c r="G261" t="inlineStr">
        <is>
          <t>UDDEVALLA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46222</v>
      </c>
      <c r="E262" s="1" t="n">
        <v>46280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46267</v>
      </c>
      <c r="E263" s="1" t="n">
        <v>46280</v>
      </c>
      <c r="F263" t="inlineStr">
        <is>
          <t>VÄSTRA GÖTALANDS LÄN</t>
        </is>
      </c>
      <c r="G263" t="inlineStr">
        <is>
          <t>UDDEVALLA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44813</v>
      </c>
      <c r="E264" s="1" t="n">
        <v>46280</v>
      </c>
      <c r="F264" t="inlineStr">
        <is>
          <t>VÄSTRA GÖTALANDS LÄN</t>
        </is>
      </c>
      <c r="G264" t="inlineStr">
        <is>
          <t>UDDEVALLA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46267</v>
      </c>
      <c r="E265" s="1" t="n">
        <v>46280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45021</v>
      </c>
      <c r="E266" s="1" t="n">
        <v>46280</v>
      </c>
      <c r="F266" t="inlineStr">
        <is>
          <t>VÄSTRA GÖTALANDS LÄN</t>
        </is>
      </c>
      <c r="G266" t="inlineStr">
        <is>
          <t>UDDEVALLA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46267</v>
      </c>
      <c r="E267" s="1" t="n">
        <v>46280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46280</v>
      </c>
      <c r="F268" t="inlineStr">
        <is>
          <t>VÄSTRA GÖTALANDS LÄN</t>
        </is>
      </c>
      <c r="G268" t="inlineStr">
        <is>
          <t>UDDEVALLA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46280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46280</v>
      </c>
      <c r="F270" t="inlineStr">
        <is>
          <t>VÄSTRA GÖTALANDS LÄN</t>
        </is>
      </c>
      <c r="G270" t="inlineStr">
        <is>
          <t>UDDEVALLA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46280</v>
      </c>
      <c r="F271" t="inlineStr">
        <is>
          <t>VÄSTRA GÖTALANDS LÄN</t>
        </is>
      </c>
      <c r="G271" t="inlineStr">
        <is>
          <t>UDDEVALLA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73437-2021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44551</v>
      </c>
      <c r="E272" s="1" t="n">
        <v>46280</v>
      </c>
      <c r="F272" t="inlineStr">
        <is>
          <t>VÄSTRA GÖTALANDS LÄN</t>
        </is>
      </c>
      <c r="G272" t="inlineStr">
        <is>
          <t>UDDEVALLA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46280</v>
      </c>
      <c r="F273" t="inlineStr">
        <is>
          <t>VÄSTRA GÖTALANDS LÄN</t>
        </is>
      </c>
      <c r="G273" t="inlineStr">
        <is>
          <t>UDDEVALLA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46280</v>
      </c>
      <c r="F274" t="inlineStr">
        <is>
          <t>VÄSTRA GÖTALANDS LÄN</t>
        </is>
      </c>
      <c r="G274" t="inlineStr">
        <is>
          <t>UDDEVALLA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45133</v>
      </c>
      <c r="E275" s="1" t="n">
        <v>46280</v>
      </c>
      <c r="F275" t="inlineStr">
        <is>
          <t>VÄSTRA GÖTALANDS LÄN</t>
        </is>
      </c>
      <c r="G275" t="inlineStr">
        <is>
          <t>UDDEVALLA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8893-2024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45355</v>
      </c>
      <c r="E276" s="1" t="n">
        <v>46280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44578</v>
      </c>
      <c r="E277" s="1" t="n">
        <v>46280</v>
      </c>
      <c r="F277" t="inlineStr">
        <is>
          <t>VÄSTRA GÖTALANDS LÄN</t>
        </is>
      </c>
      <c r="G277" t="inlineStr">
        <is>
          <t>UDDEVALLA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46280</v>
      </c>
      <c r="F278" t="inlineStr">
        <is>
          <t>VÄSTRA GÖTALANDS LÄN</t>
        </is>
      </c>
      <c r="G278" t="inlineStr">
        <is>
          <t>UDDEVALLA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46280</v>
      </c>
      <c r="F279" t="inlineStr">
        <is>
          <t>VÄSTRA GÖTALANDS LÄN</t>
        </is>
      </c>
      <c r="G279" t="inlineStr">
        <is>
          <t>UDDEVALLA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46280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46280</v>
      </c>
      <c r="F281" t="inlineStr">
        <is>
          <t>VÄSTRA GÖTALANDS LÄN</t>
        </is>
      </c>
      <c r="G281" t="inlineStr">
        <is>
          <t>UDDEVALLA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46280</v>
      </c>
      <c r="F282" t="inlineStr">
        <is>
          <t>VÄSTRA GÖTALANDS LÄN</t>
        </is>
      </c>
      <c r="G282" t="inlineStr">
        <is>
          <t>UDDEVALLA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39867-2023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46280</v>
      </c>
      <c r="F283" t="inlineStr">
        <is>
          <t>VÄSTRA GÖTALANDS LÄN</t>
        </is>
      </c>
      <c r="G283" t="inlineStr">
        <is>
          <t>UDDEVALLA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46280</v>
      </c>
      <c r="F284" t="inlineStr">
        <is>
          <t>VÄSTRA GÖTALANDS LÄN</t>
        </is>
      </c>
      <c r="G284" t="inlineStr">
        <is>
          <t>UDDEVALLA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46280</v>
      </c>
      <c r="F285" t="inlineStr">
        <is>
          <t>VÄSTRA GÖTALANDS LÄN</t>
        </is>
      </c>
      <c r="G285" t="inlineStr">
        <is>
          <t>UDDEVALLA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46280</v>
      </c>
      <c r="F286" t="inlineStr">
        <is>
          <t>VÄSTRA GÖTALANDS LÄN</t>
        </is>
      </c>
      <c r="G286" t="inlineStr">
        <is>
          <t>UDDEVALLA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45517</v>
      </c>
      <c r="E287" s="1" t="n">
        <v>46280</v>
      </c>
      <c r="F287" t="inlineStr">
        <is>
          <t>VÄSTRA GÖTALANDS LÄN</t>
        </is>
      </c>
      <c r="G287" t="inlineStr">
        <is>
          <t>UDDEVALLA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44733</v>
      </c>
      <c r="E288" s="1" t="n">
        <v>46280</v>
      </c>
      <c r="F288" t="inlineStr">
        <is>
          <t>VÄSTRA GÖTALANDS LÄN</t>
        </is>
      </c>
      <c r="G288" t="inlineStr">
        <is>
          <t>UDDEVALLA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63878-2021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44509</v>
      </c>
      <c r="E289" s="1" t="n">
        <v>46280</v>
      </c>
      <c r="F289" t="inlineStr">
        <is>
          <t>VÄSTRA GÖTALANDS LÄN</t>
        </is>
      </c>
      <c r="G289" t="inlineStr">
        <is>
          <t>UDDEVALLA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44602</v>
      </c>
      <c r="E290" s="1" t="n">
        <v>46280</v>
      </c>
      <c r="F290" t="inlineStr">
        <is>
          <t>VÄSTRA GÖTALANDS LÄN</t>
        </is>
      </c>
      <c r="G290" t="inlineStr">
        <is>
          <t>UDDEVALLA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46280</v>
      </c>
      <c r="F291" t="inlineStr">
        <is>
          <t>VÄSTRA GÖTALANDS LÄN</t>
        </is>
      </c>
      <c r="G291" t="inlineStr">
        <is>
          <t>UDDEVALLA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45035</v>
      </c>
      <c r="E292" s="1" t="n">
        <v>46280</v>
      </c>
      <c r="F292" t="inlineStr">
        <is>
          <t>VÄSTRA GÖTALANDS LÄN</t>
        </is>
      </c>
      <c r="G292" t="inlineStr">
        <is>
          <t>UDDEVALLA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46280</v>
      </c>
      <c r="F293" t="inlineStr">
        <is>
          <t>VÄSTRA GÖTALANDS LÄN</t>
        </is>
      </c>
      <c r="G293" t="inlineStr">
        <is>
          <t>UDDEVALLA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46280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46280</v>
      </c>
      <c r="F295" t="inlineStr">
        <is>
          <t>VÄSTRA GÖTALANDS LÄN</t>
        </is>
      </c>
      <c r="G295" t="inlineStr">
        <is>
          <t>UDDEVALLA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17058-2025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45754</v>
      </c>
      <c r="E296" s="1" t="n">
        <v>46280</v>
      </c>
      <c r="F296" t="inlineStr">
        <is>
          <t>VÄSTRA GÖTALANDS LÄN</t>
        </is>
      </c>
      <c r="G296" t="inlineStr">
        <is>
          <t>UDDEVALLA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58625-2024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45635</v>
      </c>
      <c r="E297" s="1" t="n">
        <v>46280</v>
      </c>
      <c r="F297" t="inlineStr">
        <is>
          <t>VÄSTRA GÖTALANDS LÄN</t>
        </is>
      </c>
      <c r="G297" t="inlineStr">
        <is>
          <t>UDDEVALLA</t>
        </is>
      </c>
      <c r="I297" t="n">
        <v>14.9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46280</v>
      </c>
      <c r="F298" t="inlineStr">
        <is>
          <t>VÄSTRA GÖTALANDS LÄN</t>
        </is>
      </c>
      <c r="G298" t="inlineStr">
        <is>
          <t>UDDEVALLA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39088-2022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44817</v>
      </c>
      <c r="E299" s="1" t="n">
        <v>46280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39621-2023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46280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46280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44655</v>
      </c>
      <c r="E302" s="1" t="n">
        <v>46280</v>
      </c>
      <c r="F302" t="inlineStr">
        <is>
          <t>VÄSTRA GÖTALANDS LÄN</t>
        </is>
      </c>
      <c r="G302" t="inlineStr">
        <is>
          <t>UDDEVALLA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46280</v>
      </c>
      <c r="F303" t="inlineStr">
        <is>
          <t>VÄSTRA GÖTALANDS LÄN</t>
        </is>
      </c>
      <c r="G303" t="inlineStr">
        <is>
          <t>UDDEVALLA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45771</v>
      </c>
      <c r="E304" s="1" t="n">
        <v>46280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46280</v>
      </c>
      <c r="F305" t="inlineStr">
        <is>
          <t>VÄSTRA GÖTALANDS LÄN</t>
        </is>
      </c>
      <c r="G305" t="inlineStr">
        <is>
          <t>UDDEVALLA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9797-2023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44984</v>
      </c>
      <c r="E306" s="1" t="n">
        <v>46280</v>
      </c>
      <c r="F306" t="inlineStr">
        <is>
          <t>VÄSTRA GÖTALANDS LÄN</t>
        </is>
      </c>
      <c r="G306" t="inlineStr">
        <is>
          <t>UDDEVALLA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46280</v>
      </c>
      <c r="F307" t="inlineStr">
        <is>
          <t>VÄSTRA GÖTALANDS LÄN</t>
        </is>
      </c>
      <c r="G307" t="inlineStr">
        <is>
          <t>UDDEVALLA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45093</v>
      </c>
      <c r="E308" s="1" t="n">
        <v>46280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46280</v>
      </c>
      <c r="F309" t="inlineStr">
        <is>
          <t>VÄSTRA GÖTALANDS LÄN</t>
        </is>
      </c>
      <c r="G309" t="inlineStr">
        <is>
          <t>UDDEVALLA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69198-2021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46280</v>
      </c>
      <c r="F310" t="inlineStr">
        <is>
          <t>VÄSTRA GÖTALANDS LÄN</t>
        </is>
      </c>
      <c r="G310" t="inlineStr">
        <is>
          <t>UDDEVALLA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45554</v>
      </c>
      <c r="E311" s="1" t="n">
        <v>46280</v>
      </c>
      <c r="F311" t="inlineStr">
        <is>
          <t>VÄSTRA GÖTALANDS LÄN</t>
        </is>
      </c>
      <c r="G311" t="inlineStr">
        <is>
          <t>UDDEVALLA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46280</v>
      </c>
      <c r="F312" t="inlineStr">
        <is>
          <t>VÄSTRA GÖTALANDS LÄN</t>
        </is>
      </c>
      <c r="G312" t="inlineStr">
        <is>
          <t>UDDEVALLA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59674-2023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45255</v>
      </c>
      <c r="E313" s="1" t="n">
        <v>46280</v>
      </c>
      <c r="F313" t="inlineStr">
        <is>
          <t>VÄSTRA GÖTALANDS LÄN</t>
        </is>
      </c>
      <c r="G313" t="inlineStr">
        <is>
          <t>UDDEVALLA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46280</v>
      </c>
      <c r="F314" t="inlineStr">
        <is>
          <t>VÄSTRA GÖTALANDS LÄN</t>
        </is>
      </c>
      <c r="G314" t="inlineStr">
        <is>
          <t>UDDEVALLA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46280</v>
      </c>
      <c r="F315" t="inlineStr">
        <is>
          <t>VÄSTRA GÖTALANDS LÄN</t>
        </is>
      </c>
      <c r="G315" t="inlineStr">
        <is>
          <t>UDDEVALLA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45205</v>
      </c>
      <c r="E316" s="1" t="n">
        <v>46280</v>
      </c>
      <c r="F316" t="inlineStr">
        <is>
          <t>VÄSTRA GÖTALANDS LÄN</t>
        </is>
      </c>
      <c r="G316" t="inlineStr">
        <is>
          <t>UDDEVALLA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45426</v>
      </c>
      <c r="E317" s="1" t="n">
        <v>46280</v>
      </c>
      <c r="F317" t="inlineStr">
        <is>
          <t>VÄSTRA GÖTALANDS LÄN</t>
        </is>
      </c>
      <c r="G317" t="inlineStr">
        <is>
          <t>UDDEVALLA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29526-2024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46280</v>
      </c>
      <c r="F318" t="inlineStr">
        <is>
          <t>VÄSTRA GÖTALANDS LÄN</t>
        </is>
      </c>
      <c r="G318" t="inlineStr">
        <is>
          <t>UDDEVALLA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46280</v>
      </c>
      <c r="F319" t="inlineStr">
        <is>
          <t>VÄSTRA GÖTALANDS LÄN</t>
        </is>
      </c>
      <c r="G319" t="inlineStr">
        <is>
          <t>UDDEVALLA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46280</v>
      </c>
      <c r="F320" t="inlineStr">
        <is>
          <t>VÄSTRA GÖTALANDS LÄN</t>
        </is>
      </c>
      <c r="G320" t="inlineStr">
        <is>
          <t>UDDEVALLA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34555-2022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44794</v>
      </c>
      <c r="E321" s="1" t="n">
        <v>46280</v>
      </c>
      <c r="F321" t="inlineStr">
        <is>
          <t>VÄSTRA GÖTALANDS LÄN</t>
        </is>
      </c>
      <c r="G321" t="inlineStr">
        <is>
          <t>UDDEVALLA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46280</v>
      </c>
      <c r="F322" t="inlineStr">
        <is>
          <t>VÄSTRA GÖTALANDS LÄN</t>
        </is>
      </c>
      <c r="G322" t="inlineStr">
        <is>
          <t>UDDEVALLA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46280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44582</v>
      </c>
      <c r="E324" s="1" t="n">
        <v>46280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46280</v>
      </c>
      <c r="F325" t="inlineStr">
        <is>
          <t>VÄSTRA GÖTALANDS LÄN</t>
        </is>
      </c>
      <c r="G325" t="inlineStr">
        <is>
          <t>UDDEVALLA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46280</v>
      </c>
      <c r="F326" t="inlineStr">
        <is>
          <t>VÄSTRA GÖTALANDS LÄN</t>
        </is>
      </c>
      <c r="G326" t="inlineStr">
        <is>
          <t>UDDEVALLA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46280</v>
      </c>
      <c r="F327" t="inlineStr">
        <is>
          <t>VÄSTRA GÖTALANDS LÄN</t>
        </is>
      </c>
      <c r="G327" t="inlineStr">
        <is>
          <t>UDDEVALLA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46280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45553</v>
      </c>
      <c r="E329" s="1" t="n">
        <v>46280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44959</v>
      </c>
      <c r="E330" s="1" t="n">
        <v>46280</v>
      </c>
      <c r="F330" t="inlineStr">
        <is>
          <t>VÄSTRA GÖTALANDS LÄN</t>
        </is>
      </c>
      <c r="G330" t="inlineStr">
        <is>
          <t>UDDEVALLA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44823</v>
      </c>
      <c r="E331" s="1" t="n">
        <v>46280</v>
      </c>
      <c r="F331" t="inlineStr">
        <is>
          <t>VÄSTRA GÖTALANDS LÄN</t>
        </is>
      </c>
      <c r="G331" t="inlineStr">
        <is>
          <t>UDDEVALLA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46280</v>
      </c>
      <c r="F332" t="inlineStr">
        <is>
          <t>VÄSTRA GÖTALANDS LÄN</t>
        </is>
      </c>
      <c r="G332" t="inlineStr">
        <is>
          <t>UDDEVALLA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46280</v>
      </c>
      <c r="F333" t="inlineStr">
        <is>
          <t>VÄSTRA GÖTALANDS LÄN</t>
        </is>
      </c>
      <c r="G333" t="inlineStr">
        <is>
          <t>UDDEVALLA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46280</v>
      </c>
      <c r="F334" t="inlineStr">
        <is>
          <t>VÄSTRA GÖTALANDS LÄN</t>
        </is>
      </c>
      <c r="G334" t="inlineStr">
        <is>
          <t>UDDEVALLA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46280</v>
      </c>
      <c r="F335" t="inlineStr">
        <is>
          <t>VÄSTRA GÖTALANDS LÄN</t>
        </is>
      </c>
      <c r="G335" t="inlineStr">
        <is>
          <t>UDDEVALLA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46280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46280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46280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46280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2026-09-15T08:16:31Z</dcterms:created>
  <dcterms:modified xmlns:dcterms="http://purl.org/dc/terms/" xmlns:xsi="http://www.w3.org/2001/XMLSchema-instance" xsi:type="dcterms:W3CDTF">2026-09-15T08:16:31Z</dcterms:modified>
</cp:coreProperties>
</file>