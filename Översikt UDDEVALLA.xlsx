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46306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46306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46306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46306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46306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46306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46306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46306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46306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46306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3435-2024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45317</v>
      </c>
      <c r="E13" s="1" t="n">
        <v>46306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Kyrkan</t>
        </is>
      </c>
      <c r="I13" t="n">
        <v>1.9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Västlig hakmossa
Spillkråka</t>
        </is>
      </c>
      <c r="W13">
        <f>HYPERLINK("https://klasma.github.io/Logging_1485/artfynd/A 3435-2024 artfynd.xlsx", "A 3435-2024")</f>
        <v/>
      </c>
      <c r="X13">
        <f>HYPERLINK("https://klasma.github.io/Logging_1485/kartor/A 3435-2024 karta.png", "A 3435-2024")</f>
        <v/>
      </c>
      <c r="Y13">
        <f>HYPERLINK("https://klasma.github.io/Logging_1485/kartor_geotiff/A 3435-2024 georefererad karta.tif", "A 3435-2024")</f>
        <v/>
      </c>
      <c r="AA13">
        <f>HYPERLINK("https://klasma.github.io/Logging_1485/klagomål/A 3435-2024 FSC-klagomål.docx", "A 3435-2024")</f>
        <v/>
      </c>
      <c r="AB13">
        <f>HYPERLINK("https://klasma.github.io/Logging_1485/klagomålsmail/A 3435-2024 FSC-klagomål mail.docx", "A 3435-2024")</f>
        <v/>
      </c>
      <c r="AC13">
        <f>HYPERLINK("https://klasma.github.io/Logging_1485/tillsyn/A 3435-2024 tillsynsbegäran.docx", "A 3435-2024")</f>
        <v/>
      </c>
      <c r="AD13">
        <f>HYPERLINK("https://klasma.github.io/Logging_1485/tillsynsmail/A 3435-2024 tillsynsbegäran mail.docx", "A 3435-2024")</f>
        <v/>
      </c>
      <c r="AE13">
        <f>HYPERLINK("https://klasma.github.io/Logging_1485/fåglar/A 3435-2024 prioriterade fågelarter.docx", "A 3435-2024")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46306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46306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Granspira
Mattlummer
Lopplummer (aggregat)</t>
        </is>
      </c>
      <c r="W15">
        <f>HYPERLINK("https://klasma.github.io/Logging_1485/artfynd/A 14063-2025 artfynd.xlsx", "A 14063-2025")</f>
        <v/>
      </c>
      <c r="X15">
        <f>HYPERLINK("https://klasma.github.io/Logging_1485/kartor/A 14063-2025 karta.png", "A 14063-2025")</f>
        <v/>
      </c>
      <c r="Y15">
        <f>HYPERLINK("https://klasma.github.io/Logging_1485/kartor_geotiff/A 14063-2025 georefererad karta.tif", "A 14063-2025")</f>
        <v/>
      </c>
      <c r="AA15">
        <f>HYPERLINK("https://klasma.github.io/Logging_1485/klagomål/A 14063-2025 FSC-klagomål.docx", "A 14063-2025")</f>
        <v/>
      </c>
      <c r="AB15">
        <f>HYPERLINK("https://klasma.github.io/Logging_1485/klagomålsmail/A 14063-2025 FSC-klagomål mail.docx", "A 14063-2025")</f>
        <v/>
      </c>
      <c r="AC15">
        <f>HYPERLINK("https://klasma.github.io/Logging_1485/tillsyn/A 14063-2025 tillsynsbegäran.docx", "A 14063-2025")</f>
        <v/>
      </c>
      <c r="AD15">
        <f>HYPERLINK("https://klasma.github.io/Logging_1485/tillsynsmail/A 14063-2025 tillsynsbegäran mail.docx", "A 14063-2025")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46306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46306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46306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46306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46306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46306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46306</v>
      </c>
      <c r="F23" t="inlineStr">
        <is>
          <t>VÄSTRA GÖTALANDS LÄN</t>
        </is>
      </c>
      <c r="G23" t="inlineStr">
        <is>
          <t>UDDEVALLA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Västlig hakmossa
Spillkråka</t>
        </is>
      </c>
      <c r="W23">
        <f>HYPERLINK("https://klasma.github.io/Logging_1485/artfynd/A 8666-2024 artfynd.xlsx", "A 8666-2024")</f>
        <v/>
      </c>
      <c r="X23">
        <f>HYPERLINK("https://klasma.github.io/Logging_1485/kartor/A 8666-2024 karta.png", "A 8666-2024")</f>
        <v/>
      </c>
      <c r="Y23">
        <f>HYPERLINK("https://klasma.github.io/Logging_1485/kartor_geotiff/A 8666-2024 georefererad karta.tif", "A 8666-2024")</f>
        <v/>
      </c>
      <c r="AA23">
        <f>HYPERLINK("https://klasma.github.io/Logging_1485/klagomål/A 8666-2024 FSC-klagomål.docx", "A 8666-2024")</f>
        <v/>
      </c>
      <c r="AB23">
        <f>HYPERLINK("https://klasma.github.io/Logging_1485/klagomålsmail/A 8666-2024 FSC-klagomål mail.docx", "A 8666-2024")</f>
        <v/>
      </c>
      <c r="AC23">
        <f>HYPERLINK("https://klasma.github.io/Logging_1485/tillsyn/A 8666-2024 tillsynsbegäran.docx", "A 8666-2024")</f>
        <v/>
      </c>
      <c r="AD23">
        <f>HYPERLINK("https://klasma.github.io/Logging_1485/tillsynsmail/A 8666-2024 tillsynsbegäran mail.docx", "A 8666-2024")</f>
        <v/>
      </c>
      <c r="AE23">
        <f>HYPERLINK("https://klasma.github.io/Logging_1485/fåglar/A 8666-2024 prioriterade fågelarter.docx", "A 8666-2024")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46306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51747-2025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45950</v>
      </c>
      <c r="E25" s="1" t="n">
        <v>46306</v>
      </c>
      <c r="F25" t="inlineStr">
        <is>
          <t>VÄSTRA GÖTALANDS LÄN</t>
        </is>
      </c>
      <c r="G25" t="inlineStr">
        <is>
          <t>UDDEVALLA</t>
        </is>
      </c>
      <c r="I25" t="n">
        <v>1.2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Mattlummer
Äkta lopplummer</t>
        </is>
      </c>
      <c r="W25">
        <f>HYPERLINK("https://klasma.github.io/Logging_1485/artfynd/A 51747-2025 artfynd.xlsx", "A 51747-2025")</f>
        <v/>
      </c>
      <c r="X25">
        <f>HYPERLINK("https://klasma.github.io/Logging_1485/kartor/A 51747-2025 karta.png", "A 51747-2025")</f>
        <v/>
      </c>
      <c r="Y25">
        <f>HYPERLINK("https://klasma.github.io/Logging_1485/kartor_geotiff/A 51747-2025 georefererad karta.tif", "A 51747-2025")</f>
        <v/>
      </c>
      <c r="AA25">
        <f>HYPERLINK("https://klasma.github.io/Logging_1485/klagomål/A 51747-2025 FSC-klagomål.docx", "A 51747-2025")</f>
        <v/>
      </c>
      <c r="AB25">
        <f>HYPERLINK("https://klasma.github.io/Logging_1485/klagomålsmail/A 51747-2025 FSC-klagomål mail.docx", "A 51747-2025")</f>
        <v/>
      </c>
      <c r="AC25">
        <f>HYPERLINK("https://klasma.github.io/Logging_1485/tillsyn/A 51747-2025 tillsynsbegäran.docx", "A 51747-2025")</f>
        <v/>
      </c>
      <c r="AD25">
        <f>HYPERLINK("https://klasma.github.io/Logging_1485/tillsynsmail/A 51747-2025 tillsynsbegäran mail.docx", "A 51747-2025")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46306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46306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46306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46306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46306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46306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46306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34390-2026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46306</v>
      </c>
      <c r="F33" t="inlineStr">
        <is>
          <t>VÄSTRA GÖTALANDS LÄN</t>
        </is>
      </c>
      <c r="G33" t="inlineStr">
        <is>
          <t>UDDEVALLA</t>
        </is>
      </c>
      <c r="I33" t="n">
        <v>2.5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Större träfjäril</t>
        </is>
      </c>
      <c r="W33">
        <f>HYPERLINK("https://klasma.github.io/Logging_1485/artfynd/A 34390-2026 artfynd.xlsx", "A 34390-2026")</f>
        <v/>
      </c>
      <c r="X33">
        <f>HYPERLINK("https://klasma.github.io/Logging_1485/kartor/A 34390-2026 karta.png", "A 34390-2026")</f>
        <v/>
      </c>
      <c r="Y33">
        <f>HYPERLINK("https://klasma.github.io/Logging_1485/kartor_geotiff/A 34390-2026 georefererad karta.tif", "A 34390-2026")</f>
        <v/>
      </c>
      <c r="AA33">
        <f>HYPERLINK("https://klasma.github.io/Logging_1485/klagomål/A 34390-2026 FSC-klagomål.docx", "A 34390-2026")</f>
        <v/>
      </c>
      <c r="AB33">
        <f>HYPERLINK("https://klasma.github.io/Logging_1485/klagomålsmail/A 34390-2026 FSC-klagomål mail.docx", "A 34390-2026")</f>
        <v/>
      </c>
      <c r="AC33">
        <f>HYPERLINK("https://klasma.github.io/Logging_1485/tillsyn/A 34390-2026 tillsynsbegäran.docx", "A 34390-2026")</f>
        <v/>
      </c>
      <c r="AD33">
        <f>HYPERLINK("https://klasma.github.io/Logging_1485/tillsynsmail/A 34390-2026 tillsynsbegäran mail.docx", "A 34390-2026")</f>
        <v/>
      </c>
      <c r="AE33">
        <f>HYPERLINK("https://klasma.github.io/Logging_1485/fåglar/A 34390-2026 prioriterade fågelarter.docx", "A 34390-2026")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46306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46306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46306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46306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46306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Vedticka</t>
        </is>
      </c>
      <c r="W38">
        <f>HYPERLINK("https://klasma.github.io/Logging_1485/artfynd/A 23401-2023 artfynd.xlsx", "A 23401-2023")</f>
        <v/>
      </c>
      <c r="X38">
        <f>HYPERLINK("https://klasma.github.io/Logging_1485/kartor/A 23401-2023 karta.png", "A 23401-2023")</f>
        <v/>
      </c>
      <c r="Y38">
        <f>HYPERLINK("https://klasma.github.io/Logging_1485/kartor_geotiff/A 23401-2023 georefererad karta.tif", "A 23401-2023")</f>
        <v/>
      </c>
      <c r="AA38">
        <f>HYPERLINK("https://klasma.github.io/Logging_1485/klagomål/A 23401-2023 FSC-klagomål.docx", "A 23401-2023")</f>
        <v/>
      </c>
      <c r="AB38">
        <f>HYPERLINK("https://klasma.github.io/Logging_1485/klagomålsmail/A 23401-2023 FSC-klagomål mail.docx", "A 23401-2023")</f>
        <v/>
      </c>
      <c r="AC38">
        <f>HYPERLINK("https://klasma.github.io/Logging_1485/tillsyn/A 23401-2023 tillsynsbegäran.docx", "A 23401-2023")</f>
        <v/>
      </c>
      <c r="AD38">
        <f>HYPERLINK("https://klasma.github.io/Logging_1485/tillsynsmail/A 23401-2023 tillsynsbegäran mail.docx", "A 23401-2023")</f>
        <v/>
      </c>
    </row>
    <row r="39" ht="15" customHeight="1">
      <c r="A39" t="inlineStr">
        <is>
          <t>A 34058-2023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45135</v>
      </c>
      <c r="E39" s="1" t="n">
        <v>46306</v>
      </c>
      <c r="F39" t="inlineStr">
        <is>
          <t>VÄSTRA GÖTALANDS LÄN</t>
        </is>
      </c>
      <c r="G39" t="inlineStr">
        <is>
          <t>UDDEVALLA</t>
        </is>
      </c>
      <c r="I39" t="n">
        <v>1.3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Lundvaxskivling</t>
        </is>
      </c>
      <c r="W39">
        <f>HYPERLINK("https://klasma.github.io/Logging_1485/artfynd/A 34058-2023 artfynd.xlsx", "A 34058-2023")</f>
        <v/>
      </c>
      <c r="X39">
        <f>HYPERLINK("https://klasma.github.io/Logging_1485/kartor/A 34058-2023 karta.png", "A 34058-2023")</f>
        <v/>
      </c>
      <c r="Y39">
        <f>HYPERLINK("https://klasma.github.io/Logging_1485/kartor_geotiff/A 34058-2023 georefererad karta.tif", "A 34058-2023")</f>
        <v/>
      </c>
      <c r="AA39">
        <f>HYPERLINK("https://klasma.github.io/Logging_1485/klagomål/A 34058-2023 FSC-klagomål.docx", "A 34058-2023")</f>
        <v/>
      </c>
      <c r="AB39">
        <f>HYPERLINK("https://klasma.github.io/Logging_1485/klagomålsmail/A 34058-2023 FSC-klagomål mail.docx", "A 34058-2023")</f>
        <v/>
      </c>
      <c r="AC39">
        <f>HYPERLINK("https://klasma.github.io/Logging_1485/tillsyn/A 34058-2023 tillsynsbegäran.docx", "A 34058-2023")</f>
        <v/>
      </c>
      <c r="AD39">
        <f>HYPERLINK("https://klasma.github.io/Logging_1485/tillsynsmail/A 34058-2023 tillsynsbegäran mail.docx", "A 34058-2023")</f>
        <v/>
      </c>
    </row>
    <row r="40" ht="15" customHeight="1">
      <c r="A40" t="inlineStr">
        <is>
          <t>A 495-2023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44930</v>
      </c>
      <c r="E40" s="1" t="n">
        <v>46306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Kommuner</t>
        </is>
      </c>
      <c r="I40" t="n">
        <v>3.7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HYPERLINK("https://klasma.github.io/Logging_1485/artfynd/A 495-2023 artfynd.xlsx", "A 495-2023")</f>
        <v/>
      </c>
      <c r="X40">
        <f>HYPERLINK("https://klasma.github.io/Logging_1485/kartor/A 495-2023 karta.png", "A 495-2023")</f>
        <v/>
      </c>
      <c r="Y40">
        <f>HYPERLINK("https://klasma.github.io/Logging_1485/kartor_geotiff/A 495-2023 georefererad karta.tif", "A 495-2023")</f>
        <v/>
      </c>
      <c r="AA40">
        <f>HYPERLINK("https://klasma.github.io/Logging_1485/klagomål/A 495-2023 FSC-klagomål.docx", "A 495-2023")</f>
        <v/>
      </c>
      <c r="AB40">
        <f>HYPERLINK("https://klasma.github.io/Logging_1485/klagomålsmail/A 495-2023 FSC-klagomål mail.docx", "A 495-2023")</f>
        <v/>
      </c>
      <c r="AC40">
        <f>HYPERLINK("https://klasma.github.io/Logging_1485/tillsyn/A 495-2023 tillsynsbegäran.docx", "A 495-2023")</f>
        <v/>
      </c>
      <c r="AD40">
        <f>HYPERLINK("https://klasma.github.io/Logging_1485/tillsynsmail/A 495-2023 tillsynsbegäran mail.docx", "A 495-2023")</f>
        <v/>
      </c>
      <c r="AE40">
        <f>HYPERLINK("https://klasma.github.io/Logging_1485/fåglar/A 495-2023 prioriterade fågelarter.docx", "A 495-2023")</f>
        <v/>
      </c>
    </row>
    <row r="41" ht="15" customHeight="1">
      <c r="A41" t="inlineStr">
        <is>
          <t>A 23322-2025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46306</v>
      </c>
      <c r="F41" t="inlineStr">
        <is>
          <t>VÄSTRA GÖTALANDS LÄN</t>
        </is>
      </c>
      <c r="G41" t="inlineStr">
        <is>
          <t>UDDEVALLA</t>
        </is>
      </c>
      <c r="I41" t="n">
        <v>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HYPERLINK("https://klasma.github.io/Logging_1485/artfynd/A 23322-2025 artfynd.xlsx", "A 23322-2025")</f>
        <v/>
      </c>
      <c r="X41">
        <f>HYPERLINK("https://klasma.github.io/Logging_1485/kartor/A 23322-2025 karta.png", "A 23322-2025")</f>
        <v/>
      </c>
      <c r="Y41">
        <f>HYPERLINK("https://klasma.github.io/Logging_1485/kartor_geotiff/A 23322-2025 georefererad karta.tif", "A 23322-2025")</f>
        <v/>
      </c>
      <c r="AA41">
        <f>HYPERLINK("https://klasma.github.io/Logging_1485/klagomål/A 23322-2025 FSC-klagomål.docx", "A 23322-2025")</f>
        <v/>
      </c>
      <c r="AB41">
        <f>HYPERLINK("https://klasma.github.io/Logging_1485/klagomålsmail/A 23322-2025 FSC-klagomål mail.docx", "A 23322-2025")</f>
        <v/>
      </c>
      <c r="AC41">
        <f>HYPERLINK("https://klasma.github.io/Logging_1485/tillsyn/A 23322-2025 tillsynsbegäran.docx", "A 23322-2025")</f>
        <v/>
      </c>
      <c r="AD41">
        <f>HYPERLINK("https://klasma.github.io/Logging_1485/tillsynsmail/A 23322-2025 tillsynsbegäran mail.docx", "A 23322-2025")</f>
        <v/>
      </c>
      <c r="AE41">
        <f>HYPERLINK("https://klasma.github.io/Logging_1485/fåglar/A 23322-2025 prioriterade fågelarter.docx", "A 23322-2025")</f>
        <v/>
      </c>
    </row>
    <row r="42" ht="15" customHeight="1">
      <c r="A42" t="inlineStr">
        <is>
          <t>A 22603-2023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46306</v>
      </c>
      <c r="F42" t="inlineStr">
        <is>
          <t>VÄSTRA GÖTALANDS LÄN</t>
        </is>
      </c>
      <c r="G42" t="inlineStr">
        <is>
          <t>UDDEVALLA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HYPERLINK("https://klasma.github.io/Logging_1485/artfynd/A 22603-2023 artfynd.xlsx", "A 22603-2023")</f>
        <v/>
      </c>
      <c r="X42">
        <f>HYPERLINK("https://klasma.github.io/Logging_1485/kartor/A 22603-2023 karta.png", "A 22603-2023")</f>
        <v/>
      </c>
      <c r="Y42">
        <f>HYPERLINK("https://klasma.github.io/Logging_1485/kartor_geotiff/A 22603-2023 georefererad karta.tif", "A 22603-2023")</f>
        <v/>
      </c>
      <c r="AA42">
        <f>HYPERLINK("https://klasma.github.io/Logging_1485/klagomål/A 22603-2023 FSC-klagomål.docx", "A 22603-2023")</f>
        <v/>
      </c>
      <c r="AB42">
        <f>HYPERLINK("https://klasma.github.io/Logging_1485/klagomålsmail/A 22603-2023 FSC-klagomål mail.docx", "A 22603-2023")</f>
        <v/>
      </c>
      <c r="AC42">
        <f>HYPERLINK("https://klasma.github.io/Logging_1485/tillsyn/A 22603-2023 tillsynsbegäran.docx", "A 22603-2023")</f>
        <v/>
      </c>
      <c r="AD42">
        <f>HYPERLINK("https://klasma.github.io/Logging_1485/tillsynsmail/A 22603-2023 tillsynsbegäran mail.docx", "A 22603-2023")</f>
        <v/>
      </c>
    </row>
    <row r="43" ht="15" customHeight="1">
      <c r="A43" t="inlineStr">
        <is>
          <t>A 30954-2025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46306</v>
      </c>
      <c r="F43" t="inlineStr">
        <is>
          <t>VÄSTRA GÖTALANDS LÄN</t>
        </is>
      </c>
      <c r="G43" t="inlineStr">
        <is>
          <t>UDDEVALLA</t>
        </is>
      </c>
      <c r="I43" t="n">
        <v>11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HYPERLINK("https://klasma.github.io/Logging_1485/artfynd/A 30954-2025 artfynd.xlsx", "A 30954-2025")</f>
        <v/>
      </c>
      <c r="X43">
        <f>HYPERLINK("https://klasma.github.io/Logging_1485/kartor/A 30954-2025 karta.png", "A 30954-2025")</f>
        <v/>
      </c>
      <c r="Y43">
        <f>HYPERLINK("https://klasma.github.io/Logging_1485/kartor_geotiff/A 30954-2025 georefererad karta.tif", "A 30954-2025")</f>
        <v/>
      </c>
      <c r="AA43">
        <f>HYPERLINK("https://klasma.github.io/Logging_1485/klagomål/A 30954-2025 FSC-klagomål.docx", "A 30954-2025")</f>
        <v/>
      </c>
      <c r="AB43">
        <f>HYPERLINK("https://klasma.github.io/Logging_1485/klagomålsmail/A 30954-2025 FSC-klagomål mail.docx", "A 30954-2025")</f>
        <v/>
      </c>
      <c r="AC43">
        <f>HYPERLINK("https://klasma.github.io/Logging_1485/tillsyn/A 30954-2025 tillsynsbegäran.docx", "A 30954-2025")</f>
        <v/>
      </c>
      <c r="AD43">
        <f>HYPERLINK("https://klasma.github.io/Logging_1485/tillsynsmail/A 30954-2025 tillsynsbegäran mail.docx", "A 30954-2025")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46306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55288-2023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46306</v>
      </c>
      <c r="F45" t="inlineStr">
        <is>
          <t>VÄSTRA GÖTALANDS LÄN</t>
        </is>
      </c>
      <c r="G45" t="inlineStr">
        <is>
          <t>UDDEVALLA</t>
        </is>
      </c>
      <c r="I45" t="n">
        <v>5.2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HYPERLINK("https://klasma.github.io/Logging_1485/artfynd/A 55288-2023 artfynd.xlsx", "A 55288-2023")</f>
        <v/>
      </c>
      <c r="X45">
        <f>HYPERLINK("https://klasma.github.io/Logging_1485/kartor/A 55288-2023 karta.png", "A 55288-2023")</f>
        <v/>
      </c>
      <c r="Y45">
        <f>HYPERLINK("https://klasma.github.io/Logging_1485/kartor_geotiff/A 55288-2023 georefererad karta.tif", "A 55288-2023")</f>
        <v/>
      </c>
      <c r="AA45">
        <f>HYPERLINK("https://klasma.github.io/Logging_1485/klagomål/A 55288-2023 FSC-klagomål.docx", "A 55288-2023")</f>
        <v/>
      </c>
      <c r="AB45">
        <f>HYPERLINK("https://klasma.github.io/Logging_1485/klagomålsmail/A 55288-2023 FSC-klagomål mail.docx", "A 55288-2023")</f>
        <v/>
      </c>
      <c r="AC45">
        <f>HYPERLINK("https://klasma.github.io/Logging_1485/tillsyn/A 55288-2023 tillsynsbegäran.docx", "A 55288-2023")</f>
        <v/>
      </c>
      <c r="AD45">
        <f>HYPERLINK("https://klasma.github.io/Logging_1485/tillsynsmail/A 55288-2023 tillsynsbegäran mail.docx", "A 55288-2023")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46306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7770-2024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46306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6.2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HYPERLINK("https://klasma.github.io/Logging_1485/artfynd/A 7770-2024 artfynd.xlsx", "A 7770-2024")</f>
        <v/>
      </c>
      <c r="X47">
        <f>HYPERLINK("https://klasma.github.io/Logging_1485/kartor/A 7770-2024 karta.png", "A 7770-2024")</f>
        <v/>
      </c>
      <c r="Y47">
        <f>HYPERLINK("https://klasma.github.io/Logging_1485/kartor_geotiff/A 7770-2024 georefererad karta.tif", "A 7770-2024")</f>
        <v/>
      </c>
      <c r="AA47">
        <f>HYPERLINK("https://klasma.github.io/Logging_1485/klagomål/A 7770-2024 FSC-klagomål.docx", "A 7770-2024")</f>
        <v/>
      </c>
      <c r="AB47">
        <f>HYPERLINK("https://klasma.github.io/Logging_1485/klagomålsmail/A 7770-2024 FSC-klagomål mail.docx", "A 7770-2024")</f>
        <v/>
      </c>
      <c r="AC47">
        <f>HYPERLINK("https://klasma.github.io/Logging_1485/tillsyn/A 7770-2024 tillsynsbegäran.docx", "A 7770-2024")</f>
        <v/>
      </c>
      <c r="AD47">
        <f>HYPERLINK("https://klasma.github.io/Logging_1485/tillsynsmail/A 7770-2024 tillsynsbegäran mail.docx", "A 7770-2024")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46306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46306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46306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46306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46306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42008-2026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46306</v>
      </c>
      <c r="F53" t="inlineStr">
        <is>
          <t>VÄSTRA GÖTALANDS LÄN</t>
        </is>
      </c>
      <c r="G53" t="inlineStr">
        <is>
          <t>UDDEVALLA</t>
        </is>
      </c>
      <c r="I53" t="n">
        <v>12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42008-2026 artfynd.xlsx", "A 42008-2026")</f>
        <v/>
      </c>
      <c r="X53">
        <f>HYPERLINK("https://klasma.github.io/Logging_1485/kartor/A 42008-2026 karta.png", "A 42008-2026")</f>
        <v/>
      </c>
      <c r="Y53">
        <f>HYPERLINK("https://klasma.github.io/Logging_1485/kartor_geotiff/A 42008-2026 georefererad karta.tif", "A 42008-2026")</f>
        <v/>
      </c>
      <c r="AA53">
        <f>HYPERLINK("https://klasma.github.io/Logging_1485/klagomål/A 42008-2026 FSC-klagomål.docx", "A 42008-2026")</f>
        <v/>
      </c>
      <c r="AB53">
        <f>HYPERLINK("https://klasma.github.io/Logging_1485/klagomålsmail/A 42008-2026 FSC-klagomål mail.docx", "A 42008-2026")</f>
        <v/>
      </c>
      <c r="AC53">
        <f>HYPERLINK("https://klasma.github.io/Logging_1485/tillsyn/A 42008-2026 tillsynsbegäran.docx", "A 42008-2026")</f>
        <v/>
      </c>
      <c r="AD53">
        <f>HYPERLINK("https://klasma.github.io/Logging_1485/tillsynsmail/A 42008-2026 tillsynsbegäran mail.docx", "A 42008-2026")</f>
        <v/>
      </c>
    </row>
    <row r="54" ht="15" customHeight="1">
      <c r="A54" t="inlineStr">
        <is>
          <t>S 337-2024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45328</v>
      </c>
      <c r="E54" s="1" t="n">
        <v>46306</v>
      </c>
      <c r="F54" t="inlineStr">
        <is>
          <t>VÄSTRA GÖTALANDS LÄN</t>
        </is>
      </c>
      <c r="G54" t="inlineStr">
        <is>
          <t>UDDEVALLA</t>
        </is>
      </c>
      <c r="I54" t="n">
        <v>38.5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HYPERLINK("https://klasma.github.io/Logging_1485/artfynd/S 337-2024 artfynd.xlsx", "S 337-2024")</f>
        <v/>
      </c>
      <c r="X54">
        <f>HYPERLINK("https://klasma.github.io/Logging_1485/kartor/S 337-2024 karta.png", "S 337-2024")</f>
        <v/>
      </c>
      <c r="Y54">
        <f>HYPERLINK("https://klasma.github.io/Logging_1485/kartor_geotiff/S 337-2024 georefererad karta.tif", "S 337-2024")</f>
        <v/>
      </c>
      <c r="AA54">
        <f>HYPERLINK("https://klasma.github.io/Logging_1485/klagomål/S 337-2024 FSC-klagomål.docx", "S 337-2024")</f>
        <v/>
      </c>
      <c r="AB54">
        <f>HYPERLINK("https://klasma.github.io/Logging_1485/klagomålsmail/S 337-2024 FSC-klagomål mail.docx", "S 337-2024")</f>
        <v/>
      </c>
      <c r="AC54">
        <f>HYPERLINK("https://klasma.github.io/Logging_1485/tillsyn/S 337-2024 tillsynsbegäran.docx", "S 337-2024")</f>
        <v/>
      </c>
      <c r="AD54">
        <f>HYPERLINK("https://klasma.github.io/Logging_1485/tillsynsmail/S 337-2024 tillsynsbegäran mail.docx", "S 337-2024")</f>
        <v/>
      </c>
      <c r="AE54">
        <f>HYPERLINK("https://klasma.github.io/Logging_1485/fåglar/S 337-2024 prioriterade fågelarter.docx", "S 337-2024")</f>
        <v/>
      </c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46306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46306</v>
      </c>
      <c r="F56" t="inlineStr">
        <is>
          <t>VÄSTRA GÖTALANDS LÄN</t>
        </is>
      </c>
      <c r="G56" t="inlineStr">
        <is>
          <t>UDDEVALLA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46306</v>
      </c>
      <c r="F57" t="inlineStr">
        <is>
          <t>VÄSTRA GÖTALANDS LÄN</t>
        </is>
      </c>
      <c r="G57" t="inlineStr">
        <is>
          <t>UDDEVALLA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46306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46306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46306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46306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46306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46306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46306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46306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46306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46306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56650-2021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46306</v>
      </c>
      <c r="F68" t="inlineStr">
        <is>
          <t>VÄSTRA GÖTALANDS LÄN</t>
        </is>
      </c>
      <c r="G68" t="inlineStr">
        <is>
          <t>UDDEVALLA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46306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46306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46306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46306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45355</v>
      </c>
      <c r="E73" s="1" t="n">
        <v>46306</v>
      </c>
      <c r="F73" t="inlineStr">
        <is>
          <t>VÄSTRA GÖTALANDS LÄN</t>
        </is>
      </c>
      <c r="G73" t="inlineStr">
        <is>
          <t>UDDEVALLA</t>
        </is>
      </c>
      <c r="H73" t="inlineStr">
        <is>
          <t>Kyrkan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46306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46306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46306</v>
      </c>
      <c r="F76" t="inlineStr">
        <is>
          <t>VÄSTRA GÖTALANDS LÄN</t>
        </is>
      </c>
      <c r="G76" t="inlineStr">
        <is>
          <t>UDDEVALLA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46306</v>
      </c>
      <c r="F77" t="inlineStr">
        <is>
          <t>VÄSTRA GÖTALANDS LÄN</t>
        </is>
      </c>
      <c r="G77" t="inlineStr">
        <is>
          <t>UDDEVALLA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46306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46306</v>
      </c>
      <c r="F79" t="inlineStr">
        <is>
          <t>VÄSTRA GÖTALANDS LÄN</t>
        </is>
      </c>
      <c r="G79" t="inlineStr">
        <is>
          <t>UDDEVALLA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45426</v>
      </c>
      <c r="E80" s="1" t="n">
        <v>46306</v>
      </c>
      <c r="F80" t="inlineStr">
        <is>
          <t>VÄSTRA GÖTALANDS LÄN</t>
        </is>
      </c>
      <c r="G80" t="inlineStr">
        <is>
          <t>UDDEVALLA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46306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46306</v>
      </c>
      <c r="F82" t="inlineStr">
        <is>
          <t>VÄSTRA GÖTALANDS LÄN</t>
        </is>
      </c>
      <c r="G82" t="inlineStr">
        <is>
          <t>UDDEVALLA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46306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46306</v>
      </c>
      <c r="F84" t="inlineStr">
        <is>
          <t>VÄSTRA GÖTALANDS LÄN</t>
        </is>
      </c>
      <c r="G84" t="inlineStr">
        <is>
          <t>UDDEVALLA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46306</v>
      </c>
      <c r="F85" t="inlineStr">
        <is>
          <t>VÄSTRA GÖTALANDS LÄN</t>
        </is>
      </c>
      <c r="G85" t="inlineStr">
        <is>
          <t>UDDEVALLA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46306</v>
      </c>
      <c r="F86" t="inlineStr">
        <is>
          <t>VÄSTRA GÖTALANDS LÄN</t>
        </is>
      </c>
      <c r="G86" t="inlineStr">
        <is>
          <t>UDDEVALLA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46306</v>
      </c>
      <c r="F87" t="inlineStr">
        <is>
          <t>VÄSTRA GÖTALANDS LÄN</t>
        </is>
      </c>
      <c r="G87" t="inlineStr">
        <is>
          <t>UDDEVALLA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46306</v>
      </c>
      <c r="F88" t="inlineStr">
        <is>
          <t>VÄSTRA GÖTALANDS LÄN</t>
        </is>
      </c>
      <c r="G88" t="inlineStr">
        <is>
          <t>UDDEVALLA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44508</v>
      </c>
      <c r="E89" s="1" t="n">
        <v>46306</v>
      </c>
      <c r="F89" t="inlineStr">
        <is>
          <t>VÄSTRA GÖTALANDS LÄN</t>
        </is>
      </c>
      <c r="G89" t="inlineStr">
        <is>
          <t>UDDEVALLA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34555-2022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44794</v>
      </c>
      <c r="E90" s="1" t="n">
        <v>46306</v>
      </c>
      <c r="F90" t="inlineStr">
        <is>
          <t>VÄSTRA GÖTALANDS LÄN</t>
        </is>
      </c>
      <c r="G90" t="inlineStr">
        <is>
          <t>UDDEVALLA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46306</v>
      </c>
      <c r="F91" t="inlineStr">
        <is>
          <t>VÄSTRA GÖTALANDS LÄN</t>
        </is>
      </c>
      <c r="G91" t="inlineStr">
        <is>
          <t>UDDEVALLA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45251</v>
      </c>
      <c r="E92" s="1" t="n">
        <v>46306</v>
      </c>
      <c r="F92" t="inlineStr">
        <is>
          <t>VÄSTRA GÖTALANDS LÄN</t>
        </is>
      </c>
      <c r="G92" t="inlineStr">
        <is>
          <t>UDDEVALLA</t>
        </is>
      </c>
      <c r="H92" t="inlineStr">
        <is>
          <t>Kyrkan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46306</v>
      </c>
      <c r="F93" t="inlineStr">
        <is>
          <t>VÄSTRA GÖTALANDS LÄN</t>
        </is>
      </c>
      <c r="G93" t="inlineStr">
        <is>
          <t>UDDEVALLA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46306</v>
      </c>
      <c r="F94" t="inlineStr">
        <is>
          <t>VÄSTRA GÖTALANDS LÄN</t>
        </is>
      </c>
      <c r="G94" t="inlineStr">
        <is>
          <t>UDDEVALLA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46306</v>
      </c>
      <c r="F95" t="inlineStr">
        <is>
          <t>VÄSTRA GÖTALANDS LÄN</t>
        </is>
      </c>
      <c r="G95" t="inlineStr">
        <is>
          <t>UDDEVALLA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46306</v>
      </c>
      <c r="F96" t="inlineStr">
        <is>
          <t>VÄSTRA GÖTALANDS LÄN</t>
        </is>
      </c>
      <c r="G96" t="inlineStr">
        <is>
          <t>UDDEVALLA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2115-2025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45672</v>
      </c>
      <c r="E97" s="1" t="n">
        <v>46306</v>
      </c>
      <c r="F97" t="inlineStr">
        <is>
          <t>VÄSTRA GÖTALANDS LÄN</t>
        </is>
      </c>
      <c r="G97" t="inlineStr">
        <is>
          <t>UDDEVALLA</t>
        </is>
      </c>
      <c r="I97" t="n">
        <v>14.1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46306</v>
      </c>
      <c r="F98" t="inlineStr">
        <is>
          <t>VÄSTRA GÖTALANDS LÄN</t>
        </is>
      </c>
      <c r="G98" t="inlineStr">
        <is>
          <t>UDDEVALLA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73437-2021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46306</v>
      </c>
      <c r="F99" t="inlineStr">
        <is>
          <t>VÄSTRA GÖTALANDS LÄN</t>
        </is>
      </c>
      <c r="G99" t="inlineStr">
        <is>
          <t>UDDEVALLA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69198-2021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46306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46306</v>
      </c>
      <c r="F101" t="inlineStr">
        <is>
          <t>VÄSTRA GÖTALANDS LÄN</t>
        </is>
      </c>
      <c r="G101" t="inlineStr">
        <is>
          <t>UDDEVALLA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46306</v>
      </c>
      <c r="F102" t="inlineStr">
        <is>
          <t>VÄSTRA GÖTALANDS LÄN</t>
        </is>
      </c>
      <c r="G102" t="inlineStr">
        <is>
          <t>UDDEVALLA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43426-2024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46306</v>
      </c>
      <c r="F103" t="inlineStr">
        <is>
          <t>VÄSTRA GÖTALANDS LÄN</t>
        </is>
      </c>
      <c r="G103" t="inlineStr">
        <is>
          <t>UDDEVALLA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45635</v>
      </c>
      <c r="E104" s="1" t="n">
        <v>46306</v>
      </c>
      <c r="F104" t="inlineStr">
        <is>
          <t>VÄSTRA GÖTALANDS LÄN</t>
        </is>
      </c>
      <c r="G104" t="inlineStr">
        <is>
          <t>UDDEVALLA</t>
        </is>
      </c>
      <c r="I104" t="n">
        <v>14.9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46306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46306</v>
      </c>
      <c r="F106" t="inlineStr">
        <is>
          <t>VÄSTRA GÖTALANDS LÄN</t>
        </is>
      </c>
      <c r="G106" t="inlineStr">
        <is>
          <t>UDDEVALLA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46306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46306</v>
      </c>
      <c r="F108" t="inlineStr">
        <is>
          <t>VÄSTRA GÖTALANDS LÄN</t>
        </is>
      </c>
      <c r="G108" t="inlineStr">
        <is>
          <t>UDDEVALLA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46306</v>
      </c>
      <c r="F109" t="inlineStr">
        <is>
          <t>VÄSTRA GÖTALANDS LÄN</t>
        </is>
      </c>
      <c r="G109" t="inlineStr">
        <is>
          <t>UDDEVALLA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45150</v>
      </c>
      <c r="E110" s="1" t="n">
        <v>46306</v>
      </c>
      <c r="F110" t="inlineStr">
        <is>
          <t>VÄSTRA GÖTALANDS LÄN</t>
        </is>
      </c>
      <c r="G110" t="inlineStr">
        <is>
          <t>UDDEVALLA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45484</v>
      </c>
      <c r="E111" s="1" t="n">
        <v>46306</v>
      </c>
      <c r="F111" t="inlineStr">
        <is>
          <t>VÄSTRA GÖTALANDS LÄN</t>
        </is>
      </c>
      <c r="G111" t="inlineStr">
        <is>
          <t>UDDEVALLA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45133</v>
      </c>
      <c r="E112" s="1" t="n">
        <v>46306</v>
      </c>
      <c r="F112" t="inlineStr">
        <is>
          <t>VÄSTRA GÖTALANDS LÄN</t>
        </is>
      </c>
      <c r="G112" t="inlineStr">
        <is>
          <t>UDDEVALLA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46306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46306</v>
      </c>
      <c r="F114" t="inlineStr">
        <is>
          <t>VÄSTRA GÖTALANDS LÄN</t>
        </is>
      </c>
      <c r="G114" t="inlineStr">
        <is>
          <t>UDDEVALLA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46306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46306</v>
      </c>
      <c r="F116" t="inlineStr">
        <is>
          <t>VÄSTRA GÖTALANDS LÄN</t>
        </is>
      </c>
      <c r="G116" t="inlineStr">
        <is>
          <t>UDDEVALLA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45426</v>
      </c>
      <c r="E117" s="1" t="n">
        <v>46306</v>
      </c>
      <c r="F117" t="inlineStr">
        <is>
          <t>VÄSTRA GÖTALANDS LÄN</t>
        </is>
      </c>
      <c r="G117" t="inlineStr">
        <is>
          <t>UDDEVALLA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46306</v>
      </c>
      <c r="F118" t="inlineStr">
        <is>
          <t>VÄSTRA GÖTALANDS LÄN</t>
        </is>
      </c>
      <c r="G118" t="inlineStr">
        <is>
          <t>UDDEVALLA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46306</v>
      </c>
      <c r="F119" t="inlineStr">
        <is>
          <t>VÄSTRA GÖTALANDS LÄN</t>
        </is>
      </c>
      <c r="G119" t="inlineStr">
        <is>
          <t>UDDEVALLA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46306</v>
      </c>
      <c r="F120" t="inlineStr">
        <is>
          <t>VÄSTRA GÖTALANDS LÄN</t>
        </is>
      </c>
      <c r="G120" t="inlineStr">
        <is>
          <t>UDDEVALLA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46306</v>
      </c>
      <c r="F121" t="inlineStr">
        <is>
          <t>VÄSTRA GÖTALANDS LÄN</t>
        </is>
      </c>
      <c r="G121" t="inlineStr">
        <is>
          <t>UDDEVALLA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46306</v>
      </c>
      <c r="F122" t="inlineStr">
        <is>
          <t>VÄSTRA GÖTALANDS LÄN</t>
        </is>
      </c>
      <c r="G122" t="inlineStr">
        <is>
          <t>UDDEVALLA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46306</v>
      </c>
      <c r="F123" t="inlineStr">
        <is>
          <t>VÄSTRA GÖTALANDS LÄN</t>
        </is>
      </c>
      <c r="G123" t="inlineStr">
        <is>
          <t>UDDEVALLA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46306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46306</v>
      </c>
      <c r="F125" t="inlineStr">
        <is>
          <t>VÄSTRA GÖTALANDS LÄN</t>
        </is>
      </c>
      <c r="G125" t="inlineStr">
        <is>
          <t>UDDEVALLA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46306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46306</v>
      </c>
      <c r="F127" t="inlineStr">
        <is>
          <t>VÄSTRA GÖTALANDS LÄN</t>
        </is>
      </c>
      <c r="G127" t="inlineStr">
        <is>
          <t>UDDEVALLA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46306</v>
      </c>
      <c r="F128" t="inlineStr">
        <is>
          <t>VÄSTRA GÖTALANDS LÄN</t>
        </is>
      </c>
      <c r="G128" t="inlineStr">
        <is>
          <t>UDDEVALLA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58958-2021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44489</v>
      </c>
      <c r="E129" s="1" t="n">
        <v>46306</v>
      </c>
      <c r="F129" t="inlineStr">
        <is>
          <t>VÄSTRA GÖTALANDS LÄN</t>
        </is>
      </c>
      <c r="G129" t="inlineStr">
        <is>
          <t>UDDEVALLA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46306</v>
      </c>
      <c r="F130" t="inlineStr">
        <is>
          <t>VÄSTRA GÖTALANDS LÄN</t>
        </is>
      </c>
      <c r="G130" t="inlineStr">
        <is>
          <t>UDDEVALLA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46306</v>
      </c>
      <c r="F131" t="inlineStr">
        <is>
          <t>VÄSTRA GÖTALANDS LÄN</t>
        </is>
      </c>
      <c r="G131" t="inlineStr">
        <is>
          <t>UDDEVALLA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45517</v>
      </c>
      <c r="E132" s="1" t="n">
        <v>46306</v>
      </c>
      <c r="F132" t="inlineStr">
        <is>
          <t>VÄSTRA GÖTALANDS LÄN</t>
        </is>
      </c>
      <c r="G132" t="inlineStr">
        <is>
          <t>UDDEVALLA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46306</v>
      </c>
      <c r="F133" t="inlineStr">
        <is>
          <t>VÄSTRA GÖTALANDS LÄN</t>
        </is>
      </c>
      <c r="G133" t="inlineStr">
        <is>
          <t>UDDEVALLA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60819-2024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46306</v>
      </c>
      <c r="F134" t="inlineStr">
        <is>
          <t>VÄSTRA GÖTALANDS LÄN</t>
        </is>
      </c>
      <c r="G134" t="inlineStr">
        <is>
          <t>UDDEVALLA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46306</v>
      </c>
      <c r="F135" t="inlineStr">
        <is>
          <t>VÄSTRA GÖTALANDS LÄN</t>
        </is>
      </c>
      <c r="G135" t="inlineStr">
        <is>
          <t>UDDEVALLA</t>
        </is>
      </c>
      <c r="I135" t="n">
        <v>12.9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46306</v>
      </c>
      <c r="F136" t="inlineStr">
        <is>
          <t>VÄSTRA GÖTALANDS LÄN</t>
        </is>
      </c>
      <c r="G136" t="inlineStr">
        <is>
          <t>UDDEVALLA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46306</v>
      </c>
      <c r="F137" t="inlineStr">
        <is>
          <t>VÄSTRA GÖTALANDS LÄN</t>
        </is>
      </c>
      <c r="G137" t="inlineStr">
        <is>
          <t>UDDEVALLA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44086-2025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45914</v>
      </c>
      <c r="E138" s="1" t="n">
        <v>46306</v>
      </c>
      <c r="F138" t="inlineStr">
        <is>
          <t>VÄSTRA GÖTALANDS LÄN</t>
        </is>
      </c>
      <c r="G138" t="inlineStr">
        <is>
          <t>UDDEVALLA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45914</v>
      </c>
      <c r="E139" s="1" t="n">
        <v>46306</v>
      </c>
      <c r="F139" t="inlineStr">
        <is>
          <t>VÄSTRA GÖTALANDS LÄN</t>
        </is>
      </c>
      <c r="G139" t="inlineStr">
        <is>
          <t>UDDEVALLA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46306</v>
      </c>
      <c r="F140" t="inlineStr">
        <is>
          <t>VÄSTRA GÖTALANDS LÄN</t>
        </is>
      </c>
      <c r="G140" t="inlineStr">
        <is>
          <t>UDDEVALLA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46306</v>
      </c>
      <c r="F141" t="inlineStr">
        <is>
          <t>VÄSTRA GÖTALANDS LÄN</t>
        </is>
      </c>
      <c r="G141" t="inlineStr">
        <is>
          <t>UDDEVALLA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46306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45771</v>
      </c>
      <c r="E143" s="1" t="n">
        <v>46306</v>
      </c>
      <c r="F143" t="inlineStr">
        <is>
          <t>VÄSTRA GÖTALANDS LÄN</t>
        </is>
      </c>
      <c r="G143" t="inlineStr">
        <is>
          <t>UDDEVALLA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46306</v>
      </c>
      <c r="F144" t="inlineStr">
        <is>
          <t>VÄSTRA GÖTALANDS LÄN</t>
        </is>
      </c>
      <c r="G144" t="inlineStr">
        <is>
          <t>UDDEVALLA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46306</v>
      </c>
      <c r="F145" t="inlineStr">
        <is>
          <t>VÄSTRA GÖTALANDS LÄN</t>
        </is>
      </c>
      <c r="G145" t="inlineStr">
        <is>
          <t>UDDEVALLA</t>
        </is>
      </c>
      <c r="I145" t="n">
        <v>19.4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46306</v>
      </c>
      <c r="F146" t="inlineStr">
        <is>
          <t>VÄSTRA GÖTALANDS LÄN</t>
        </is>
      </c>
      <c r="G146" t="inlineStr">
        <is>
          <t>UDDEVALLA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46306</v>
      </c>
      <c r="F147" t="inlineStr">
        <is>
          <t>VÄSTRA GÖTALANDS LÄN</t>
        </is>
      </c>
      <c r="G147" t="inlineStr">
        <is>
          <t>UDDEVALLA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45349</v>
      </c>
      <c r="E148" s="1" t="n">
        <v>46306</v>
      </c>
      <c r="F148" t="inlineStr">
        <is>
          <t>VÄSTRA GÖTALANDS LÄN</t>
        </is>
      </c>
      <c r="G148" t="inlineStr">
        <is>
          <t>UDDEVALLA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46306</v>
      </c>
      <c r="F149" t="inlineStr">
        <is>
          <t>VÄSTRA GÖTALANDS LÄN</t>
        </is>
      </c>
      <c r="G149" t="inlineStr">
        <is>
          <t>UDDEVALLA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46306</v>
      </c>
      <c r="F150" t="inlineStr">
        <is>
          <t>VÄSTRA GÖTALANDS LÄN</t>
        </is>
      </c>
      <c r="G150" t="inlineStr">
        <is>
          <t>UDDEVALLA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46306</v>
      </c>
      <c r="F151" t="inlineStr">
        <is>
          <t>VÄSTRA GÖTALANDS LÄN</t>
        </is>
      </c>
      <c r="G151" t="inlineStr">
        <is>
          <t>UDDEVALLA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46306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46306</v>
      </c>
      <c r="F153" t="inlineStr">
        <is>
          <t>VÄSTRA GÖTALANDS LÄN</t>
        </is>
      </c>
      <c r="G153" t="inlineStr">
        <is>
          <t>UDDEVALLA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2306-2022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44578</v>
      </c>
      <c r="E154" s="1" t="n">
        <v>46306</v>
      </c>
      <c r="F154" t="inlineStr">
        <is>
          <t>VÄSTRA GÖTALANDS LÄN</t>
        </is>
      </c>
      <c r="G154" t="inlineStr">
        <is>
          <t>UDDEVALLA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46306</v>
      </c>
      <c r="F155" t="inlineStr">
        <is>
          <t>VÄSTRA GÖTALANDS LÄN</t>
        </is>
      </c>
      <c r="G155" t="inlineStr">
        <is>
          <t>UDDEVALLA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46306</v>
      </c>
      <c r="F156" t="inlineStr">
        <is>
          <t>VÄSTRA GÖTALANDS LÄN</t>
        </is>
      </c>
      <c r="G156" t="inlineStr">
        <is>
          <t>UDDEVALLA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46306</v>
      </c>
      <c r="F157" t="inlineStr">
        <is>
          <t>VÄSTRA GÖTALANDS LÄN</t>
        </is>
      </c>
      <c r="G157" t="inlineStr">
        <is>
          <t>UDDEVALLA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46306</v>
      </c>
      <c r="F158" t="inlineStr">
        <is>
          <t>VÄSTRA GÖTALANDS LÄN</t>
        </is>
      </c>
      <c r="G158" t="inlineStr">
        <is>
          <t>UDDEVALLA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46306</v>
      </c>
      <c r="F159" t="inlineStr">
        <is>
          <t>VÄSTRA GÖTALANDS LÄN</t>
        </is>
      </c>
      <c r="G159" t="inlineStr">
        <is>
          <t>UDDEVALLA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46306</v>
      </c>
      <c r="F160" t="inlineStr">
        <is>
          <t>VÄSTRA GÖTALANDS LÄN</t>
        </is>
      </c>
      <c r="G160" t="inlineStr">
        <is>
          <t>UDDEVALLA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44592</v>
      </c>
      <c r="E161" s="1" t="n">
        <v>46306</v>
      </c>
      <c r="F161" t="inlineStr">
        <is>
          <t>VÄSTRA GÖTALANDS LÄN</t>
        </is>
      </c>
      <c r="G161" t="inlineStr">
        <is>
          <t>UDDEVALLA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45633</v>
      </c>
      <c r="E162" s="1" t="n">
        <v>46306</v>
      </c>
      <c r="F162" t="inlineStr">
        <is>
          <t>VÄSTRA GÖTALANDS LÄN</t>
        </is>
      </c>
      <c r="G162" t="inlineStr">
        <is>
          <t>UDDEVALLA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46306</v>
      </c>
      <c r="F163" t="inlineStr">
        <is>
          <t>VÄSTRA GÖTALANDS LÄN</t>
        </is>
      </c>
      <c r="G163" t="inlineStr">
        <is>
          <t>UDDEVALLA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44602</v>
      </c>
      <c r="E164" s="1" t="n">
        <v>46306</v>
      </c>
      <c r="F164" t="inlineStr">
        <is>
          <t>VÄSTRA GÖTALANDS LÄN</t>
        </is>
      </c>
      <c r="G164" t="inlineStr">
        <is>
          <t>UDDEVALLA</t>
        </is>
      </c>
      <c r="I164" t="n">
        <v>9.6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46306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60241-2024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45642</v>
      </c>
      <c r="E166" s="1" t="n">
        <v>46306</v>
      </c>
      <c r="F166" t="inlineStr">
        <is>
          <t>VÄSTRA GÖTALANDS LÄN</t>
        </is>
      </c>
      <c r="G166" t="inlineStr">
        <is>
          <t>UDDEVALLA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45656</v>
      </c>
      <c r="E167" s="1" t="n">
        <v>46306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Kommuner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46306</v>
      </c>
      <c r="F168" t="inlineStr">
        <is>
          <t>VÄSTRA GÖTALANDS LÄN</t>
        </is>
      </c>
      <c r="G168" t="inlineStr">
        <is>
          <t>UDDEVALLA</t>
        </is>
      </c>
      <c r="H168" t="inlineStr">
        <is>
          <t>Kommuner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46306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46306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46306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45656</v>
      </c>
      <c r="E172" s="1" t="n">
        <v>46306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45656</v>
      </c>
      <c r="E173" s="1" t="n">
        <v>46306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45656</v>
      </c>
      <c r="E174" s="1" t="n">
        <v>46306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Kommuner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46306</v>
      </c>
      <c r="F175" t="inlineStr">
        <is>
          <t>VÄSTRA GÖTALANDS LÄN</t>
        </is>
      </c>
      <c r="G175" t="inlineStr">
        <is>
          <t>UDDEVALLA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45551</v>
      </c>
      <c r="E176" s="1" t="n">
        <v>46306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44624</v>
      </c>
      <c r="E177" s="1" t="n">
        <v>46306</v>
      </c>
      <c r="F177" t="inlineStr">
        <is>
          <t>VÄSTRA GÖTALANDS LÄN</t>
        </is>
      </c>
      <c r="G177" t="inlineStr">
        <is>
          <t>UDDEVALLA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46306</v>
      </c>
      <c r="F178" t="inlineStr">
        <is>
          <t>VÄSTRA GÖTALANDS LÄN</t>
        </is>
      </c>
      <c r="G178" t="inlineStr">
        <is>
          <t>UDDEVALLA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46306</v>
      </c>
      <c r="F179" t="inlineStr">
        <is>
          <t>VÄSTRA GÖTALANDS LÄN</t>
        </is>
      </c>
      <c r="G179" t="inlineStr">
        <is>
          <t>UDDEVALLA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46306</v>
      </c>
      <c r="F180" t="inlineStr">
        <is>
          <t>VÄSTRA GÖTALANDS LÄN</t>
        </is>
      </c>
      <c r="G180" t="inlineStr">
        <is>
          <t>UDDEVALLA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46306</v>
      </c>
      <c r="F181" t="inlineStr">
        <is>
          <t>VÄSTRA GÖTALANDS LÄN</t>
        </is>
      </c>
      <c r="G181" t="inlineStr">
        <is>
          <t>UDDEVALLA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45456</v>
      </c>
      <c r="E182" s="1" t="n">
        <v>46306</v>
      </c>
      <c r="F182" t="inlineStr">
        <is>
          <t>VÄSTRA GÖTALANDS LÄN</t>
        </is>
      </c>
      <c r="G182" t="inlineStr">
        <is>
          <t>UDDEVALLA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46306</v>
      </c>
      <c r="F183" t="inlineStr">
        <is>
          <t>VÄSTRA GÖTALANDS LÄN</t>
        </is>
      </c>
      <c r="G183" t="inlineStr">
        <is>
          <t>UDDEVALLA</t>
        </is>
      </c>
      <c r="I183" t="n">
        <v>11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46306</v>
      </c>
      <c r="F184" t="inlineStr">
        <is>
          <t>VÄSTRA GÖTALANDS LÄN</t>
        </is>
      </c>
      <c r="G184" t="inlineStr">
        <is>
          <t>UDDEVALLA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45664</v>
      </c>
      <c r="E185" s="1" t="n">
        <v>46306</v>
      </c>
      <c r="F185" t="inlineStr">
        <is>
          <t>VÄSTRA GÖTALANDS LÄN</t>
        </is>
      </c>
      <c r="G185" t="inlineStr">
        <is>
          <t>UDDEVALLA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46306</v>
      </c>
      <c r="F186" t="inlineStr">
        <is>
          <t>VÄSTRA GÖTALANDS LÄN</t>
        </is>
      </c>
      <c r="G186" t="inlineStr">
        <is>
          <t>UDDEVALLA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46306</v>
      </c>
      <c r="F187" t="inlineStr">
        <is>
          <t>VÄSTRA GÖTALANDS LÄN</t>
        </is>
      </c>
      <c r="G187" t="inlineStr">
        <is>
          <t>UDDEVALLA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45748</v>
      </c>
      <c r="E188" s="1" t="n">
        <v>46306</v>
      </c>
      <c r="F188" t="inlineStr">
        <is>
          <t>VÄSTRA GÖTALANDS LÄN</t>
        </is>
      </c>
      <c r="G188" t="inlineStr">
        <is>
          <t>UDDEVALLA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46306</v>
      </c>
      <c r="F189" t="inlineStr">
        <is>
          <t>VÄSTRA GÖTALANDS LÄN</t>
        </is>
      </c>
      <c r="G189" t="inlineStr">
        <is>
          <t>UDDEVALLA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45723</v>
      </c>
      <c r="E190" s="1" t="n">
        <v>46306</v>
      </c>
      <c r="F190" t="inlineStr">
        <is>
          <t>VÄSTRA GÖTALANDS LÄN</t>
        </is>
      </c>
      <c r="G190" t="inlineStr">
        <is>
          <t>UDDEVALLA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46306</v>
      </c>
      <c r="F191" t="inlineStr">
        <is>
          <t>VÄSTRA GÖTALANDS LÄN</t>
        </is>
      </c>
      <c r="G191" t="inlineStr">
        <is>
          <t>UDDEVALLA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46306</v>
      </c>
      <c r="F192" t="inlineStr">
        <is>
          <t>VÄSTRA GÖTALANDS LÄN</t>
        </is>
      </c>
      <c r="G192" t="inlineStr">
        <is>
          <t>UDDEVALLA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59674-2023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45255</v>
      </c>
      <c r="E193" s="1" t="n">
        <v>46306</v>
      </c>
      <c r="F193" t="inlineStr">
        <is>
          <t>VÄSTRA GÖTALANDS LÄN</t>
        </is>
      </c>
      <c r="G193" t="inlineStr">
        <is>
          <t>UDDEVALLA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46306</v>
      </c>
      <c r="F194" t="inlineStr">
        <is>
          <t>VÄSTRA GÖTALANDS LÄN</t>
        </is>
      </c>
      <c r="G194" t="inlineStr">
        <is>
          <t>UDDEVALLA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44991</v>
      </c>
      <c r="E195" s="1" t="n">
        <v>46306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46306</v>
      </c>
      <c r="F196" t="inlineStr">
        <is>
          <t>VÄSTRA GÖTALANDS LÄN</t>
        </is>
      </c>
      <c r="G196" t="inlineStr">
        <is>
          <t>UDDEVALLA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46306</v>
      </c>
      <c r="F197" t="inlineStr">
        <is>
          <t>VÄSTRA GÖTALANDS LÄN</t>
        </is>
      </c>
      <c r="G197" t="inlineStr">
        <is>
          <t>UDDEVALLA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46306</v>
      </c>
      <c r="F198" t="inlineStr">
        <is>
          <t>VÄSTRA GÖTALANDS LÄN</t>
        </is>
      </c>
      <c r="G198" t="inlineStr">
        <is>
          <t>UDDEVALLA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46306</v>
      </c>
      <c r="F199" t="inlineStr">
        <is>
          <t>VÄSTRA GÖTALANDS LÄN</t>
        </is>
      </c>
      <c r="G199" t="inlineStr">
        <is>
          <t>UDDEVALLA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46306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46306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46306</v>
      </c>
      <c r="F202" t="inlineStr">
        <is>
          <t>VÄSTRA GÖTALANDS LÄN</t>
        </is>
      </c>
      <c r="G202" t="inlineStr">
        <is>
          <t>UDDEVALLA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46306</v>
      </c>
      <c r="F203" t="inlineStr">
        <is>
          <t>VÄSTRA GÖTALANDS LÄN</t>
        </is>
      </c>
      <c r="G203" t="inlineStr">
        <is>
          <t>UDDEVALLA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44733</v>
      </c>
      <c r="E204" s="1" t="n">
        <v>46306</v>
      </c>
      <c r="F204" t="inlineStr">
        <is>
          <t>VÄSTRA GÖTALANDS LÄN</t>
        </is>
      </c>
      <c r="G204" t="inlineStr">
        <is>
          <t>UDDEVALLA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46306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46306</v>
      </c>
      <c r="F206" t="inlineStr">
        <is>
          <t>VÄSTRA GÖTALANDS LÄN</t>
        </is>
      </c>
      <c r="G206" t="inlineStr">
        <is>
          <t>UDDEVALLA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46306</v>
      </c>
      <c r="F207" t="inlineStr">
        <is>
          <t>VÄSTRA GÖTALANDS LÄN</t>
        </is>
      </c>
      <c r="G207" t="inlineStr">
        <is>
          <t>UDDEVALLA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46306</v>
      </c>
      <c r="F208" t="inlineStr">
        <is>
          <t>VÄSTRA GÖTALANDS LÄN</t>
        </is>
      </c>
      <c r="G208" t="inlineStr">
        <is>
          <t>UDDEVALLA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46306</v>
      </c>
      <c r="F209" t="inlineStr">
        <is>
          <t>VÄSTRA GÖTALANDS LÄN</t>
        </is>
      </c>
      <c r="G209" t="inlineStr">
        <is>
          <t>UDDEVALLA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46306</v>
      </c>
      <c r="F210" t="inlineStr">
        <is>
          <t>VÄSTRA GÖTALANDS LÄN</t>
        </is>
      </c>
      <c r="G210" t="inlineStr">
        <is>
          <t>UDDEVALLA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44998</v>
      </c>
      <c r="E211" s="1" t="n">
        <v>46306</v>
      </c>
      <c r="F211" t="inlineStr">
        <is>
          <t>VÄSTRA GÖTALANDS LÄN</t>
        </is>
      </c>
      <c r="G211" t="inlineStr">
        <is>
          <t>UDDEVALLA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46306</v>
      </c>
      <c r="F212" t="inlineStr">
        <is>
          <t>VÄSTRA GÖTALANDS LÄN</t>
        </is>
      </c>
      <c r="G212" t="inlineStr">
        <is>
          <t>UDDEVALLA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46306</v>
      </c>
      <c r="F213" t="inlineStr">
        <is>
          <t>VÄSTRA GÖTALANDS LÄN</t>
        </is>
      </c>
      <c r="G213" t="inlineStr">
        <is>
          <t>UDDEVALLA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45121</v>
      </c>
      <c r="E214" s="1" t="n">
        <v>46306</v>
      </c>
      <c r="F214" t="inlineStr">
        <is>
          <t>VÄSTRA GÖTALANDS LÄN</t>
        </is>
      </c>
      <c r="G214" t="inlineStr">
        <is>
          <t>UDDEVALLA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46306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45484</v>
      </c>
      <c r="E216" s="1" t="n">
        <v>46306</v>
      </c>
      <c r="F216" t="inlineStr">
        <is>
          <t>VÄSTRA GÖTALANDS LÄN</t>
        </is>
      </c>
      <c r="G216" t="inlineStr">
        <is>
          <t>UDDEVALLA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46306</v>
      </c>
      <c r="F217" t="inlineStr">
        <is>
          <t>VÄSTRA GÖTALANDS LÄN</t>
        </is>
      </c>
      <c r="G217" t="inlineStr">
        <is>
          <t>UDDEVALLA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46306</v>
      </c>
      <c r="F218" t="inlineStr">
        <is>
          <t>VÄSTRA GÖTALANDS LÄN</t>
        </is>
      </c>
      <c r="G218" t="inlineStr">
        <is>
          <t>UDDEVALLA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46306</v>
      </c>
      <c r="F219" t="inlineStr">
        <is>
          <t>VÄSTRA GÖTALANDS LÄN</t>
        </is>
      </c>
      <c r="G219" t="inlineStr">
        <is>
          <t>UDDEVALLA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46306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45975</v>
      </c>
      <c r="E221" s="1" t="n">
        <v>46306</v>
      </c>
      <c r="F221" t="inlineStr">
        <is>
          <t>VÄSTRA GÖTALANDS LÄN</t>
        </is>
      </c>
      <c r="G221" t="inlineStr">
        <is>
          <t>UDDEVALLA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46306</v>
      </c>
      <c r="F222" t="inlineStr">
        <is>
          <t>VÄSTRA GÖTALANDS LÄN</t>
        </is>
      </c>
      <c r="G222" t="inlineStr">
        <is>
          <t>UDDEVALLA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46306</v>
      </c>
      <c r="F223" t="inlineStr">
        <is>
          <t>VÄSTRA GÖTALANDS LÄN</t>
        </is>
      </c>
      <c r="G223" t="inlineStr">
        <is>
          <t>UDDEVALLA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46306</v>
      </c>
      <c r="F224" t="inlineStr">
        <is>
          <t>VÄSTRA GÖTALANDS LÄN</t>
        </is>
      </c>
      <c r="G224" t="inlineStr">
        <is>
          <t>UDDEVALLA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63878-2021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46306</v>
      </c>
      <c r="F225" t="inlineStr">
        <is>
          <t>VÄSTRA GÖTALANDS LÄN</t>
        </is>
      </c>
      <c r="G225" t="inlineStr">
        <is>
          <t>UDDEVALLA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46306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46306</v>
      </c>
      <c r="F227" t="inlineStr">
        <is>
          <t>VÄSTRA GÖTALANDS LÄN</t>
        </is>
      </c>
      <c r="G227" t="inlineStr">
        <is>
          <t>UDDEVALLA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46306</v>
      </c>
      <c r="F228" t="inlineStr">
        <is>
          <t>VÄSTRA GÖTALANDS LÄN</t>
        </is>
      </c>
      <c r="G228" t="inlineStr">
        <is>
          <t>UDDEVALLA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46306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46306</v>
      </c>
      <c r="F230" t="inlineStr">
        <is>
          <t>VÄSTRA GÖTALANDS LÄN</t>
        </is>
      </c>
      <c r="G230" t="inlineStr">
        <is>
          <t>UDDEVALLA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46306</v>
      </c>
      <c r="F231" t="inlineStr">
        <is>
          <t>VÄSTRA GÖTALANDS LÄN</t>
        </is>
      </c>
      <c r="G231" t="inlineStr">
        <is>
          <t>UDDEVALLA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46306</v>
      </c>
      <c r="F232" t="inlineStr">
        <is>
          <t>VÄSTRA GÖTALANDS LÄN</t>
        </is>
      </c>
      <c r="G232" t="inlineStr">
        <is>
          <t>UDDEVALLA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46306</v>
      </c>
      <c r="F233" t="inlineStr">
        <is>
          <t>VÄSTRA GÖTALANDS LÄN</t>
        </is>
      </c>
      <c r="G233" t="inlineStr">
        <is>
          <t>UDDEVALLA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46306</v>
      </c>
      <c r="F234" t="inlineStr">
        <is>
          <t>VÄSTRA GÖTALANDS LÄN</t>
        </is>
      </c>
      <c r="G234" t="inlineStr">
        <is>
          <t>UDDEVALLA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46306</v>
      </c>
      <c r="F235" t="inlineStr">
        <is>
          <t>VÄSTRA GÖTALANDS LÄN</t>
        </is>
      </c>
      <c r="G235" t="inlineStr">
        <is>
          <t>UDDEVALLA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46306</v>
      </c>
      <c r="F236" t="inlineStr">
        <is>
          <t>VÄSTRA GÖTALANDS LÄN</t>
        </is>
      </c>
      <c r="G236" t="inlineStr">
        <is>
          <t>UDDEVALLA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46306</v>
      </c>
      <c r="F237" t="inlineStr">
        <is>
          <t>VÄSTRA GÖTALANDS LÄN</t>
        </is>
      </c>
      <c r="G237" t="inlineStr">
        <is>
          <t>UDDEVALLA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17058-2025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45754</v>
      </c>
      <c r="E238" s="1" t="n">
        <v>46306</v>
      </c>
      <c r="F238" t="inlineStr">
        <is>
          <t>VÄSTRA GÖTALANDS LÄN</t>
        </is>
      </c>
      <c r="G238" t="inlineStr">
        <is>
          <t>UDDEVALLA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16819-2026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46113</v>
      </c>
      <c r="E239" s="1" t="n">
        <v>46306</v>
      </c>
      <c r="F239" t="inlineStr">
        <is>
          <t>VÄSTRA GÖTALANDS LÄN</t>
        </is>
      </c>
      <c r="G239" t="inlineStr">
        <is>
          <t>UDDEVALLA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46306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9797-2023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44984</v>
      </c>
      <c r="E241" s="1" t="n">
        <v>46306</v>
      </c>
      <c r="F241" t="inlineStr">
        <is>
          <t>VÄSTRA GÖTALANDS LÄN</t>
        </is>
      </c>
      <c r="G241" t="inlineStr">
        <is>
          <t>UDDEVALLA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46306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73437-2021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46306</v>
      </c>
      <c r="F243" t="inlineStr">
        <is>
          <t>VÄSTRA GÖTALANDS LÄN</t>
        </is>
      </c>
      <c r="G243" t="inlineStr">
        <is>
          <t>UDDEVALLA</t>
        </is>
      </c>
      <c r="I243" t="n">
        <v>8.1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46306</v>
      </c>
      <c r="F244" t="inlineStr">
        <is>
          <t>VÄSTRA GÖTALANDS LÄN</t>
        </is>
      </c>
      <c r="G244" t="inlineStr">
        <is>
          <t>UDDEVALLA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46120</v>
      </c>
      <c r="E245" s="1" t="n">
        <v>46306</v>
      </c>
      <c r="F245" t="inlineStr">
        <is>
          <t>VÄSTRA GÖTALANDS LÄN</t>
        </is>
      </c>
      <c r="G245" t="inlineStr">
        <is>
          <t>UDDEVALLA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46306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46306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46306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46306</v>
      </c>
      <c r="F249" t="inlineStr">
        <is>
          <t>VÄSTRA GÖTALANDS LÄN</t>
        </is>
      </c>
      <c r="G249" t="inlineStr">
        <is>
          <t>UDDEVALLA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46306</v>
      </c>
      <c r="F250" t="inlineStr">
        <is>
          <t>VÄSTRA GÖTALANDS LÄN</t>
        </is>
      </c>
      <c r="G250" t="inlineStr">
        <is>
          <t>UDDEVALLA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46306</v>
      </c>
      <c r="F251" t="inlineStr">
        <is>
          <t>VÄSTRA GÖTALANDS LÄN</t>
        </is>
      </c>
      <c r="G251" t="inlineStr">
        <is>
          <t>UDDEVALLA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46306</v>
      </c>
      <c r="F252" t="inlineStr">
        <is>
          <t>VÄSTRA GÖTALANDS LÄN</t>
        </is>
      </c>
      <c r="G252" t="inlineStr">
        <is>
          <t>UDDEVALLA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46306</v>
      </c>
      <c r="F253" t="inlineStr">
        <is>
          <t>VÄSTRA GÖTALANDS LÄN</t>
        </is>
      </c>
      <c r="G253" t="inlineStr">
        <is>
          <t>UDDEVALLA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46306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1147-2024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45302</v>
      </c>
      <c r="E255" s="1" t="n">
        <v>46306</v>
      </c>
      <c r="F255" t="inlineStr">
        <is>
          <t>VÄSTRA GÖTALANDS LÄN</t>
        </is>
      </c>
      <c r="G255" t="inlineStr">
        <is>
          <t>UDDEVALLA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46306</v>
      </c>
      <c r="F256" t="inlineStr">
        <is>
          <t>VÄSTRA GÖTALANDS LÄN</t>
        </is>
      </c>
      <c r="G256" t="inlineStr">
        <is>
          <t>UDDEVALLA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70491-2021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46306</v>
      </c>
      <c r="F257" t="inlineStr">
        <is>
          <t>VÄSTRA GÖTALANDS LÄN</t>
        </is>
      </c>
      <c r="G257" t="inlineStr">
        <is>
          <t>UDDEVALLA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46306</v>
      </c>
      <c r="F258" t="inlineStr">
        <is>
          <t>VÄSTRA GÖTALANDS LÄN</t>
        </is>
      </c>
      <c r="G258" t="inlineStr">
        <is>
          <t>UDDEVALLA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46306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45656</v>
      </c>
      <c r="E260" s="1" t="n">
        <v>46306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45907</v>
      </c>
      <c r="E261" s="1" t="n">
        <v>46306</v>
      </c>
      <c r="F261" t="inlineStr">
        <is>
          <t>VÄSTRA GÖTALANDS LÄN</t>
        </is>
      </c>
      <c r="G261" t="inlineStr">
        <is>
          <t>UDDEVALLA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46306</v>
      </c>
      <c r="F262" t="inlineStr">
        <is>
          <t>VÄSTRA GÖTALANDS LÄN</t>
        </is>
      </c>
      <c r="G262" t="inlineStr">
        <is>
          <t>UDDEVALLA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45365</v>
      </c>
      <c r="E263" s="1" t="n">
        <v>46306</v>
      </c>
      <c r="F263" t="inlineStr">
        <is>
          <t>VÄSTRA GÖTALANDS LÄN</t>
        </is>
      </c>
      <c r="G263" t="inlineStr">
        <is>
          <t>UDDEVALLA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46306</v>
      </c>
      <c r="F264" t="inlineStr">
        <is>
          <t>VÄSTRA GÖTALANDS LÄN</t>
        </is>
      </c>
      <c r="G264" t="inlineStr">
        <is>
          <t>UDDEVALLA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46306</v>
      </c>
      <c r="F265" t="inlineStr">
        <is>
          <t>VÄSTRA GÖTALANDS LÄN</t>
        </is>
      </c>
      <c r="G265" t="inlineStr">
        <is>
          <t>UDDEVALLA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46306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46306</v>
      </c>
      <c r="F267" t="inlineStr">
        <is>
          <t>VÄSTRA GÖTALANDS LÄN</t>
        </is>
      </c>
      <c r="G267" t="inlineStr">
        <is>
          <t>UDDEVALLA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46306</v>
      </c>
      <c r="F268" t="inlineStr">
        <is>
          <t>VÄSTRA GÖTALANDS LÄN</t>
        </is>
      </c>
      <c r="G268" t="inlineStr">
        <is>
          <t>UDDEVALLA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46306</v>
      </c>
      <c r="F269" t="inlineStr">
        <is>
          <t>VÄSTRA GÖTALANDS LÄN</t>
        </is>
      </c>
      <c r="G269" t="inlineStr">
        <is>
          <t>UDDEVALLA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46139</v>
      </c>
      <c r="E270" s="1" t="n">
        <v>46306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45028</v>
      </c>
      <c r="E271" s="1" t="n">
        <v>46306</v>
      </c>
      <c r="F271" t="inlineStr">
        <is>
          <t>VÄSTRA GÖTALANDS LÄN</t>
        </is>
      </c>
      <c r="G271" t="inlineStr">
        <is>
          <t>UDDEVALLA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45279</v>
      </c>
      <c r="E272" s="1" t="n">
        <v>46306</v>
      </c>
      <c r="F272" t="inlineStr">
        <is>
          <t>VÄSTRA GÖTALANDS LÄN</t>
        </is>
      </c>
      <c r="G272" t="inlineStr">
        <is>
          <t>UDDEVALLA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46306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46306</v>
      </c>
      <c r="F274" t="inlineStr">
        <is>
          <t>VÄSTRA GÖTALANDS LÄN</t>
        </is>
      </c>
      <c r="G274" t="inlineStr">
        <is>
          <t>UDDEVALLA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46306</v>
      </c>
      <c r="F275" t="inlineStr">
        <is>
          <t>VÄSTRA GÖTALANDS LÄN</t>
        </is>
      </c>
      <c r="G275" t="inlineStr">
        <is>
          <t>UDDEVALLA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46306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46306</v>
      </c>
      <c r="F277" t="inlineStr">
        <is>
          <t>VÄSTRA GÖTALANDS LÄN</t>
        </is>
      </c>
      <c r="G277" t="inlineStr">
        <is>
          <t>UDDEVALLA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45237</v>
      </c>
      <c r="E278" s="1" t="n">
        <v>46306</v>
      </c>
      <c r="F278" t="inlineStr">
        <is>
          <t>VÄSTRA GÖTALANDS LÄN</t>
        </is>
      </c>
      <c r="G278" t="inlineStr">
        <is>
          <t>UDDEVALLA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46306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46306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46306</v>
      </c>
      <c r="F281" t="inlineStr">
        <is>
          <t>VÄSTRA GÖTALANDS LÄN</t>
        </is>
      </c>
      <c r="G281" t="inlineStr">
        <is>
          <t>UDDEVALLA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45226</v>
      </c>
      <c r="E282" s="1" t="n">
        <v>46306</v>
      </c>
      <c r="F282" t="inlineStr">
        <is>
          <t>VÄSTRA GÖTALANDS LÄN</t>
        </is>
      </c>
      <c r="G282" t="inlineStr">
        <is>
          <t>UDDEVALLA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73007-2021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44550</v>
      </c>
      <c r="E283" s="1" t="n">
        <v>46306</v>
      </c>
      <c r="F283" t="inlineStr">
        <is>
          <t>VÄSTRA GÖTALANDS LÄN</t>
        </is>
      </c>
      <c r="G283" t="inlineStr">
        <is>
          <t>UDDEVALLA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46306</v>
      </c>
      <c r="F284" t="inlineStr">
        <is>
          <t>VÄSTRA GÖTALANDS LÄN</t>
        </is>
      </c>
      <c r="G284" t="inlineStr">
        <is>
          <t>UDDEVALLA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46306</v>
      </c>
      <c r="F285" t="inlineStr">
        <is>
          <t>VÄSTRA GÖTALANDS LÄN</t>
        </is>
      </c>
      <c r="G285" t="inlineStr">
        <is>
          <t>UDDEVALLA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46306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46306</v>
      </c>
      <c r="F287" t="inlineStr">
        <is>
          <t>VÄSTRA GÖTALANDS LÄN</t>
        </is>
      </c>
      <c r="G287" t="inlineStr">
        <is>
          <t>UDDEVALLA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46306</v>
      </c>
      <c r="F288" t="inlineStr">
        <is>
          <t>VÄSTRA GÖTALANDS LÄN</t>
        </is>
      </c>
      <c r="G288" t="inlineStr">
        <is>
          <t>UDDEVALLA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10436-2026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46076</v>
      </c>
      <c r="E289" s="1" t="n">
        <v>46306</v>
      </c>
      <c r="F289" t="inlineStr">
        <is>
          <t>VÄSTRA GÖTALANDS LÄN</t>
        </is>
      </c>
      <c r="G289" t="inlineStr">
        <is>
          <t>UDDEVALLA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46306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46306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46306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Kyrkan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46306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46306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46306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46306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46306</v>
      </c>
      <c r="F297" t="inlineStr">
        <is>
          <t>VÄSTRA GÖTALANDS LÄN</t>
        </is>
      </c>
      <c r="G297" t="inlineStr">
        <is>
          <t>UDDEVALLA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46306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45309</v>
      </c>
      <c r="E299" s="1" t="n">
        <v>46306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46306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Övriga statliga verk och myndigheter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46306</v>
      </c>
      <c r="F301" t="inlineStr">
        <is>
          <t>VÄSTRA GÖTALANDS LÄN</t>
        </is>
      </c>
      <c r="G301" t="inlineStr">
        <is>
          <t>UDDEVALLA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44056-2025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46306</v>
      </c>
      <c r="F302" t="inlineStr">
        <is>
          <t>VÄSTRA GÖTALANDS LÄN</t>
        </is>
      </c>
      <c r="G302" t="inlineStr">
        <is>
          <t>UDDEVALLA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45495</v>
      </c>
      <c r="E303" s="1" t="n">
        <v>46306</v>
      </c>
      <c r="F303" t="inlineStr">
        <is>
          <t>VÄSTRA GÖTALANDS LÄN</t>
        </is>
      </c>
      <c r="G303" t="inlineStr">
        <is>
          <t>UDDEVALLA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46306</v>
      </c>
      <c r="F304" t="inlineStr">
        <is>
          <t>VÄSTRA GÖTALANDS LÄN</t>
        </is>
      </c>
      <c r="G304" t="inlineStr">
        <is>
          <t>UDDEVALLA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46306</v>
      </c>
      <c r="F305" t="inlineStr">
        <is>
          <t>VÄSTRA GÖTALANDS LÄN</t>
        </is>
      </c>
      <c r="G305" t="inlineStr">
        <is>
          <t>UDDEVALLA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46306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46306</v>
      </c>
      <c r="F307" t="inlineStr">
        <is>
          <t>VÄSTRA GÖTALANDS LÄN</t>
        </is>
      </c>
      <c r="G307" t="inlineStr">
        <is>
          <t>UDDEVALLA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46306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46306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46210</v>
      </c>
      <c r="E310" s="1" t="n">
        <v>46306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46306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46306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46222</v>
      </c>
      <c r="E313" s="1" t="n">
        <v>46306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46306</v>
      </c>
      <c r="F314" t="inlineStr">
        <is>
          <t>VÄSTRA GÖTALANDS LÄN</t>
        </is>
      </c>
      <c r="G314" t="inlineStr">
        <is>
          <t>UDDEVALLA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46267</v>
      </c>
      <c r="E315" s="1" t="n">
        <v>46306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Kyrkan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46306</v>
      </c>
      <c r="F316" t="inlineStr">
        <is>
          <t>VÄSTRA GÖTALANDS LÄN</t>
        </is>
      </c>
      <c r="G316" t="inlineStr">
        <is>
          <t>UDDEVALLA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46306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46306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46306</v>
      </c>
      <c r="F319" t="inlineStr">
        <is>
          <t>VÄSTRA GÖTALANDS LÄN</t>
        </is>
      </c>
      <c r="G319" t="inlineStr">
        <is>
          <t>UDDEVALLA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46288</v>
      </c>
      <c r="E320" s="1" t="n">
        <v>46306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46306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46306</v>
      </c>
      <c r="F322" t="inlineStr">
        <is>
          <t>VÄSTRA GÖTALANDS LÄN</t>
        </is>
      </c>
      <c r="G322" t="inlineStr">
        <is>
          <t>UDDEVALLA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46293</v>
      </c>
      <c r="E323" s="1" t="n">
        <v>46306</v>
      </c>
      <c r="F323" t="inlineStr">
        <is>
          <t>VÄSTRA GÖTALANDS LÄN</t>
        </is>
      </c>
      <c r="G323" t="inlineStr">
        <is>
          <t>UDDEVALLA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46306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46306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46306</v>
      </c>
      <c r="F326" t="inlineStr">
        <is>
          <t>VÄSTRA GÖTALANDS LÄN</t>
        </is>
      </c>
      <c r="G326" t="inlineStr">
        <is>
          <t>UDDEVALLA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45127</v>
      </c>
      <c r="E327" s="1" t="n">
        <v>46306</v>
      </c>
      <c r="F327" t="inlineStr">
        <is>
          <t>VÄSTRA GÖTALANDS LÄN</t>
        </is>
      </c>
      <c r="G327" t="inlineStr">
        <is>
          <t>UDDEVALLA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46306</v>
      </c>
      <c r="F328" t="inlineStr">
        <is>
          <t>VÄSTRA GÖTALANDS LÄN</t>
        </is>
      </c>
      <c r="G328" t="inlineStr">
        <is>
          <t>UDDEVALLA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41692-2026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46302</v>
      </c>
      <c r="E329" s="1" t="n">
        <v>46306</v>
      </c>
      <c r="F329" t="inlineStr">
        <is>
          <t>VÄSTRA GÖTALANDS LÄN</t>
        </is>
      </c>
      <c r="G329" t="inlineStr">
        <is>
          <t>UDDEVALLA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46306</v>
      </c>
      <c r="F330" t="inlineStr">
        <is>
          <t>VÄSTRA GÖTALANDS LÄN</t>
        </is>
      </c>
      <c r="G330" t="inlineStr">
        <is>
          <t>UDDEVALLA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46303</v>
      </c>
      <c r="E331" s="1" t="n">
        <v>46306</v>
      </c>
      <c r="F331" t="inlineStr">
        <is>
          <t>VÄSTRA GÖTALANDS LÄN</t>
        </is>
      </c>
      <c r="G331" t="inlineStr">
        <is>
          <t>UDDEVALLA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46306</v>
      </c>
      <c r="F332" t="inlineStr">
        <is>
          <t>VÄSTRA GÖTALANDS LÄN</t>
        </is>
      </c>
      <c r="G332" t="inlineStr">
        <is>
          <t>UDDEVALLA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46306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46306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46306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2026-10-11T02:07:26Z</dcterms:created>
  <dcterms:modified xmlns:dcterms="http://purl.org/dc/terms/" xmlns:xsi="http://www.w3.org/2001/XMLSchema-instance" xsi:type="dcterms:W3CDTF">2026-10-11T02:07:26Z</dcterms:modified>
</cp:coreProperties>
</file>