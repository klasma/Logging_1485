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46226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46226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46226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46226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46226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46226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46226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46226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46226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46226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46226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46226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46226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46226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46226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46113</v>
      </c>
      <c r="E18" s="1" t="n">
        <v>46226</v>
      </c>
      <c r="F18" t="inlineStr">
        <is>
          <t>VÄSTRA GÖTALANDS LÄN</t>
        </is>
      </c>
      <c r="G18" t="inlineStr">
        <is>
          <t>UDDEVALLA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Iller
Svinrot</t>
        </is>
      </c>
      <c r="W18">
        <f>HYPERLINK("https://klasma.github.io/Logging_1485/artfynd/A 16882-2026 artfynd.xlsx", "A 16882-2026")</f>
        <v/>
      </c>
      <c r="X18">
        <f>HYPERLINK("https://klasma.github.io/Logging_1485/kartor/A 16882-2026 karta.png", "A 16882-2026")</f>
        <v/>
      </c>
      <c r="Y18">
        <f>HYPERLINK("https://klasma.github.io/Logging_1485/kartor_geotiff/A 16882-2026 georefererad karta.tif", "A 16882-2026")</f>
        <v/>
      </c>
      <c r="AA18">
        <f>HYPERLINK("https://klasma.github.io/Logging_1485/klagomål/A 16882-2026 FSC-klagomål.docx", "A 16882-2026")</f>
        <v/>
      </c>
      <c r="AB18">
        <f>HYPERLINK("https://klasma.github.io/Logging_1485/klagomålsmail/A 16882-2026 FSC-klagomål mail.docx", "A 16882-2026")</f>
        <v/>
      </c>
      <c r="AC18">
        <f>HYPERLINK("https://klasma.github.io/Logging_1485/tillsyn/A 16882-2026 tillsynsbegäran.docx", "A 16882-2026")</f>
        <v/>
      </c>
      <c r="AD18">
        <f>HYPERLINK("https://klasma.github.io/Logging_1485/tillsynsmail/A 16882-2026 tillsynsbegäran mail.docx", "A 16882-2026")</f>
        <v/>
      </c>
    </row>
    <row r="19" ht="15" customHeight="1">
      <c r="A19" t="inlineStr">
        <is>
          <t>A 17995-2026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46124</v>
      </c>
      <c r="E19" s="1" t="n">
        <v>46226</v>
      </c>
      <c r="F19" t="inlineStr">
        <is>
          <t>VÄSTRA GÖTALANDS LÄN</t>
        </is>
      </c>
      <c r="G19" t="inlineStr">
        <is>
          <t>UDDEVALLA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Spillkråka
Revlummer</t>
        </is>
      </c>
      <c r="W19">
        <f>HYPERLINK("https://klasma.github.io/Logging_1485/artfynd/A 17995-2026 artfynd.xlsx", "A 17995-2026")</f>
        <v/>
      </c>
      <c r="X19">
        <f>HYPERLINK("https://klasma.github.io/Logging_1485/kartor/A 17995-2026 karta.png", "A 17995-2026")</f>
        <v/>
      </c>
      <c r="Y19">
        <f>HYPERLINK("https://klasma.github.io/Logging_1485/kartor_geotiff/A 17995-2026 georefererad karta.tif", "A 17995-2026")</f>
        <v/>
      </c>
      <c r="AA19">
        <f>HYPERLINK("https://klasma.github.io/Logging_1485/klagomål/A 17995-2026 FSC-klagomål.docx", "A 17995-2026")</f>
        <v/>
      </c>
      <c r="AB19">
        <f>HYPERLINK("https://klasma.github.io/Logging_1485/klagomålsmail/A 17995-2026 FSC-klagomål mail.docx", "A 17995-2026")</f>
        <v/>
      </c>
      <c r="AC19">
        <f>HYPERLINK("https://klasma.github.io/Logging_1485/tillsyn/A 17995-2026 tillsynsbegäran.docx", "A 17995-2026")</f>
        <v/>
      </c>
      <c r="AD19">
        <f>HYPERLINK("https://klasma.github.io/Logging_1485/tillsynsmail/A 17995-2026 tillsynsbegäran mail.docx", "A 17995-2026")</f>
        <v/>
      </c>
      <c r="AE19">
        <f>HYPERLINK("https://klasma.github.io/Logging_1485/fåglar/A 17995-2026 prioriterade fågelarter.docx", "A 17995-2026")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46226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46226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3432-2024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46226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3.1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Klippfrullania
Västlig hakmossa</t>
        </is>
      </c>
      <c r="W22">
        <f>HYPERLINK("https://klasma.github.io/Logging_1485/artfynd/A 3432-2024 artfynd.xlsx", "A 3432-2024")</f>
        <v/>
      </c>
      <c r="X22">
        <f>HYPERLINK("https://klasma.github.io/Logging_1485/kartor/A 3432-2024 karta.png", "A 3432-2024")</f>
        <v/>
      </c>
      <c r="Y22">
        <f>HYPERLINK("https://klasma.github.io/Logging_1485/kartor_geotiff/A 3432-2024 georefererad karta.tif", "A 3432-2024")</f>
        <v/>
      </c>
      <c r="AA22">
        <f>HYPERLINK("https://klasma.github.io/Logging_1485/klagomål/A 3432-2024 FSC-klagomål.docx", "A 3432-2024")</f>
        <v/>
      </c>
      <c r="AB22">
        <f>HYPERLINK("https://klasma.github.io/Logging_1485/klagomålsmail/A 3432-2024 FSC-klagomål mail.docx", "A 3432-2024")</f>
        <v/>
      </c>
      <c r="AC22">
        <f>HYPERLINK("https://klasma.github.io/Logging_1485/tillsyn/A 3432-2024 tillsynsbegäran.docx", "A 3432-2024")</f>
        <v/>
      </c>
      <c r="AD22">
        <f>HYPERLINK("https://klasma.github.io/Logging_1485/tillsynsmail/A 3432-2024 tillsynsbegäran mail.docx", "A 3432-2024")</f>
        <v/>
      </c>
    </row>
    <row r="23" ht="15" customHeight="1">
      <c r="A23" t="inlineStr">
        <is>
          <t>A 65109-2023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45288</v>
      </c>
      <c r="E23" s="1" t="n">
        <v>46226</v>
      </c>
      <c r="F23" t="inlineStr">
        <is>
          <t>VÄSTRA GÖTALANDS LÄN</t>
        </is>
      </c>
      <c r="G23" t="inlineStr">
        <is>
          <t>UDDEVALLA</t>
        </is>
      </c>
      <c r="I23" t="n">
        <v>1.8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Lunglav
Åttafläckig praktbagge</t>
        </is>
      </c>
      <c r="W23">
        <f>HYPERLINK("https://klasma.github.io/Logging_1485/artfynd/A 65109-2023 artfynd.xlsx", "A 65109-2023")</f>
        <v/>
      </c>
      <c r="X23">
        <f>HYPERLINK("https://klasma.github.io/Logging_1485/kartor/A 65109-2023 karta.png", "A 65109-2023")</f>
        <v/>
      </c>
      <c r="Y23">
        <f>HYPERLINK("https://klasma.github.io/Logging_1485/kartor_geotiff/A 65109-2023 georefererad karta.tif", "A 65109-2023")</f>
        <v/>
      </c>
      <c r="AA23">
        <f>HYPERLINK("https://klasma.github.io/Logging_1485/klagomål/A 65109-2023 FSC-klagomål.docx", "A 65109-2023")</f>
        <v/>
      </c>
      <c r="AB23">
        <f>HYPERLINK("https://klasma.github.io/Logging_1485/klagomålsmail/A 65109-2023 FSC-klagomål mail.docx", "A 65109-2023")</f>
        <v/>
      </c>
      <c r="AC23">
        <f>HYPERLINK("https://klasma.github.io/Logging_1485/tillsyn/A 65109-2023 tillsynsbegäran.docx", "A 65109-2023")</f>
        <v/>
      </c>
      <c r="AD23">
        <f>HYPERLINK("https://klasma.github.io/Logging_1485/tillsynsmail/A 65109-2023 tillsynsbegäran mail.docx", "A 65109-2023")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46226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46226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46226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46226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46226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46226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46226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46226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46226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Grönsångare</t>
        </is>
      </c>
      <c r="W32">
        <f>HYPERLINK("https://klasma.github.io/Logging_1485/artfynd/A 495-2023 artfynd.xlsx", "A 495-2023")</f>
        <v/>
      </c>
      <c r="X32">
        <f>HYPERLINK("https://klasma.github.io/Logging_1485/kartor/A 495-2023 karta.png", "A 495-2023")</f>
        <v/>
      </c>
      <c r="Y32">
        <f>HYPERLINK("https://klasma.github.io/Logging_1485/kartor_geotiff/A 495-2023 georefererad karta.tif", "A 495-2023")</f>
        <v/>
      </c>
      <c r="AA32">
        <f>HYPERLINK("https://klasma.github.io/Logging_1485/klagomål/A 495-2023 FSC-klagomål.docx", "A 495-2023")</f>
        <v/>
      </c>
      <c r="AB32">
        <f>HYPERLINK("https://klasma.github.io/Logging_1485/klagomålsmail/A 495-2023 FSC-klagomål mail.docx", "A 495-2023")</f>
        <v/>
      </c>
      <c r="AC32">
        <f>HYPERLINK("https://klasma.github.io/Logging_1485/tillsyn/A 495-2023 tillsynsbegäran.docx", "A 495-2023")</f>
        <v/>
      </c>
      <c r="AD32">
        <f>HYPERLINK("https://klasma.github.io/Logging_1485/tillsynsmail/A 495-2023 tillsynsbegäran mail.docx", "A 495-2023")</f>
        <v/>
      </c>
      <c r="AE32">
        <f>HYPERLINK("https://klasma.github.io/Logging_1485/fåglar/A 495-2023 prioriterade fågelarter.docx", "A 495-2023")</f>
        <v/>
      </c>
    </row>
    <row r="33" ht="15" customHeight="1">
      <c r="A33" t="inlineStr">
        <is>
          <t>A 22603-2023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45071</v>
      </c>
      <c r="E33" s="1" t="n">
        <v>46226</v>
      </c>
      <c r="F33" t="inlineStr">
        <is>
          <t>VÄSTRA GÖTALANDS LÄN</t>
        </is>
      </c>
      <c r="G33" t="inlineStr">
        <is>
          <t>UDDEVALLA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HYPERLINK("https://klasma.github.io/Logging_1485/artfynd/A 22603-2023 artfynd.xlsx", "A 22603-2023")</f>
        <v/>
      </c>
      <c r="X33">
        <f>HYPERLINK("https://klasma.github.io/Logging_1485/kartor/A 22603-2023 karta.png", "A 22603-2023")</f>
        <v/>
      </c>
      <c r="Y33">
        <f>HYPERLINK("https://klasma.github.io/Logging_1485/kartor_geotiff/A 22603-2023 georefererad karta.tif", "A 22603-2023")</f>
        <v/>
      </c>
      <c r="AA33">
        <f>HYPERLINK("https://klasma.github.io/Logging_1485/klagomål/A 22603-2023 FSC-klagomål.docx", "A 22603-2023")</f>
        <v/>
      </c>
      <c r="AB33">
        <f>HYPERLINK("https://klasma.github.io/Logging_1485/klagomålsmail/A 22603-2023 FSC-klagomål mail.docx", "A 22603-2023")</f>
        <v/>
      </c>
      <c r="AC33">
        <f>HYPERLINK("https://klasma.github.io/Logging_1485/tillsyn/A 22603-2023 tillsynsbegäran.docx", "A 22603-2023")</f>
        <v/>
      </c>
      <c r="AD33">
        <f>HYPERLINK("https://klasma.github.io/Logging_1485/tillsynsmail/A 22603-2023 tillsynsbegäran mail.docx", "A 22603-2023")</f>
        <v/>
      </c>
    </row>
    <row r="34" ht="15" customHeight="1">
      <c r="A34" t="inlineStr">
        <is>
          <t>A 9424-2026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46071</v>
      </c>
      <c r="E34" s="1" t="n">
        <v>46226</v>
      </c>
      <c r="F34" t="inlineStr">
        <is>
          <t>VÄSTRA GÖTALANDS LÄN</t>
        </is>
      </c>
      <c r="G34" t="inlineStr">
        <is>
          <t>UDDEVALLA</t>
        </is>
      </c>
      <c r="I34" t="n">
        <v>4.3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Flotagräs</t>
        </is>
      </c>
      <c r="W34">
        <f>HYPERLINK("https://klasma.github.io/Logging_1485/artfynd/A 9424-2026 artfynd.xlsx", "A 9424-2026")</f>
        <v/>
      </c>
      <c r="X34">
        <f>HYPERLINK("https://klasma.github.io/Logging_1485/kartor/A 9424-2026 karta.png", "A 9424-2026")</f>
        <v/>
      </c>
      <c r="Y34">
        <f>HYPERLINK("https://klasma.github.io/Logging_1485/kartor_geotiff/A 9424-2026 georefererad karta.tif", "A 9424-2026")</f>
        <v/>
      </c>
      <c r="AA34">
        <f>HYPERLINK("https://klasma.github.io/Logging_1485/klagomål/A 9424-2026 FSC-klagomål.docx", "A 9424-2026")</f>
        <v/>
      </c>
      <c r="AB34">
        <f>HYPERLINK("https://klasma.github.io/Logging_1485/klagomålsmail/A 9424-2026 FSC-klagomål mail.docx", "A 9424-2026")</f>
        <v/>
      </c>
      <c r="AC34">
        <f>HYPERLINK("https://klasma.github.io/Logging_1485/tillsyn/A 9424-2026 tillsynsbegäran.docx", "A 9424-2026")</f>
        <v/>
      </c>
      <c r="AD34">
        <f>HYPERLINK("https://klasma.github.io/Logging_1485/tillsynsmail/A 9424-2026 tillsynsbegäran mail.docx", "A 9424-2026")</f>
        <v/>
      </c>
    </row>
    <row r="35" ht="15" customHeight="1">
      <c r="A35" t="inlineStr">
        <is>
          <t>A 7770-2024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45348</v>
      </c>
      <c r="E35" s="1" t="n">
        <v>46226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Kyrkan</t>
        </is>
      </c>
      <c r="I35" t="n">
        <v>6.2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HYPERLINK("https://klasma.github.io/Logging_1485/artfynd/A 7770-2024 artfynd.xlsx", "A 7770-2024")</f>
        <v/>
      </c>
      <c r="X35">
        <f>HYPERLINK("https://klasma.github.io/Logging_1485/kartor/A 7770-2024 karta.png", "A 7770-2024")</f>
        <v/>
      </c>
      <c r="Y35">
        <f>HYPERLINK("https://klasma.github.io/Logging_1485/kartor_geotiff/A 7770-2024 georefererad karta.tif", "A 7770-2024")</f>
        <v/>
      </c>
      <c r="AA35">
        <f>HYPERLINK("https://klasma.github.io/Logging_1485/klagomål/A 7770-2024 FSC-klagomål.docx", "A 7770-2024")</f>
        <v/>
      </c>
      <c r="AB35">
        <f>HYPERLINK("https://klasma.github.io/Logging_1485/klagomålsmail/A 7770-2024 FSC-klagomål mail.docx", "A 7770-2024")</f>
        <v/>
      </c>
      <c r="AC35">
        <f>HYPERLINK("https://klasma.github.io/Logging_1485/tillsyn/A 7770-2024 tillsynsbegäran.docx", "A 7770-2024")</f>
        <v/>
      </c>
      <c r="AD35">
        <f>HYPERLINK("https://klasma.github.io/Logging_1485/tillsynsmail/A 7770-2024 tillsynsbegäran mail.docx", "A 7770-2024")</f>
        <v/>
      </c>
    </row>
    <row r="36" ht="15" customHeight="1">
      <c r="A36" t="inlineStr">
        <is>
          <t>A 236-2023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46226</v>
      </c>
      <c r="F36" t="inlineStr">
        <is>
          <t>VÄSTRA GÖTALANDS LÄN</t>
        </is>
      </c>
      <c r="G36" t="inlineStr">
        <is>
          <t>UDDEVALLA</t>
        </is>
      </c>
      <c r="I36" t="n">
        <v>16.7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Rödgul trumpetsvamp</t>
        </is>
      </c>
      <c r="W36">
        <f>HYPERLINK("https://klasma.github.io/Logging_1485/artfynd/A 236-2023 artfynd.xlsx", "A 236-2023")</f>
        <v/>
      </c>
      <c r="X36">
        <f>HYPERLINK("https://klasma.github.io/Logging_1485/kartor/A 236-2023 karta.png", "A 236-2023")</f>
        <v/>
      </c>
      <c r="Y36">
        <f>HYPERLINK("https://klasma.github.io/Logging_1485/kartor_geotiff/A 236-2023 georefererad karta.tif", "A 236-2023")</f>
        <v/>
      </c>
      <c r="AA36">
        <f>HYPERLINK("https://klasma.github.io/Logging_1485/klagomål/A 236-2023 FSC-klagomål.docx", "A 236-2023")</f>
        <v/>
      </c>
      <c r="AB36">
        <f>HYPERLINK("https://klasma.github.io/Logging_1485/klagomålsmail/A 236-2023 FSC-klagomål mail.docx", "A 236-2023")</f>
        <v/>
      </c>
      <c r="AC36">
        <f>HYPERLINK("https://klasma.github.io/Logging_1485/tillsyn/A 236-2023 tillsynsbegäran.docx", "A 236-2023")</f>
        <v/>
      </c>
      <c r="AD36">
        <f>HYPERLINK("https://klasma.github.io/Logging_1485/tillsynsmail/A 236-2023 tillsynsbegäran mail.docx", "A 236-2023")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46226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10865-2022 artfynd.xlsx", "A 10865-2022")</f>
        <v/>
      </c>
      <c r="X37">
        <f>HYPERLINK("https://klasma.github.io/Logging_1485/kartor/A 10865-2022 karta.png", "A 10865-2022")</f>
        <v/>
      </c>
      <c r="Y37">
        <f>HYPERLINK("https://klasma.github.io/Logging_1485/kartor_geotiff/A 10865-2022 georefererad karta.tif", "A 10865-2022")</f>
        <v/>
      </c>
      <c r="AA37">
        <f>HYPERLINK("https://klasma.github.io/Logging_1485/klagomål/A 10865-2022 FSC-klagomål.docx", "A 10865-2022")</f>
        <v/>
      </c>
      <c r="AB37">
        <f>HYPERLINK("https://klasma.github.io/Logging_1485/klagomålsmail/A 10865-2022 FSC-klagomål mail.docx", "A 10865-2022")</f>
        <v/>
      </c>
      <c r="AC37">
        <f>HYPERLINK("https://klasma.github.io/Logging_1485/tillsyn/A 10865-2022 tillsynsbegäran.docx", "A 10865-2022")</f>
        <v/>
      </c>
      <c r="AD37">
        <f>HYPERLINK("https://klasma.github.io/Logging_1485/tillsynsmail/A 10865-2022 tillsynsbegäran mail.docx", "A 10865-2022")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46226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55288-2023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45237</v>
      </c>
      <c r="E39" s="1" t="n">
        <v>46226</v>
      </c>
      <c r="F39" t="inlineStr">
        <is>
          <t>VÄSTRA GÖTALANDS LÄN</t>
        </is>
      </c>
      <c r="G39" t="inlineStr">
        <is>
          <t>UDDEVALLA</t>
        </is>
      </c>
      <c r="I39" t="n">
        <v>5.2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55288-2023 artfynd.xlsx", "A 55288-2023")</f>
        <v/>
      </c>
      <c r="X39">
        <f>HYPERLINK("https://klasma.github.io/Logging_1485/kartor/A 55288-2023 karta.png", "A 55288-2023")</f>
        <v/>
      </c>
      <c r="Y39">
        <f>HYPERLINK("https://klasma.github.io/Logging_1485/kartor_geotiff/A 55288-2023 georefererad karta.tif", "A 55288-2023")</f>
        <v/>
      </c>
      <c r="AA39">
        <f>HYPERLINK("https://klasma.github.io/Logging_1485/klagomål/A 55288-2023 FSC-klagomål.docx", "A 55288-2023")</f>
        <v/>
      </c>
      <c r="AB39">
        <f>HYPERLINK("https://klasma.github.io/Logging_1485/klagomålsmail/A 55288-2023 FSC-klagomål mail.docx", "A 55288-2023")</f>
        <v/>
      </c>
      <c r="AC39">
        <f>HYPERLINK("https://klasma.github.io/Logging_1485/tillsyn/A 55288-2023 tillsynsbegäran.docx", "A 55288-2023")</f>
        <v/>
      </c>
      <c r="AD39">
        <f>HYPERLINK("https://klasma.github.io/Logging_1485/tillsynsmail/A 55288-2023 tillsynsbegäran mail.docx", "A 55288-2023")</f>
        <v/>
      </c>
    </row>
    <row r="40" ht="15" customHeight="1">
      <c r="A40" t="inlineStr">
        <is>
          <t>A 23401-2023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45076</v>
      </c>
      <c r="E40" s="1" t="n">
        <v>46226</v>
      </c>
      <c r="F40" t="inlineStr">
        <is>
          <t>VÄSTRA GÖTALANDS LÄN</t>
        </is>
      </c>
      <c r="G40" t="inlineStr">
        <is>
          <t>UDDEVALLA</t>
        </is>
      </c>
      <c r="I40" t="n">
        <v>3.3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HYPERLINK("https://klasma.github.io/Logging_1485/artfynd/A 23401-2023 artfynd.xlsx", "A 23401-2023")</f>
        <v/>
      </c>
      <c r="X40">
        <f>HYPERLINK("https://klasma.github.io/Logging_1485/kartor/A 23401-2023 karta.png", "A 23401-2023")</f>
        <v/>
      </c>
      <c r="Y40">
        <f>HYPERLINK("https://klasma.github.io/Logging_1485/kartor_geotiff/A 23401-2023 georefererad karta.tif", "A 23401-2023")</f>
        <v/>
      </c>
      <c r="AA40">
        <f>HYPERLINK("https://klasma.github.io/Logging_1485/klagomål/A 23401-2023 FSC-klagomål.docx", "A 23401-2023")</f>
        <v/>
      </c>
      <c r="AB40">
        <f>HYPERLINK("https://klasma.github.io/Logging_1485/klagomålsmail/A 23401-2023 FSC-klagomål mail.docx", "A 23401-2023")</f>
        <v/>
      </c>
      <c r="AC40">
        <f>HYPERLINK("https://klasma.github.io/Logging_1485/tillsyn/A 23401-2023 tillsynsbegäran.docx", "A 23401-2023")</f>
        <v/>
      </c>
      <c r="AD40">
        <f>HYPERLINK("https://klasma.github.io/Logging_1485/tillsynsmail/A 23401-2023 tillsynsbegäran mail.docx", "A 23401-2023")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46226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46226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34058-2023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45135</v>
      </c>
      <c r="E43" s="1" t="n">
        <v>46226</v>
      </c>
      <c r="F43" t="inlineStr">
        <is>
          <t>VÄSTRA GÖTALANDS LÄN</t>
        </is>
      </c>
      <c r="G43" t="inlineStr">
        <is>
          <t>UDDEVALLA</t>
        </is>
      </c>
      <c r="I43" t="n">
        <v>1.3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Lundvaxskivling</t>
        </is>
      </c>
      <c r="W43">
        <f>HYPERLINK("https://klasma.github.io/Logging_1485/artfynd/A 34058-2023 artfynd.xlsx", "A 34058-2023")</f>
        <v/>
      </c>
      <c r="X43">
        <f>HYPERLINK("https://klasma.github.io/Logging_1485/kartor/A 34058-2023 karta.png", "A 34058-2023")</f>
        <v/>
      </c>
      <c r="Y43">
        <f>HYPERLINK("https://klasma.github.io/Logging_1485/kartor_geotiff/A 34058-2023 georefererad karta.tif", "A 34058-2023")</f>
        <v/>
      </c>
      <c r="AA43">
        <f>HYPERLINK("https://klasma.github.io/Logging_1485/klagomål/A 34058-2023 FSC-klagomål.docx", "A 34058-2023")</f>
        <v/>
      </c>
      <c r="AB43">
        <f>HYPERLINK("https://klasma.github.io/Logging_1485/klagomålsmail/A 34058-2023 FSC-klagomål mail.docx", "A 34058-2023")</f>
        <v/>
      </c>
      <c r="AC43">
        <f>HYPERLINK("https://klasma.github.io/Logging_1485/tillsyn/A 34058-2023 tillsynsbegäran.docx", "A 34058-2023")</f>
        <v/>
      </c>
      <c r="AD43">
        <f>HYPERLINK("https://klasma.github.io/Logging_1485/tillsynsmail/A 34058-2023 tillsynsbegäran mail.docx", "A 34058-2023")</f>
        <v/>
      </c>
    </row>
    <row r="44" ht="15" customHeight="1">
      <c r="A44" t="inlineStr">
        <is>
          <t>A 29691-2023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46226</v>
      </c>
      <c r="F44" t="inlineStr">
        <is>
          <t>VÄSTRA GÖTALANDS LÄN</t>
        </is>
      </c>
      <c r="G44" t="inlineStr">
        <is>
          <t>UDDEVALLA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Kopparödla</t>
        </is>
      </c>
      <c r="W44">
        <f>HYPERLINK("https://klasma.github.io/Logging_1485/artfynd/A 29691-2023 artfynd.xlsx", "A 29691-2023")</f>
        <v/>
      </c>
      <c r="X44">
        <f>HYPERLINK("https://klasma.github.io/Logging_1485/kartor/A 29691-2023 karta.png", "A 29691-2023")</f>
        <v/>
      </c>
      <c r="Y44">
        <f>HYPERLINK("https://klasma.github.io/Logging_1485/kartor_geotiff/A 29691-2023 georefererad karta.tif", "A 29691-2023")</f>
        <v/>
      </c>
      <c r="AA44">
        <f>HYPERLINK("https://klasma.github.io/Logging_1485/klagomål/A 29691-2023 FSC-klagomål.docx", "A 29691-2023")</f>
        <v/>
      </c>
      <c r="AB44">
        <f>HYPERLINK("https://klasma.github.io/Logging_1485/klagomålsmail/A 29691-2023 FSC-klagomål mail.docx", "A 29691-2023")</f>
        <v/>
      </c>
      <c r="AC44">
        <f>HYPERLINK("https://klasma.github.io/Logging_1485/tillsyn/A 29691-2023 tillsynsbegäran.docx", "A 29691-2023")</f>
        <v/>
      </c>
      <c r="AD44">
        <f>HYPERLINK("https://klasma.github.io/Logging_1485/tillsynsmail/A 29691-2023 tillsynsbegäran mail.docx", "A 29691-2023")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46226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46226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HYPERLINK("https://klasma.github.io/Logging_1485/artfynd/S 337-2024 artfynd.xlsx", "S 337-2024")</f>
        <v/>
      </c>
      <c r="X46">
        <f>HYPERLINK("https://klasma.github.io/Logging_1485/kartor/S 337-2024 karta.png", "S 337-2024")</f>
        <v/>
      </c>
      <c r="Y46">
        <f>HYPERLINK("https://klasma.github.io/Logging_1485/kartor_geotiff/S 337-2024 georefererad karta.tif", "S 337-2024")</f>
        <v/>
      </c>
      <c r="AA46">
        <f>HYPERLINK("https://klasma.github.io/Logging_1485/klagomål/S 337-2024 FSC-klagomål.docx", "S 337-2024")</f>
        <v/>
      </c>
      <c r="AB46">
        <f>HYPERLINK("https://klasma.github.io/Logging_1485/klagomålsmail/S 337-2024 FSC-klagomål mail.docx", "S 337-2024")</f>
        <v/>
      </c>
      <c r="AC46">
        <f>HYPERLINK("https://klasma.github.io/Logging_1485/tillsyn/S 337-2024 tillsynsbegäran.docx", "S 337-2024")</f>
        <v/>
      </c>
      <c r="AD46">
        <f>HYPERLINK("https://klasma.github.io/Logging_1485/tillsynsmail/S 337-2024 tillsynsbegäran mail.docx", "S 337-2024")</f>
        <v/>
      </c>
      <c r="AE46">
        <f>HYPERLINK("https://klasma.github.io/Logging_1485/fåglar/S 337-2024 prioriterade fågelarter.docx", "S 337-2024")</f>
        <v/>
      </c>
    </row>
    <row r="47" ht="15" customHeight="1">
      <c r="A47" t="inlineStr">
        <is>
          <t>A 3607-2022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46226</v>
      </c>
      <c r="F47" t="inlineStr">
        <is>
          <t>VÄSTRA GÖTALANDS LÄN</t>
        </is>
      </c>
      <c r="G47" t="inlineStr">
        <is>
          <t>UDDEVALLA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46226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46226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46226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46226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46226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46226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46226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46226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46226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46226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46226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46226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46226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46226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46226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46226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46226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46226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46226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46226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46226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46226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46226</v>
      </c>
      <c r="F70" t="inlineStr">
        <is>
          <t>VÄSTRA GÖTALANDS LÄN</t>
        </is>
      </c>
      <c r="G70" t="inlineStr">
        <is>
          <t>UDDEVALLA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45633</v>
      </c>
      <c r="E71" s="1" t="n">
        <v>46226</v>
      </c>
      <c r="F71" t="inlineStr">
        <is>
          <t>VÄSTRA GÖTALANDS LÄN</t>
        </is>
      </c>
      <c r="G71" t="inlineStr">
        <is>
          <t>UDDEVALLA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46226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46226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46226</v>
      </c>
      <c r="F74" t="inlineStr">
        <is>
          <t>VÄSTRA GÖTALANDS LÄN</t>
        </is>
      </c>
      <c r="G74" t="inlineStr">
        <is>
          <t>UDDEVALLA</t>
        </is>
      </c>
      <c r="H74" t="inlineStr">
        <is>
          <t>Kyrkan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46226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46226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46226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46226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46226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46226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46226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46226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46226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46226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46226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44634</v>
      </c>
      <c r="E86" s="1" t="n">
        <v>46226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46226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46226</v>
      </c>
      <c r="F88" t="inlineStr">
        <is>
          <t>VÄSTRA GÖTALANDS LÄN</t>
        </is>
      </c>
      <c r="G88" t="inlineStr">
        <is>
          <t>UDDEVALLA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46226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46226</v>
      </c>
      <c r="F90" t="inlineStr">
        <is>
          <t>VÄSTRA GÖTALANDS LÄN</t>
        </is>
      </c>
      <c r="G90" t="inlineStr">
        <is>
          <t>UDDEVALLA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46226</v>
      </c>
      <c r="F91" t="inlineStr">
        <is>
          <t>VÄSTRA GÖTALANDS LÄN</t>
        </is>
      </c>
      <c r="G91" t="inlineStr">
        <is>
          <t>UDDEVALLA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44592</v>
      </c>
      <c r="E92" s="1" t="n">
        <v>46226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46226</v>
      </c>
      <c r="F93" t="inlineStr">
        <is>
          <t>VÄSTRA GÖTALANDS LÄN</t>
        </is>
      </c>
      <c r="G93" t="inlineStr">
        <is>
          <t>UDDEVALLA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46226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46226</v>
      </c>
      <c r="F95" t="inlineStr">
        <is>
          <t>VÄSTRA GÖTALANDS LÄN</t>
        </is>
      </c>
      <c r="G95" t="inlineStr">
        <is>
          <t>UDDEVALLA</t>
        </is>
      </c>
      <c r="H95" t="inlineStr">
        <is>
          <t>Kyrkan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46226</v>
      </c>
      <c r="F96" t="inlineStr">
        <is>
          <t>VÄSTRA GÖTALANDS LÄN</t>
        </is>
      </c>
      <c r="G96" t="inlineStr">
        <is>
          <t>UDDEVALLA</t>
        </is>
      </c>
      <c r="I96" t="n">
        <v>7.7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46226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46226</v>
      </c>
      <c r="F98" t="inlineStr">
        <is>
          <t>VÄSTRA GÖTALANDS LÄN</t>
        </is>
      </c>
      <c r="G98" t="inlineStr">
        <is>
          <t>UDDEVALLA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46226</v>
      </c>
      <c r="F99" t="inlineStr">
        <is>
          <t>VÄSTRA GÖTALANDS LÄN</t>
        </is>
      </c>
      <c r="G99" t="inlineStr">
        <is>
          <t>UDDEVALLA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46226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46226</v>
      </c>
      <c r="F101" t="inlineStr">
        <is>
          <t>VÄSTRA GÖTALANDS LÄN</t>
        </is>
      </c>
      <c r="G101" t="inlineStr">
        <is>
          <t>UDDEVALLA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58958-2021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44489</v>
      </c>
      <c r="E102" s="1" t="n">
        <v>46226</v>
      </c>
      <c r="F102" t="inlineStr">
        <is>
          <t>VÄSTRA GÖTALANDS LÄN</t>
        </is>
      </c>
      <c r="G102" t="inlineStr">
        <is>
          <t>UDDEVALLA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45723</v>
      </c>
      <c r="E103" s="1" t="n">
        <v>46226</v>
      </c>
      <c r="F103" t="inlineStr">
        <is>
          <t>VÄSTRA GÖTALANDS LÄN</t>
        </is>
      </c>
      <c r="G103" t="inlineStr">
        <is>
          <t>UDDEVALLA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46062</v>
      </c>
      <c r="E104" s="1" t="n">
        <v>46226</v>
      </c>
      <c r="F104" t="inlineStr">
        <is>
          <t>VÄSTRA GÖTALANDS LÄN</t>
        </is>
      </c>
      <c r="G104" t="inlineStr">
        <is>
          <t>UDDEVALLA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46226</v>
      </c>
      <c r="F105" t="inlineStr">
        <is>
          <t>VÄSTRA GÖTALANDS LÄN</t>
        </is>
      </c>
      <c r="G105" t="inlineStr">
        <is>
          <t>UDDEVALLA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73437-2021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44551</v>
      </c>
      <c r="E106" s="1" t="n">
        <v>46226</v>
      </c>
      <c r="F106" t="inlineStr">
        <is>
          <t>VÄSTRA GÖTALANDS LÄN</t>
        </is>
      </c>
      <c r="G106" t="inlineStr">
        <is>
          <t>UDDEVALLA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46226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46226</v>
      </c>
      <c r="F108" t="inlineStr">
        <is>
          <t>VÄSTRA GÖTALANDS LÄN</t>
        </is>
      </c>
      <c r="G108" t="inlineStr">
        <is>
          <t>UDDEVALLA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9574-2026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46226</v>
      </c>
      <c r="F109" t="inlineStr">
        <is>
          <t>VÄSTRA GÖTALANDS LÄN</t>
        </is>
      </c>
      <c r="G109" t="inlineStr">
        <is>
          <t>UDDEVALLA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45895</v>
      </c>
      <c r="E110" s="1" t="n">
        <v>46226</v>
      </c>
      <c r="F110" t="inlineStr">
        <is>
          <t>VÄSTRA GÖTALANDS LÄN</t>
        </is>
      </c>
      <c r="G110" t="inlineStr">
        <is>
          <t>UDDEVALLA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46226</v>
      </c>
      <c r="F111" t="inlineStr">
        <is>
          <t>VÄSTRA GÖTALANDS LÄN</t>
        </is>
      </c>
      <c r="G111" t="inlineStr">
        <is>
          <t>UDDEVALLA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10436-2026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46076</v>
      </c>
      <c r="E112" s="1" t="n">
        <v>46226</v>
      </c>
      <c r="F112" t="inlineStr">
        <is>
          <t>VÄSTRA GÖTALANDS LÄN</t>
        </is>
      </c>
      <c r="G112" t="inlineStr">
        <is>
          <t>UDDEVALLA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46226</v>
      </c>
      <c r="F113" t="inlineStr">
        <is>
          <t>VÄSTRA GÖTALANDS LÄN</t>
        </is>
      </c>
      <c r="G113" t="inlineStr">
        <is>
          <t>UDDEVALLA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11465-2026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46083</v>
      </c>
      <c r="E114" s="1" t="n">
        <v>46226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Kyrkan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46226</v>
      </c>
      <c r="F115" t="inlineStr">
        <is>
          <t>VÄSTRA GÖTALANDS LÄN</t>
        </is>
      </c>
      <c r="G115" t="inlineStr">
        <is>
          <t>UDDEVALLA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46226</v>
      </c>
      <c r="F116" t="inlineStr">
        <is>
          <t>VÄSTRA GÖTALANDS LÄN</t>
        </is>
      </c>
      <c r="G116" t="inlineStr">
        <is>
          <t>UDDEVALLA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46226</v>
      </c>
      <c r="F117" t="inlineStr">
        <is>
          <t>VÄSTRA GÖTALANDS LÄN</t>
        </is>
      </c>
      <c r="G117" t="inlineStr">
        <is>
          <t>UDDEVALLA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12555-2026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46090</v>
      </c>
      <c r="E118" s="1" t="n">
        <v>46226</v>
      </c>
      <c r="F118" t="inlineStr">
        <is>
          <t>VÄSTRA GÖTALANDS LÄN</t>
        </is>
      </c>
      <c r="G118" t="inlineStr">
        <is>
          <t>UDDEVALLA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46226</v>
      </c>
      <c r="F119" t="inlineStr">
        <is>
          <t>VÄSTRA GÖTALANDS LÄN</t>
        </is>
      </c>
      <c r="G119" t="inlineStr">
        <is>
          <t>UDDEVALLA</t>
        </is>
      </c>
      <c r="H119" t="inlineStr">
        <is>
          <t>Kyrkan</t>
        </is>
      </c>
      <c r="I119" t="n">
        <v>16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46226</v>
      </c>
      <c r="F120" t="inlineStr">
        <is>
          <t>VÄSTRA GÖTALANDS LÄN</t>
        </is>
      </c>
      <c r="G120" t="inlineStr">
        <is>
          <t>UDDEVALLA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46226</v>
      </c>
      <c r="F121" t="inlineStr">
        <is>
          <t>VÄSTRA GÖTALANDS LÄN</t>
        </is>
      </c>
      <c r="G121" t="inlineStr">
        <is>
          <t>UDDEVALLA</t>
        </is>
      </c>
      <c r="H121" t="inlineStr">
        <is>
          <t>Kyrkan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46226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46226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Kyrkan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46226</v>
      </c>
      <c r="F124" t="inlineStr">
        <is>
          <t>VÄSTRA GÖTALANDS LÄN</t>
        </is>
      </c>
      <c r="G124" t="inlineStr">
        <is>
          <t>UDDEVALLA</t>
        </is>
      </c>
      <c r="H124" t="inlineStr">
        <is>
          <t>Kyrkan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46226</v>
      </c>
      <c r="F125" t="inlineStr">
        <is>
          <t>VÄSTRA GÖTALANDS LÄN</t>
        </is>
      </c>
      <c r="G125" t="inlineStr">
        <is>
          <t>UDDEVALLA</t>
        </is>
      </c>
      <c r="H125" t="inlineStr">
        <is>
          <t>Kyrkan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46226</v>
      </c>
      <c r="F126" t="inlineStr">
        <is>
          <t>VÄSTRA GÖTALANDS LÄN</t>
        </is>
      </c>
      <c r="G126" t="inlineStr">
        <is>
          <t>UDDEVALLA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46226</v>
      </c>
      <c r="F127" t="inlineStr">
        <is>
          <t>VÄSTRA GÖTALANDS LÄN</t>
        </is>
      </c>
      <c r="G127" t="inlineStr">
        <is>
          <t>UDDEVALLA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46226</v>
      </c>
      <c r="F128" t="inlineStr">
        <is>
          <t>VÄSTRA GÖTALANDS LÄN</t>
        </is>
      </c>
      <c r="G128" t="inlineStr">
        <is>
          <t>UDDEVALLA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46226</v>
      </c>
      <c r="F129" t="inlineStr">
        <is>
          <t>VÄSTRA GÖTALANDS LÄN</t>
        </is>
      </c>
      <c r="G129" t="inlineStr">
        <is>
          <t>UDDEVALLA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44086-2025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45914</v>
      </c>
      <c r="E130" s="1" t="n">
        <v>46226</v>
      </c>
      <c r="F130" t="inlineStr">
        <is>
          <t>VÄSTRA GÖTALANDS LÄN</t>
        </is>
      </c>
      <c r="G130" t="inlineStr">
        <is>
          <t>UDDEVALLA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40037-2021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44418</v>
      </c>
      <c r="E131" s="1" t="n">
        <v>46226</v>
      </c>
      <c r="F131" t="inlineStr">
        <is>
          <t>VÄSTRA GÖTALANDS LÄN</t>
        </is>
      </c>
      <c r="G131" t="inlineStr">
        <is>
          <t>UDDEVALLA</t>
        </is>
      </c>
      <c r="I131" t="n">
        <v>10.3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36236-2023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45150</v>
      </c>
      <c r="E132" s="1" t="n">
        <v>46226</v>
      </c>
      <c r="F132" t="inlineStr">
        <is>
          <t>VÄSTRA GÖTALANDS LÄN</t>
        </is>
      </c>
      <c r="G132" t="inlineStr">
        <is>
          <t>UDDEVALLA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46226</v>
      </c>
      <c r="F133" t="inlineStr">
        <is>
          <t>VÄSTRA GÖTALANDS LÄN</t>
        </is>
      </c>
      <c r="G133" t="inlineStr">
        <is>
          <t>UDDEVALLA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45826</v>
      </c>
      <c r="E134" s="1" t="n">
        <v>46226</v>
      </c>
      <c r="F134" t="inlineStr">
        <is>
          <t>VÄSTRA GÖTALANDS LÄN</t>
        </is>
      </c>
      <c r="G134" t="inlineStr">
        <is>
          <t>UDDEVALLA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46226</v>
      </c>
      <c r="F135" t="inlineStr">
        <is>
          <t>VÄSTRA GÖTALANDS LÄN</t>
        </is>
      </c>
      <c r="G135" t="inlineStr">
        <is>
          <t>UDDEVALLA</t>
        </is>
      </c>
      <c r="I135" t="n">
        <v>19.4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46226</v>
      </c>
      <c r="F136" t="inlineStr">
        <is>
          <t>VÄSTRA GÖTALANDS LÄN</t>
        </is>
      </c>
      <c r="G136" t="inlineStr">
        <is>
          <t>UDDEVALLA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46226</v>
      </c>
      <c r="F137" t="inlineStr">
        <is>
          <t>VÄSTRA GÖTALANDS LÄN</t>
        </is>
      </c>
      <c r="G137" t="inlineStr">
        <is>
          <t>UDDEVALLA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46226</v>
      </c>
      <c r="F138" t="inlineStr">
        <is>
          <t>VÄSTRA GÖTALANDS LÄN</t>
        </is>
      </c>
      <c r="G138" t="inlineStr">
        <is>
          <t>UDDEVALLA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46226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15674-2026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46226</v>
      </c>
      <c r="F140" t="inlineStr">
        <is>
          <t>VÄSTRA GÖTALANDS LÄN</t>
        </is>
      </c>
      <c r="G140" t="inlineStr">
        <is>
          <t>UDDEVALLA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46226</v>
      </c>
      <c r="F141" t="inlineStr">
        <is>
          <t>VÄSTRA GÖTALANDS LÄN</t>
        </is>
      </c>
      <c r="G141" t="inlineStr">
        <is>
          <t>UDDEVALLA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46226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46226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46226</v>
      </c>
      <c r="F144" t="inlineStr">
        <is>
          <t>VÄSTRA GÖTALANDS LÄN</t>
        </is>
      </c>
      <c r="G144" t="inlineStr">
        <is>
          <t>UDDEVALLA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46226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46226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46226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46226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16819-2026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46113</v>
      </c>
      <c r="E149" s="1" t="n">
        <v>46226</v>
      </c>
      <c r="F149" t="inlineStr">
        <is>
          <t>VÄSTRA GÖTALANDS LÄN</t>
        </is>
      </c>
      <c r="G149" t="inlineStr">
        <is>
          <t>UDDEVALLA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60241-2024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45642</v>
      </c>
      <c r="E150" s="1" t="n">
        <v>46226</v>
      </c>
      <c r="F150" t="inlineStr">
        <is>
          <t>VÄSTRA GÖTALANDS LÄN</t>
        </is>
      </c>
      <c r="G150" t="inlineStr">
        <is>
          <t>UDDEVALLA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16929-2026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46226</v>
      </c>
      <c r="F151" t="inlineStr">
        <is>
          <t>VÄSTRA GÖTALANDS LÄN</t>
        </is>
      </c>
      <c r="G151" t="inlineStr">
        <is>
          <t>UDDEVALLA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46226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46226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46226</v>
      </c>
      <c r="F154" t="inlineStr">
        <is>
          <t>VÄSTRA GÖTALANDS LÄN</t>
        </is>
      </c>
      <c r="G154" t="inlineStr">
        <is>
          <t>UDDEVALLA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46120</v>
      </c>
      <c r="E155" s="1" t="n">
        <v>46226</v>
      </c>
      <c r="F155" t="inlineStr">
        <is>
          <t>VÄSTRA GÖTALANDS LÄN</t>
        </is>
      </c>
      <c r="G155" t="inlineStr">
        <is>
          <t>UDDEVALLA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44834</v>
      </c>
      <c r="E156" s="1" t="n">
        <v>46226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46226</v>
      </c>
      <c r="F157" t="inlineStr">
        <is>
          <t>VÄSTRA GÖTALANDS LÄN</t>
        </is>
      </c>
      <c r="G157" t="inlineStr">
        <is>
          <t>UDDEVALLA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46226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46226</v>
      </c>
      <c r="F159" t="inlineStr">
        <is>
          <t>VÄSTRA GÖTALANDS LÄN</t>
        </is>
      </c>
      <c r="G159" t="inlineStr">
        <is>
          <t>UDDEVALLA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46226</v>
      </c>
      <c r="F160" t="inlineStr">
        <is>
          <t>VÄSTRA GÖTALANDS LÄN</t>
        </is>
      </c>
      <c r="G160" t="inlineStr">
        <is>
          <t>UDDEVALLA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46226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46226</v>
      </c>
      <c r="F162" t="inlineStr">
        <is>
          <t>VÄSTRA GÖTALANDS LÄN</t>
        </is>
      </c>
      <c r="G162" t="inlineStr">
        <is>
          <t>UDDEVALLA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46226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46226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46226</v>
      </c>
      <c r="F165" t="inlineStr">
        <is>
          <t>VÄSTRA GÖTALANDS LÄN</t>
        </is>
      </c>
      <c r="G165" t="inlineStr">
        <is>
          <t>UDDEVALLA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46226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46226</v>
      </c>
      <c r="F167" t="inlineStr">
        <is>
          <t>VÄSTRA GÖTALANDS LÄN</t>
        </is>
      </c>
      <c r="G167" t="inlineStr">
        <is>
          <t>UDDEVALLA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46226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46226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46128</v>
      </c>
      <c r="E170" s="1" t="n">
        <v>46226</v>
      </c>
      <c r="F170" t="inlineStr">
        <is>
          <t>VÄSTRA GÖTALANDS LÄN</t>
        </is>
      </c>
      <c r="G170" t="inlineStr">
        <is>
          <t>UDDEVALLA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17727-2026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46226</v>
      </c>
      <c r="F171" t="inlineStr">
        <is>
          <t>VÄSTRA GÖTALANDS LÄN</t>
        </is>
      </c>
      <c r="G171" t="inlineStr">
        <is>
          <t>UDDEVALLA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46226</v>
      </c>
      <c r="F172" t="inlineStr">
        <is>
          <t>VÄSTRA GÖTALANDS LÄN</t>
        </is>
      </c>
      <c r="G172" t="inlineStr">
        <is>
          <t>UDDEVALLA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46226</v>
      </c>
      <c r="F173" t="inlineStr">
        <is>
          <t>VÄSTRA GÖTALANDS LÄN</t>
        </is>
      </c>
      <c r="G173" t="inlineStr">
        <is>
          <t>UDDEVALLA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45843</v>
      </c>
      <c r="E174" s="1" t="n">
        <v>46226</v>
      </c>
      <c r="F174" t="inlineStr">
        <is>
          <t>VÄSTRA GÖTALANDS LÄN</t>
        </is>
      </c>
      <c r="G174" t="inlineStr">
        <is>
          <t>UDDEVALLA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44715</v>
      </c>
      <c r="E175" s="1" t="n">
        <v>46226</v>
      </c>
      <c r="F175" t="inlineStr">
        <is>
          <t>VÄSTRA GÖTALANDS LÄN</t>
        </is>
      </c>
      <c r="G175" t="inlineStr">
        <is>
          <t>UDDEVALLA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46226</v>
      </c>
      <c r="F176" t="inlineStr">
        <is>
          <t>VÄSTRA GÖTALANDS LÄN</t>
        </is>
      </c>
      <c r="G176" t="inlineStr">
        <is>
          <t>UDDEVALLA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45907</v>
      </c>
      <c r="E177" s="1" t="n">
        <v>46226</v>
      </c>
      <c r="F177" t="inlineStr">
        <is>
          <t>VÄSTRA GÖTALANDS LÄN</t>
        </is>
      </c>
      <c r="G177" t="inlineStr">
        <is>
          <t>UDDEVALLA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45847</v>
      </c>
      <c r="E178" s="1" t="n">
        <v>46226</v>
      </c>
      <c r="F178" t="inlineStr">
        <is>
          <t>VÄSTRA GÖTALANDS LÄN</t>
        </is>
      </c>
      <c r="G178" t="inlineStr">
        <is>
          <t>UDDEVALLA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46226</v>
      </c>
      <c r="F179" t="inlineStr">
        <is>
          <t>VÄSTRA GÖTALANDS LÄN</t>
        </is>
      </c>
      <c r="G179" t="inlineStr">
        <is>
          <t>UDDEVALLA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64083-2023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46226</v>
      </c>
      <c r="F180" t="inlineStr">
        <is>
          <t>VÄSTRA GÖTALANDS LÄN</t>
        </is>
      </c>
      <c r="G180" t="inlineStr">
        <is>
          <t>UDDEVALLA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46226</v>
      </c>
      <c r="F181" t="inlineStr">
        <is>
          <t>VÄSTRA GÖTALANDS LÄN</t>
        </is>
      </c>
      <c r="G181" t="inlineStr">
        <is>
          <t>UDDEVALLA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45656</v>
      </c>
      <c r="E182" s="1" t="n">
        <v>46226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46226</v>
      </c>
      <c r="F183" t="inlineStr">
        <is>
          <t>VÄSTRA GÖTALANDS LÄN</t>
        </is>
      </c>
      <c r="G183" t="inlineStr">
        <is>
          <t>UDDEVALLA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46226</v>
      </c>
      <c r="F184" t="inlineStr">
        <is>
          <t>VÄSTRA GÖTALANDS LÄN</t>
        </is>
      </c>
      <c r="G184" t="inlineStr">
        <is>
          <t>UDDEVALLA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46226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46226</v>
      </c>
      <c r="F186" t="inlineStr">
        <is>
          <t>VÄSTRA GÖTALANDS LÄN</t>
        </is>
      </c>
      <c r="G186" t="inlineStr">
        <is>
          <t>UDDEVALLA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46226</v>
      </c>
      <c r="F187" t="inlineStr">
        <is>
          <t>VÄSTRA GÖTALANDS LÄN</t>
        </is>
      </c>
      <c r="G187" t="inlineStr">
        <is>
          <t>UDDEVALLA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46226</v>
      </c>
      <c r="F188" t="inlineStr">
        <is>
          <t>VÄSTRA GÖTALANDS LÄN</t>
        </is>
      </c>
      <c r="G188" t="inlineStr">
        <is>
          <t>UDDEVALLA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46226</v>
      </c>
      <c r="F189" t="inlineStr">
        <is>
          <t>VÄSTRA GÖTALANDS LÄN</t>
        </is>
      </c>
      <c r="G189" t="inlineStr">
        <is>
          <t>UDDEVALLA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1147-2024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45302</v>
      </c>
      <c r="E190" s="1" t="n">
        <v>46226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46226</v>
      </c>
      <c r="F191" t="inlineStr">
        <is>
          <t>VÄSTRA GÖTALANDS LÄN</t>
        </is>
      </c>
      <c r="G191" t="inlineStr">
        <is>
          <t>UDDEVALLA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46226</v>
      </c>
      <c r="F192" t="inlineStr">
        <is>
          <t>VÄSTRA GÖTALANDS LÄN</t>
        </is>
      </c>
      <c r="G192" t="inlineStr">
        <is>
          <t>UDDEVALLA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46226</v>
      </c>
      <c r="F193" t="inlineStr">
        <is>
          <t>VÄSTRA GÖTALANDS LÄN</t>
        </is>
      </c>
      <c r="G193" t="inlineStr">
        <is>
          <t>UDDEVALLA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45583</v>
      </c>
      <c r="E194" s="1" t="n">
        <v>46226</v>
      </c>
      <c r="F194" t="inlineStr">
        <is>
          <t>VÄSTRA GÖTALANDS LÄN</t>
        </is>
      </c>
      <c r="G194" t="inlineStr">
        <is>
          <t>UDDEVALLA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46226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46226</v>
      </c>
      <c r="F196" t="inlineStr">
        <is>
          <t>VÄSTRA GÖTALANDS LÄN</t>
        </is>
      </c>
      <c r="G196" t="inlineStr">
        <is>
          <t>UDDEVALLA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46226</v>
      </c>
      <c r="F197" t="inlineStr">
        <is>
          <t>VÄSTRA GÖTALANDS LÄN</t>
        </is>
      </c>
      <c r="G197" t="inlineStr">
        <is>
          <t>UDDEVALLA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46226</v>
      </c>
      <c r="F198" t="inlineStr">
        <is>
          <t>VÄSTRA GÖTALANDS LÄN</t>
        </is>
      </c>
      <c r="G198" t="inlineStr">
        <is>
          <t>UDDEVALLA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46226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20401-2026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46139</v>
      </c>
      <c r="E200" s="1" t="n">
        <v>46226</v>
      </c>
      <c r="F200" t="inlineStr">
        <is>
          <t>VÄSTRA GÖTALANDS LÄN</t>
        </is>
      </c>
      <c r="G200" t="inlineStr">
        <is>
          <t>UDDEVALLA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45226</v>
      </c>
      <c r="E201" s="1" t="n">
        <v>46226</v>
      </c>
      <c r="F201" t="inlineStr">
        <is>
          <t>VÄSTRA GÖTALANDS LÄN</t>
        </is>
      </c>
      <c r="G201" t="inlineStr">
        <is>
          <t>UDDEVALLA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46226</v>
      </c>
      <c r="F202" t="inlineStr">
        <is>
          <t>VÄSTRA GÖTALANDS LÄN</t>
        </is>
      </c>
      <c r="G202" t="inlineStr">
        <is>
          <t>UDDEVALLA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46226</v>
      </c>
      <c r="F203" t="inlineStr">
        <is>
          <t>VÄSTRA GÖTALANDS LÄN</t>
        </is>
      </c>
      <c r="G203" t="inlineStr">
        <is>
          <t>UDDEVALLA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46226</v>
      </c>
      <c r="F204" t="inlineStr">
        <is>
          <t>VÄSTRA GÖTALANDS LÄN</t>
        </is>
      </c>
      <c r="G204" t="inlineStr">
        <is>
          <t>UDDEVALLA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46226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46226</v>
      </c>
      <c r="F206" t="inlineStr">
        <is>
          <t>VÄSTRA GÖTALANDS LÄN</t>
        </is>
      </c>
      <c r="G206" t="inlineStr">
        <is>
          <t>UDDEVALLA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73007-2021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46226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44683</v>
      </c>
      <c r="E208" s="1" t="n">
        <v>46226</v>
      </c>
      <c r="F208" t="inlineStr">
        <is>
          <t>VÄSTRA GÖTALANDS LÄN</t>
        </is>
      </c>
      <c r="G208" t="inlineStr">
        <is>
          <t>UDDEVALLA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46226</v>
      </c>
      <c r="F209" t="inlineStr">
        <is>
          <t>VÄSTRA GÖTALANDS LÄN</t>
        </is>
      </c>
      <c r="G209" t="inlineStr">
        <is>
          <t>UDDEVALLA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46226</v>
      </c>
      <c r="F210" t="inlineStr">
        <is>
          <t>VÄSTRA GÖTALANDS LÄN</t>
        </is>
      </c>
      <c r="G210" t="inlineStr">
        <is>
          <t>UDDEVALLA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46226</v>
      </c>
      <c r="F211" t="inlineStr">
        <is>
          <t>VÄSTRA GÖTALANDS LÄN</t>
        </is>
      </c>
      <c r="G211" t="inlineStr">
        <is>
          <t>UDDEVALLA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46226</v>
      </c>
      <c r="F212" t="inlineStr">
        <is>
          <t>VÄSTRA GÖTALANDS LÄN</t>
        </is>
      </c>
      <c r="G212" t="inlineStr">
        <is>
          <t>UDDEVALLA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45672</v>
      </c>
      <c r="E213" s="1" t="n">
        <v>46226</v>
      </c>
      <c r="F213" t="inlineStr">
        <is>
          <t>VÄSTRA GÖTALANDS LÄN</t>
        </is>
      </c>
      <c r="G213" t="inlineStr">
        <is>
          <t>UDDEVALLA</t>
        </is>
      </c>
      <c r="I213" t="n">
        <v>14.1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45771</v>
      </c>
      <c r="E214" s="1" t="n">
        <v>46226</v>
      </c>
      <c r="F214" t="inlineStr">
        <is>
          <t>VÄSTRA GÖTALANDS LÄN</t>
        </is>
      </c>
      <c r="G214" t="inlineStr">
        <is>
          <t>UDDEVALLA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46147</v>
      </c>
      <c r="E215" s="1" t="n">
        <v>46226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46026</v>
      </c>
      <c r="E216" s="1" t="n">
        <v>46226</v>
      </c>
      <c r="F216" t="inlineStr">
        <is>
          <t>VÄSTRA GÖTALANDS LÄN</t>
        </is>
      </c>
      <c r="G216" t="inlineStr">
        <is>
          <t>UDDEVALLA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46027</v>
      </c>
      <c r="E217" s="1" t="n">
        <v>46226</v>
      </c>
      <c r="F217" t="inlineStr">
        <is>
          <t>VÄSTRA GÖTALANDS LÄN</t>
        </is>
      </c>
      <c r="G217" t="inlineStr">
        <is>
          <t>UDDEVALLA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46226</v>
      </c>
      <c r="F218" t="inlineStr">
        <is>
          <t>VÄSTRA GÖTALANDS LÄN</t>
        </is>
      </c>
      <c r="G218" t="inlineStr">
        <is>
          <t>UDDEVALLA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46226</v>
      </c>
      <c r="F219" t="inlineStr">
        <is>
          <t>VÄSTRA GÖTALANDS LÄN</t>
        </is>
      </c>
      <c r="G219" t="inlineStr">
        <is>
          <t>UDDEVALLA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46148</v>
      </c>
      <c r="E220" s="1" t="n">
        <v>46226</v>
      </c>
      <c r="F220" t="inlineStr">
        <is>
          <t>VÄSTRA GÖTALANDS LÄN</t>
        </is>
      </c>
      <c r="G220" t="inlineStr">
        <is>
          <t>UDDEVALLA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46226</v>
      </c>
      <c r="F221" t="inlineStr">
        <is>
          <t>VÄSTRA GÖTALANDS LÄN</t>
        </is>
      </c>
      <c r="G221" t="inlineStr">
        <is>
          <t>UDDEVALLA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46226</v>
      </c>
      <c r="F222" t="inlineStr">
        <is>
          <t>VÄSTRA GÖTALANDS LÄN</t>
        </is>
      </c>
      <c r="G222" t="inlineStr">
        <is>
          <t>UDDEVALLA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46226</v>
      </c>
      <c r="F223" t="inlineStr">
        <is>
          <t>VÄSTRA GÖTALANDS LÄN</t>
        </is>
      </c>
      <c r="G223" t="inlineStr">
        <is>
          <t>UDDEVALLA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46226</v>
      </c>
      <c r="F224" t="inlineStr">
        <is>
          <t>VÄSTRA GÖTALANDS LÄN</t>
        </is>
      </c>
      <c r="G224" t="inlineStr">
        <is>
          <t>UDDEVALLA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46226</v>
      </c>
      <c r="F225" t="inlineStr">
        <is>
          <t>VÄSTRA GÖTALANDS LÄN</t>
        </is>
      </c>
      <c r="G225" t="inlineStr">
        <is>
          <t>UDDEVALLA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46226</v>
      </c>
      <c r="F226" t="inlineStr">
        <is>
          <t>VÄSTRA GÖTALANDS LÄN</t>
        </is>
      </c>
      <c r="G226" t="inlineStr">
        <is>
          <t>UDDEVALLA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46226</v>
      </c>
      <c r="F227" t="inlineStr">
        <is>
          <t>VÄSTRA GÖTALANDS LÄN</t>
        </is>
      </c>
      <c r="G227" t="inlineStr">
        <is>
          <t>UDDEVALLA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45672</v>
      </c>
      <c r="E228" s="1" t="n">
        <v>46226</v>
      </c>
      <c r="F228" t="inlineStr">
        <is>
          <t>VÄSTRA GÖTALANDS LÄN</t>
        </is>
      </c>
      <c r="G228" t="inlineStr">
        <is>
          <t>UDDEVALLA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46226</v>
      </c>
      <c r="F229" t="inlineStr">
        <is>
          <t>VÄSTRA GÖTALANDS LÄN</t>
        </is>
      </c>
      <c r="G229" t="inlineStr">
        <is>
          <t>UDDEVALLA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45664</v>
      </c>
      <c r="E230" s="1" t="n">
        <v>46226</v>
      </c>
      <c r="F230" t="inlineStr">
        <is>
          <t>VÄSTRA GÖTALANDS LÄN</t>
        </is>
      </c>
      <c r="G230" t="inlineStr">
        <is>
          <t>UDDEVALLA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46226</v>
      </c>
      <c r="F231" t="inlineStr">
        <is>
          <t>VÄSTRA GÖTALANDS LÄN</t>
        </is>
      </c>
      <c r="G231" t="inlineStr">
        <is>
          <t>UDDEVALLA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46226</v>
      </c>
      <c r="F232" t="inlineStr">
        <is>
          <t>VÄSTRA GÖTALANDS LÄN</t>
        </is>
      </c>
      <c r="G232" t="inlineStr">
        <is>
          <t>UDDEVALLA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46226</v>
      </c>
      <c r="F233" t="inlineStr">
        <is>
          <t>VÄSTRA GÖTALANDS LÄN</t>
        </is>
      </c>
      <c r="G233" t="inlineStr">
        <is>
          <t>UDDEVALLA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46226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45314</v>
      </c>
      <c r="E235" s="1" t="n">
        <v>46226</v>
      </c>
      <c r="F235" t="inlineStr">
        <is>
          <t>VÄSTRA GÖTALANDS LÄN</t>
        </is>
      </c>
      <c r="G235" t="inlineStr">
        <is>
          <t>UDDEVALLA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45374</v>
      </c>
      <c r="E236" s="1" t="n">
        <v>46226</v>
      </c>
      <c r="F236" t="inlineStr">
        <is>
          <t>VÄSTRA GÖTALANDS LÄN</t>
        </is>
      </c>
      <c r="G236" t="inlineStr">
        <is>
          <t>UDDEVALLA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45309</v>
      </c>
      <c r="E237" s="1" t="n">
        <v>46226</v>
      </c>
      <c r="F237" t="inlineStr">
        <is>
          <t>VÄSTRA GÖTALANDS LÄN</t>
        </is>
      </c>
      <c r="G237" t="inlineStr">
        <is>
          <t>UDDEVALLA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46226</v>
      </c>
      <c r="F238" t="inlineStr">
        <is>
          <t>VÄSTRA GÖTALANDS LÄN</t>
        </is>
      </c>
      <c r="G238" t="inlineStr">
        <is>
          <t>UDDEVALLA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45456</v>
      </c>
      <c r="E239" s="1" t="n">
        <v>46226</v>
      </c>
      <c r="F239" t="inlineStr">
        <is>
          <t>VÄSTRA GÖTALANDS LÄN</t>
        </is>
      </c>
      <c r="G239" t="inlineStr">
        <is>
          <t>UDDEVALLA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38557-2022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44813</v>
      </c>
      <c r="E240" s="1" t="n">
        <v>46226</v>
      </c>
      <c r="F240" t="inlineStr">
        <is>
          <t>VÄSTRA GÖTALANDS LÄN</t>
        </is>
      </c>
      <c r="G240" t="inlineStr">
        <is>
          <t>UDDEVALLA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46226</v>
      </c>
      <c r="F241" t="inlineStr">
        <is>
          <t>VÄSTRA GÖTALANDS LÄN</t>
        </is>
      </c>
      <c r="G241" t="inlineStr">
        <is>
          <t>UDDEVALLA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45303</v>
      </c>
      <c r="E242" s="1" t="n">
        <v>46226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46226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Övriga statliga verk och myndigheter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46226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46226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73437-2021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44551</v>
      </c>
      <c r="E246" s="1" t="n">
        <v>46226</v>
      </c>
      <c r="F246" t="inlineStr">
        <is>
          <t>VÄSTRA GÖTALANDS LÄN</t>
        </is>
      </c>
      <c r="G246" t="inlineStr">
        <is>
          <t>UDDEVALLA</t>
        </is>
      </c>
      <c r="I246" t="n">
        <v>8.1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44924</v>
      </c>
      <c r="E247" s="1" t="n">
        <v>46226</v>
      </c>
      <c r="F247" t="inlineStr">
        <is>
          <t>VÄSTRA GÖTALANDS LÄN</t>
        </is>
      </c>
      <c r="G247" t="inlineStr">
        <is>
          <t>UDDEVALLA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46226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46211</v>
      </c>
      <c r="E249" s="1" t="n">
        <v>46226</v>
      </c>
      <c r="F249" t="inlineStr">
        <is>
          <t>VÄSTRA GÖTALANDS LÄN</t>
        </is>
      </c>
      <c r="G249" t="inlineStr">
        <is>
          <t>UDDEVALLA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46226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46226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Kommuner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46226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46212</v>
      </c>
      <c r="E253" s="1" t="n">
        <v>46226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45495</v>
      </c>
      <c r="E254" s="1" t="n">
        <v>46226</v>
      </c>
      <c r="F254" t="inlineStr">
        <is>
          <t>VÄSTRA GÖTALANDS LÄN</t>
        </is>
      </c>
      <c r="G254" t="inlineStr">
        <is>
          <t>UDDEVALLA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46226</v>
      </c>
      <c r="F255" t="inlineStr">
        <is>
          <t>VÄSTRA GÖTALANDS LÄN</t>
        </is>
      </c>
      <c r="G255" t="inlineStr">
        <is>
          <t>UDDEVALLA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46174</v>
      </c>
      <c r="E256" s="1" t="n">
        <v>46226</v>
      </c>
      <c r="F256" t="inlineStr">
        <is>
          <t>VÄSTRA GÖTALANDS LÄN</t>
        </is>
      </c>
      <c r="G256" t="inlineStr">
        <is>
          <t>UDDEVALLA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46226</v>
      </c>
      <c r="F257" t="inlineStr">
        <is>
          <t>VÄSTRA GÖTALANDS LÄN</t>
        </is>
      </c>
      <c r="G257" t="inlineStr">
        <is>
          <t>UDDEVALLA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46226</v>
      </c>
      <c r="F258" t="inlineStr">
        <is>
          <t>VÄSTRA GÖTALANDS LÄN</t>
        </is>
      </c>
      <c r="G258" t="inlineStr">
        <is>
          <t>UDDEVALLA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8893-2024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45355</v>
      </c>
      <c r="E259" s="1" t="n">
        <v>46226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Kyrkan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46226</v>
      </c>
      <c r="F260" t="inlineStr">
        <is>
          <t>VÄSTRA GÖTALANDS LÄN</t>
        </is>
      </c>
      <c r="G260" t="inlineStr">
        <is>
          <t>UDDEVALLA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2306-2022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44578</v>
      </c>
      <c r="E261" s="1" t="n">
        <v>46226</v>
      </c>
      <c r="F261" t="inlineStr">
        <is>
          <t>VÄSTRA GÖTALANDS LÄN</t>
        </is>
      </c>
      <c r="G261" t="inlineStr">
        <is>
          <t>UDDEVALLA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46222</v>
      </c>
      <c r="E262" s="1" t="n">
        <v>46226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46226</v>
      </c>
      <c r="F263" t="inlineStr">
        <is>
          <t>VÄSTRA GÖTALANDS LÄN</t>
        </is>
      </c>
      <c r="G263" t="inlineStr">
        <is>
          <t>UDDEVALLA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46226</v>
      </c>
      <c r="F264" t="inlineStr">
        <is>
          <t>VÄSTRA GÖTALANDS LÄN</t>
        </is>
      </c>
      <c r="G264" t="inlineStr">
        <is>
          <t>UDDEVALLA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46226</v>
      </c>
      <c r="F265" t="inlineStr">
        <is>
          <t>VÄSTRA GÖTALANDS LÄN</t>
        </is>
      </c>
      <c r="G265" t="inlineStr">
        <is>
          <t>UDDEVALLA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45463</v>
      </c>
      <c r="E266" s="1" t="n">
        <v>46226</v>
      </c>
      <c r="F266" t="inlineStr">
        <is>
          <t>VÄSTRA GÖTALANDS LÄN</t>
        </is>
      </c>
      <c r="G266" t="inlineStr">
        <is>
          <t>UDDEVALLA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46181</v>
      </c>
      <c r="E267" s="1" t="n">
        <v>46226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Kommuner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46226</v>
      </c>
      <c r="F268" t="inlineStr">
        <is>
          <t>VÄSTRA GÖTALANDS LÄN</t>
        </is>
      </c>
      <c r="G268" t="inlineStr">
        <is>
          <t>UDDEVALLA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46226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7726-2024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45349</v>
      </c>
      <c r="E270" s="1" t="n">
        <v>46226</v>
      </c>
      <c r="F270" t="inlineStr">
        <is>
          <t>VÄSTRA GÖTALANDS LÄN</t>
        </is>
      </c>
      <c r="G270" t="inlineStr">
        <is>
          <t>UDDEVALLA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46226</v>
      </c>
      <c r="F271" t="inlineStr">
        <is>
          <t>VÄSTRA GÖTALANDS LÄN</t>
        </is>
      </c>
      <c r="G271" t="inlineStr">
        <is>
          <t>UDDEVALLA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46226</v>
      </c>
      <c r="F272" t="inlineStr">
        <is>
          <t>VÄSTRA GÖTALANDS LÄN</t>
        </is>
      </c>
      <c r="G272" t="inlineStr">
        <is>
          <t>UDDEVALLA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46226</v>
      </c>
      <c r="F273" t="inlineStr">
        <is>
          <t>VÄSTRA GÖTALANDS LÄN</t>
        </is>
      </c>
      <c r="G273" t="inlineStr">
        <is>
          <t>UDDEVALLA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46226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46226</v>
      </c>
      <c r="F275" t="inlineStr">
        <is>
          <t>VÄSTRA GÖTALANDS LÄN</t>
        </is>
      </c>
      <c r="G275" t="inlineStr">
        <is>
          <t>UDDEVALLA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46226</v>
      </c>
      <c r="F276" t="inlineStr">
        <is>
          <t>VÄSTRA GÖTALANDS LÄN</t>
        </is>
      </c>
      <c r="G276" t="inlineStr">
        <is>
          <t>UDDEVALLA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44733</v>
      </c>
      <c r="E277" s="1" t="n">
        <v>46226</v>
      </c>
      <c r="F277" t="inlineStr">
        <is>
          <t>VÄSTRA GÖTALANDS LÄN</t>
        </is>
      </c>
      <c r="G277" t="inlineStr">
        <is>
          <t>UDDEVALLA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63878-2021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44509</v>
      </c>
      <c r="E278" s="1" t="n">
        <v>46226</v>
      </c>
      <c r="F278" t="inlineStr">
        <is>
          <t>VÄSTRA GÖTALANDS LÄN</t>
        </is>
      </c>
      <c r="G278" t="inlineStr">
        <is>
          <t>UDDEVALLA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6875-2022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44602</v>
      </c>
      <c r="E279" s="1" t="n">
        <v>46226</v>
      </c>
      <c r="F279" t="inlineStr">
        <is>
          <t>VÄSTRA GÖTALANDS LÄN</t>
        </is>
      </c>
      <c r="G279" t="inlineStr">
        <is>
          <t>UDDEVALLA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46226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46226</v>
      </c>
      <c r="F281" t="inlineStr">
        <is>
          <t>VÄSTRA GÖTALANDS LÄN</t>
        </is>
      </c>
      <c r="G281" t="inlineStr">
        <is>
          <t>UDDEVALLA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46226</v>
      </c>
      <c r="F282" t="inlineStr">
        <is>
          <t>VÄSTRA GÖTALANDS LÄN</t>
        </is>
      </c>
      <c r="G282" t="inlineStr">
        <is>
          <t>UDDEVALLA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46226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46226</v>
      </c>
      <c r="F284" t="inlineStr">
        <is>
          <t>VÄSTRA GÖTALANDS LÄN</t>
        </is>
      </c>
      <c r="G284" t="inlineStr">
        <is>
          <t>UDDEVALLA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17058-2025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45754</v>
      </c>
      <c r="E285" s="1" t="n">
        <v>46226</v>
      </c>
      <c r="F285" t="inlineStr">
        <is>
          <t>VÄSTRA GÖTALANDS LÄN</t>
        </is>
      </c>
      <c r="G285" t="inlineStr">
        <is>
          <t>UDDEVALLA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58625-2024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45635</v>
      </c>
      <c r="E286" s="1" t="n">
        <v>46226</v>
      </c>
      <c r="F286" t="inlineStr">
        <is>
          <t>VÄSTRA GÖTALANDS LÄN</t>
        </is>
      </c>
      <c r="G286" t="inlineStr">
        <is>
          <t>UDDEVALLA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45758</v>
      </c>
      <c r="E287" s="1" t="n">
        <v>46226</v>
      </c>
      <c r="F287" t="inlineStr">
        <is>
          <t>VÄSTRA GÖTALANDS LÄN</t>
        </is>
      </c>
      <c r="G287" t="inlineStr">
        <is>
          <t>UDDEVALLA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46226</v>
      </c>
      <c r="F288" t="inlineStr">
        <is>
          <t>VÄSTRA GÖTALANDS LÄN</t>
        </is>
      </c>
      <c r="G288" t="inlineStr">
        <is>
          <t>UDDEVALLA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46226</v>
      </c>
      <c r="F289" t="inlineStr">
        <is>
          <t>VÄSTRA GÖTALANDS LÄN</t>
        </is>
      </c>
      <c r="G289" t="inlineStr">
        <is>
          <t>UDDEVALLA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46226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44655</v>
      </c>
      <c r="E291" s="1" t="n">
        <v>46226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45238</v>
      </c>
      <c r="E292" s="1" t="n">
        <v>46226</v>
      </c>
      <c r="F292" t="inlineStr">
        <is>
          <t>VÄSTRA GÖTALANDS LÄN</t>
        </is>
      </c>
      <c r="G292" t="inlineStr">
        <is>
          <t>UDDEVALLA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19982-2025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46226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46226</v>
      </c>
      <c r="F294" t="inlineStr">
        <is>
          <t>VÄSTRA GÖTALANDS LÄN</t>
        </is>
      </c>
      <c r="G294" t="inlineStr">
        <is>
          <t>UDDEVALLA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44984</v>
      </c>
      <c r="E295" s="1" t="n">
        <v>46226</v>
      </c>
      <c r="F295" t="inlineStr">
        <is>
          <t>VÄSTRA GÖTALANDS LÄN</t>
        </is>
      </c>
      <c r="G295" t="inlineStr">
        <is>
          <t>UDDEVALLA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46226</v>
      </c>
      <c r="F296" t="inlineStr">
        <is>
          <t>VÄSTRA GÖTALANDS LÄN</t>
        </is>
      </c>
      <c r="G296" t="inlineStr">
        <is>
          <t>UDDEVALLA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46226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46226</v>
      </c>
      <c r="F298" t="inlineStr">
        <is>
          <t>VÄSTRA GÖTALANDS LÄN</t>
        </is>
      </c>
      <c r="G298" t="inlineStr">
        <is>
          <t>UDDEVALLA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69198-2021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46226</v>
      </c>
      <c r="F299" t="inlineStr">
        <is>
          <t>VÄSTRA GÖTALANDS LÄN</t>
        </is>
      </c>
      <c r="G299" t="inlineStr">
        <is>
          <t>UDDEVALLA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46226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45028</v>
      </c>
      <c r="E301" s="1" t="n">
        <v>46226</v>
      </c>
      <c r="F301" t="inlineStr">
        <is>
          <t>VÄSTRA GÖTALANDS LÄN</t>
        </is>
      </c>
      <c r="G301" t="inlineStr">
        <is>
          <t>UDDEVALLA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59674-2023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45255</v>
      </c>
      <c r="E302" s="1" t="n">
        <v>46226</v>
      </c>
      <c r="F302" t="inlineStr">
        <is>
          <t>VÄSTRA GÖTALANDS LÄN</t>
        </is>
      </c>
      <c r="G302" t="inlineStr">
        <is>
          <t>UDDEVALLA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46226</v>
      </c>
      <c r="F303" t="inlineStr">
        <is>
          <t>VÄSTRA GÖTALANDS LÄN</t>
        </is>
      </c>
      <c r="G303" t="inlineStr">
        <is>
          <t>UDDEVALLA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46226</v>
      </c>
      <c r="F304" t="inlineStr">
        <is>
          <t>VÄSTRA GÖTALANDS LÄN</t>
        </is>
      </c>
      <c r="G304" t="inlineStr">
        <is>
          <t>UDDEVALLA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45205</v>
      </c>
      <c r="E305" s="1" t="n">
        <v>46226</v>
      </c>
      <c r="F305" t="inlineStr">
        <is>
          <t>VÄSTRA GÖTALANDS LÄN</t>
        </is>
      </c>
      <c r="G305" t="inlineStr">
        <is>
          <t>UDDEVALLA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45426</v>
      </c>
      <c r="E306" s="1" t="n">
        <v>46226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45484</v>
      </c>
      <c r="E307" s="1" t="n">
        <v>46226</v>
      </c>
      <c r="F307" t="inlineStr">
        <is>
          <t>VÄSTRA GÖTALANDS LÄN</t>
        </is>
      </c>
      <c r="G307" t="inlineStr">
        <is>
          <t>UDDEVALLA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46226</v>
      </c>
      <c r="F308" t="inlineStr">
        <is>
          <t>VÄSTRA GÖTALANDS LÄN</t>
        </is>
      </c>
      <c r="G308" t="inlineStr">
        <is>
          <t>UDDEVALLA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46226</v>
      </c>
      <c r="F309" t="inlineStr">
        <is>
          <t>VÄSTRA GÖTALANDS LÄN</t>
        </is>
      </c>
      <c r="G309" t="inlineStr">
        <is>
          <t>UDDEVALLA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34555-2022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44794</v>
      </c>
      <c r="E310" s="1" t="n">
        <v>46226</v>
      </c>
      <c r="F310" t="inlineStr">
        <is>
          <t>VÄSTRA GÖTALANDS LÄN</t>
        </is>
      </c>
      <c r="G310" t="inlineStr">
        <is>
          <t>UDDEVALLA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44325-2023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46226</v>
      </c>
      <c r="F311" t="inlineStr">
        <is>
          <t>VÄSTRA GÖTALANDS LÄN</t>
        </is>
      </c>
      <c r="G311" t="inlineStr">
        <is>
          <t>UDDEVALLA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46226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46226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Kyrkan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46226</v>
      </c>
      <c r="F314" t="inlineStr">
        <is>
          <t>VÄSTRA GÖTALANDS LÄN</t>
        </is>
      </c>
      <c r="G314" t="inlineStr">
        <is>
          <t>UDDEVALLA</t>
        </is>
      </c>
      <c r="I314" t="n">
        <v>13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46226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45387</v>
      </c>
      <c r="E316" s="1" t="n">
        <v>46226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45453</v>
      </c>
      <c r="E317" s="1" t="n">
        <v>46226</v>
      </c>
      <c r="F317" t="inlineStr">
        <is>
          <t>VÄSTRA GÖTALANDS LÄN</t>
        </is>
      </c>
      <c r="G317" t="inlineStr">
        <is>
          <t>UDDEVALLA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46226</v>
      </c>
      <c r="F318" t="inlineStr">
        <is>
          <t>VÄSTRA GÖTALANDS LÄN</t>
        </is>
      </c>
      <c r="G318" t="inlineStr">
        <is>
          <t>UDDEVALLA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46226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46226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44823</v>
      </c>
      <c r="E321" s="1" t="n">
        <v>46226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46226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46226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46226</v>
      </c>
      <c r="F324" t="inlineStr">
        <is>
          <t>VÄSTRA GÖTALANDS LÄN</t>
        </is>
      </c>
      <c r="G324" t="inlineStr">
        <is>
          <t>UDDEVALLA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46226</v>
      </c>
      <c r="F325" t="inlineStr">
        <is>
          <t>VÄSTRA GÖTALANDS LÄN</t>
        </is>
      </c>
      <c r="G325" t="inlineStr">
        <is>
          <t>UDDEVALLA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46226</v>
      </c>
      <c r="F326" t="inlineStr">
        <is>
          <t>VÄSTRA GÖTALANDS LÄN</t>
        </is>
      </c>
      <c r="G326" t="inlineStr">
        <is>
          <t>UDDEVALLA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46226</v>
      </c>
      <c r="F327" t="inlineStr">
        <is>
          <t>VÄSTRA GÖTALANDS LÄN</t>
        </is>
      </c>
      <c r="G327" t="inlineStr">
        <is>
          <t>UDDEVALLA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44624</v>
      </c>
      <c r="E328" s="1" t="n">
        <v>46226</v>
      </c>
      <c r="F328" t="inlineStr">
        <is>
          <t>VÄSTRA GÖTALANDS LÄN</t>
        </is>
      </c>
      <c r="G328" t="inlineStr">
        <is>
          <t>UDDEVALLA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45722</v>
      </c>
      <c r="E329" s="1" t="n">
        <v>46226</v>
      </c>
      <c r="F329" t="inlineStr">
        <is>
          <t>VÄSTRA GÖTALANDS LÄN</t>
        </is>
      </c>
      <c r="G329" t="inlineStr">
        <is>
          <t>UDDEVALLA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45551</v>
      </c>
      <c r="E330" s="1" t="n">
        <v>46226</v>
      </c>
      <c r="F330" t="inlineStr">
        <is>
          <t>VÄSTRA GÖTALANDS LÄN</t>
        </is>
      </c>
      <c r="G330" t="inlineStr">
        <is>
          <t>UDDEVALLA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46226</v>
      </c>
      <c r="F331" t="inlineStr">
        <is>
          <t>VÄSTRA GÖTALANDS LÄN</t>
        </is>
      </c>
      <c r="G331" t="inlineStr">
        <is>
          <t>UDDEVALLA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46226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46226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46226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46226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2026-07-23T01:41:58Z</dcterms:created>
  <dcterms:modified xmlns:dcterms="http://purl.org/dc/terms/" xmlns:xsi="http://www.w3.org/2001/XMLSchema-instance" xsi:type="dcterms:W3CDTF">2026-07-23T01:41:58Z</dcterms:modified>
</cp:coreProperties>
</file>