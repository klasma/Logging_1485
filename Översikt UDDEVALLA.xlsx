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45673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45673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45673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45673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45673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45673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45673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45673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45673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45673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45673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45673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45673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45673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32523-2024</t>
        </is>
      </c>
      <c r="B16" s="1" t="n">
        <v>45513</v>
      </c>
      <c r="C16" s="1" t="n">
        <v>45673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32528-2024</t>
        </is>
      </c>
      <c r="B17" s="1" t="n">
        <v>45513</v>
      </c>
      <c r="C17" s="1" t="n">
        <v>45673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39346-2019</t>
        </is>
      </c>
      <c r="B18" s="1" t="n">
        <v>43690</v>
      </c>
      <c r="C18" s="1" t="n">
        <v>45673</v>
      </c>
      <c r="D18" t="inlineStr">
        <is>
          <t>VÄSTRA GÖTALANDS LÄN</t>
        </is>
      </c>
      <c r="E18" t="inlineStr">
        <is>
          <t>UDDEVALLA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HYPERLINK("https://klasma.github.io/Logging_1485/artfynd/A 39346-2019 artfynd.xlsx", "A 39346-2019")</f>
        <v/>
      </c>
      <c r="T18">
        <f>HYPERLINK("https://klasma.github.io/Logging_1485/kartor/A 39346-2019 karta.png", "A 39346-2019")</f>
        <v/>
      </c>
      <c r="V18">
        <f>HYPERLINK("https://klasma.github.io/Logging_1485/klagomål/A 39346-2019 FSC-klagomål.docx", "A 39346-2019")</f>
        <v/>
      </c>
      <c r="W18">
        <f>HYPERLINK("https://klasma.github.io/Logging_1485/klagomålsmail/A 39346-2019 FSC-klagomål mail.docx", "A 39346-2019")</f>
        <v/>
      </c>
      <c r="X18">
        <f>HYPERLINK("https://klasma.github.io/Logging_1485/tillsyn/A 39346-2019 tillsynsbegäran.docx", "A 39346-2019")</f>
        <v/>
      </c>
      <c r="Y18">
        <f>HYPERLINK("https://klasma.github.io/Logging_1485/tillsynsmail/A 39346-2019 tillsynsbegäran mail.docx", "A 39346-2019")</f>
        <v/>
      </c>
    </row>
    <row r="19" ht="15" customHeight="1">
      <c r="A19" t="inlineStr">
        <is>
          <t>A 21622-2020</t>
        </is>
      </c>
      <c r="B19" s="1" t="n">
        <v>43957</v>
      </c>
      <c r="C19" s="1" t="n">
        <v>45673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HYPERLINK("https://klasma.github.io/Logging_1485/artfynd/A 21622-2020 artfynd.xlsx", "A 21622-2020")</f>
        <v/>
      </c>
      <c r="T19">
        <f>HYPERLINK("https://klasma.github.io/Logging_1485/kartor/A 21622-2020 karta.png", "A 21622-2020")</f>
        <v/>
      </c>
      <c r="V19">
        <f>HYPERLINK("https://klasma.github.io/Logging_1485/klagomål/A 21622-2020 FSC-klagomål.docx", "A 21622-2020")</f>
        <v/>
      </c>
      <c r="W19">
        <f>HYPERLINK("https://klasma.github.io/Logging_1485/klagomålsmail/A 21622-2020 FSC-klagomål mail.docx", "A 21622-2020")</f>
        <v/>
      </c>
      <c r="X19">
        <f>HYPERLINK("https://klasma.github.io/Logging_1485/tillsyn/A 21622-2020 tillsynsbegäran.docx", "A 21622-2020")</f>
        <v/>
      </c>
      <c r="Y19">
        <f>HYPERLINK("https://klasma.github.io/Logging_1485/tillsynsmail/A 21622-2020 tillsynsbegäran mail.docx", "A 21622-2020")</f>
        <v/>
      </c>
      <c r="Z19">
        <f>HYPERLINK("https://klasma.github.io/Logging_1485/fåglar/A 21622-2020 prioriterade fågelarter.docx", "A 21622-2020")</f>
        <v/>
      </c>
    </row>
    <row r="20" ht="15" customHeight="1">
      <c r="A20" t="inlineStr">
        <is>
          <t>A 51869-2021</t>
        </is>
      </c>
      <c r="B20" s="1" t="n">
        <v>44462</v>
      </c>
      <c r="C20" s="1" t="n">
        <v>45673</v>
      </c>
      <c r="D20" t="inlineStr">
        <is>
          <t>VÄSTRA GÖTALANDS LÄN</t>
        </is>
      </c>
      <c r="E20" t="inlineStr">
        <is>
          <t>UDDEVALLA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HYPERLINK("https://klasma.github.io/Logging_1485/artfynd/A 51869-2021 artfynd.xlsx", "A 51869-2021")</f>
        <v/>
      </c>
      <c r="T20">
        <f>HYPERLINK("https://klasma.github.io/Logging_1485/kartor/A 51869-2021 karta.png", "A 51869-2021")</f>
        <v/>
      </c>
      <c r="V20">
        <f>HYPERLINK("https://klasma.github.io/Logging_1485/klagomål/A 51869-2021 FSC-klagomål.docx", "A 51869-2021")</f>
        <v/>
      </c>
      <c r="W20">
        <f>HYPERLINK("https://klasma.github.io/Logging_1485/klagomålsmail/A 51869-2021 FSC-klagomål mail.docx", "A 51869-2021")</f>
        <v/>
      </c>
      <c r="X20">
        <f>HYPERLINK("https://klasma.github.io/Logging_1485/tillsyn/A 51869-2021 tillsynsbegäran.docx", "A 51869-2021")</f>
        <v/>
      </c>
      <c r="Y20">
        <f>HYPERLINK("https://klasma.github.io/Logging_1485/tillsynsmail/A 51869-2021 tillsynsbegäran mail.docx", "A 51869-2021")</f>
        <v/>
      </c>
    </row>
    <row r="21" ht="15" customHeight="1">
      <c r="A21" t="inlineStr">
        <is>
          <t>A 68707-2021</t>
        </is>
      </c>
      <c r="B21" s="1" t="n">
        <v>44529</v>
      </c>
      <c r="C21" s="1" t="n">
        <v>45673</v>
      </c>
      <c r="D21" t="inlineStr">
        <is>
          <t>VÄSTRA GÖTALANDS LÄN</t>
        </is>
      </c>
      <c r="E21" t="inlineStr">
        <is>
          <t>UDDEVALLA</t>
        </is>
      </c>
      <c r="G21" t="n">
        <v>10.6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HYPERLINK("https://klasma.github.io/Logging_1485/artfynd/A 68707-2021 artfynd.xlsx", "A 68707-2021")</f>
        <v/>
      </c>
      <c r="T21">
        <f>HYPERLINK("https://klasma.github.io/Logging_1485/kartor/A 68707-2021 karta.png", "A 68707-2021")</f>
        <v/>
      </c>
      <c r="U21">
        <f>HYPERLINK("https://klasma.github.io/Logging_1485/knärot/A 68707-2021 karta knärot.png", "A 68707-2021")</f>
        <v/>
      </c>
      <c r="V21">
        <f>HYPERLINK("https://klasma.github.io/Logging_1485/klagomål/A 68707-2021 FSC-klagomål.docx", "A 68707-2021")</f>
        <v/>
      </c>
      <c r="W21">
        <f>HYPERLINK("https://klasma.github.io/Logging_1485/klagomålsmail/A 68707-2021 FSC-klagomål mail.docx", "A 68707-2021")</f>
        <v/>
      </c>
      <c r="X21">
        <f>HYPERLINK("https://klasma.github.io/Logging_1485/tillsyn/A 68707-2021 tillsynsbegäran.docx", "A 68707-2021")</f>
        <v/>
      </c>
      <c r="Y21">
        <f>HYPERLINK("https://klasma.github.io/Logging_1485/tillsynsmail/A 68707-2021 tillsynsbegäran mail.docx", "A 68707-2021")</f>
        <v/>
      </c>
    </row>
    <row r="22" ht="15" customHeight="1">
      <c r="A22" t="inlineStr">
        <is>
          <t>A 10865-2022</t>
        </is>
      </c>
      <c r="B22" s="1" t="n">
        <v>44627</v>
      </c>
      <c r="C22" s="1" t="n">
        <v>45673</v>
      </c>
      <c r="D22" t="inlineStr">
        <is>
          <t>VÄSTRA GÖTALANDS LÄN</t>
        </is>
      </c>
      <c r="E22" t="inlineStr">
        <is>
          <t>UDDEVALLA</t>
        </is>
      </c>
      <c r="G22" t="n">
        <v>3.9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HYPERLINK("https://klasma.github.io/Logging_1485/artfynd/A 10865-2022 artfynd.xlsx", "A 10865-2022")</f>
        <v/>
      </c>
      <c r="T22">
        <f>HYPERLINK("https://klasma.github.io/Logging_1485/kartor/A 10865-2022 karta.png", "A 10865-2022")</f>
        <v/>
      </c>
      <c r="V22">
        <f>HYPERLINK("https://klasma.github.io/Logging_1485/klagomål/A 10865-2022 FSC-klagomål.docx", "A 10865-2022")</f>
        <v/>
      </c>
      <c r="W22">
        <f>HYPERLINK("https://klasma.github.io/Logging_1485/klagomålsmail/A 10865-2022 FSC-klagomål mail.docx", "A 10865-2022")</f>
        <v/>
      </c>
      <c r="X22">
        <f>HYPERLINK("https://klasma.github.io/Logging_1485/tillsyn/A 10865-2022 tillsynsbegäran.docx", "A 10865-2022")</f>
        <v/>
      </c>
      <c r="Y22">
        <f>HYPERLINK("https://klasma.github.io/Logging_1485/tillsynsmail/A 10865-2022 tillsynsbegäran mail.docx", "A 10865-2022")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45673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45673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16904-2023</t>
        </is>
      </c>
      <c r="B25" s="1" t="n">
        <v>45033</v>
      </c>
      <c r="C25" s="1" t="n">
        <v>45673</v>
      </c>
      <c r="D25" t="inlineStr">
        <is>
          <t>VÄSTRA GÖTALANDS LÄN</t>
        </is>
      </c>
      <c r="E25" t="inlineStr">
        <is>
          <t>UDDEVALLA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HYPERLINK("https://klasma.github.io/Logging_1485/artfynd/A 16904-2023 artfynd.xlsx", "A 16904-2023")</f>
        <v/>
      </c>
      <c r="T25">
        <f>HYPERLINK("https://klasma.github.io/Logging_1485/kartor/A 16904-2023 karta.png", "A 16904-2023")</f>
        <v/>
      </c>
      <c r="V25">
        <f>HYPERLINK("https://klasma.github.io/Logging_1485/klagomål/A 16904-2023 FSC-klagomål.docx", "A 16904-2023")</f>
        <v/>
      </c>
      <c r="W25">
        <f>HYPERLINK("https://klasma.github.io/Logging_1485/klagomålsmail/A 16904-2023 FSC-klagomål mail.docx", "A 16904-2023")</f>
        <v/>
      </c>
      <c r="X25">
        <f>HYPERLINK("https://klasma.github.io/Logging_1485/tillsyn/A 16904-2023 tillsynsbegäran.docx", "A 16904-2023")</f>
        <v/>
      </c>
      <c r="Y25">
        <f>HYPERLINK("https://klasma.github.io/Logging_1485/tillsynsmail/A 16904-2023 tillsynsbegäran mail.docx", "A 16904-2023")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45673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38391-2023</t>
        </is>
      </c>
      <c r="B27" s="1" t="n">
        <v>45162</v>
      </c>
      <c r="C27" s="1" t="n">
        <v>45673</v>
      </c>
      <c r="D27" t="inlineStr">
        <is>
          <t>VÄSTRA GÖTALANDS LÄN</t>
        </is>
      </c>
      <c r="E27" t="inlineStr">
        <is>
          <t>UDDEVALLA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HYPERLINK("https://klasma.github.io/Logging_1485/artfynd/A 38391-2023 artfynd.xlsx", "A 38391-2023")</f>
        <v/>
      </c>
      <c r="T27">
        <f>HYPERLINK("https://klasma.github.io/Logging_1485/kartor/A 38391-2023 karta.png", "A 38391-2023")</f>
        <v/>
      </c>
      <c r="V27">
        <f>HYPERLINK("https://klasma.github.io/Logging_1485/klagomål/A 38391-2023 FSC-klagomål.docx", "A 38391-2023")</f>
        <v/>
      </c>
      <c r="W27">
        <f>HYPERLINK("https://klasma.github.io/Logging_1485/klagomålsmail/A 38391-2023 FSC-klagomål mail.docx", "A 38391-2023")</f>
        <v/>
      </c>
      <c r="X27">
        <f>HYPERLINK("https://klasma.github.io/Logging_1485/tillsyn/A 38391-2023 tillsynsbegäran.docx", "A 38391-2023")</f>
        <v/>
      </c>
      <c r="Y27">
        <f>HYPERLINK("https://klasma.github.io/Logging_1485/tillsynsmail/A 38391-2023 tillsynsbegäran mail.docx", "A 38391-2023")</f>
        <v/>
      </c>
    </row>
    <row r="28" ht="15" customHeight="1">
      <c r="A28" t="inlineStr">
        <is>
          <t>A 55288-2023</t>
        </is>
      </c>
      <c r="B28" s="1" t="n">
        <v>45237</v>
      </c>
      <c r="C28" s="1" t="n">
        <v>45673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58345-2023</t>
        </is>
      </c>
      <c r="B29" s="1" t="n">
        <v>45250</v>
      </c>
      <c r="C29" s="1" t="n">
        <v>45673</v>
      </c>
      <c r="D29" t="inlineStr">
        <is>
          <t>VÄSTRA GÖTALANDS LÄN</t>
        </is>
      </c>
      <c r="E29" t="inlineStr">
        <is>
          <t>UDDEVALLA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HYPERLINK("https://klasma.github.io/Logging_1485/artfynd/A 58345-2023 artfynd.xlsx", "A 58345-2023")</f>
        <v/>
      </c>
      <c r="T29">
        <f>HYPERLINK("https://klasma.github.io/Logging_1485/kartor/A 58345-2023 karta.png", "A 58345-2023")</f>
        <v/>
      </c>
      <c r="V29">
        <f>HYPERLINK("https://klasma.github.io/Logging_1485/klagomål/A 58345-2023 FSC-klagomål.docx", "A 58345-2023")</f>
        <v/>
      </c>
      <c r="W29">
        <f>HYPERLINK("https://klasma.github.io/Logging_1485/klagomålsmail/A 58345-2023 FSC-klagomål mail.docx", "A 58345-2023")</f>
        <v/>
      </c>
      <c r="X29">
        <f>HYPERLINK("https://klasma.github.io/Logging_1485/tillsyn/A 58345-2023 tillsynsbegäran.docx", "A 58345-2023")</f>
        <v/>
      </c>
      <c r="Y29">
        <f>HYPERLINK("https://klasma.github.io/Logging_1485/tillsynsmail/A 58345-2023 tillsynsbegäran mail.docx", "A 58345-2023")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45673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45673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6441-2024</t>
        </is>
      </c>
      <c r="B32" s="1" t="n">
        <v>45338</v>
      </c>
      <c r="C32" s="1" t="n">
        <v>45673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HYPERLINK("https://klasma.github.io/Logging_1485/artfynd/A 6441-2024 artfynd.xlsx", "A 6441-2024")</f>
        <v/>
      </c>
      <c r="T32">
        <f>HYPERLINK("https://klasma.github.io/Logging_1485/kartor/A 6441-2024 karta.png", "A 6441-2024")</f>
        <v/>
      </c>
      <c r="V32">
        <f>HYPERLINK("https://klasma.github.io/Logging_1485/klagomål/A 6441-2024 FSC-klagomål.docx", "A 6441-2024")</f>
        <v/>
      </c>
      <c r="W32">
        <f>HYPERLINK("https://klasma.github.io/Logging_1485/klagomålsmail/A 6441-2024 FSC-klagomål mail.docx", "A 6441-2024")</f>
        <v/>
      </c>
      <c r="X32">
        <f>HYPERLINK("https://klasma.github.io/Logging_1485/tillsyn/A 6441-2024 tillsynsbegäran.docx", "A 6441-2024")</f>
        <v/>
      </c>
      <c r="Y32">
        <f>HYPERLINK("https://klasma.github.io/Logging_1485/tillsynsmail/A 6441-2024 tillsynsbegäran mail.docx", "A 6441-2024")</f>
        <v/>
      </c>
    </row>
    <row r="33" ht="15" customHeight="1">
      <c r="A33" t="inlineStr">
        <is>
          <t>A 16418-2024</t>
        </is>
      </c>
      <c r="B33" s="1" t="n">
        <v>45407</v>
      </c>
      <c r="C33" s="1" t="n">
        <v>45673</v>
      </c>
      <c r="D33" t="inlineStr">
        <is>
          <t>VÄSTRA GÖTALANDS LÄN</t>
        </is>
      </c>
      <c r="E33" t="inlineStr">
        <is>
          <t>UDDEVALLA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HYPERLINK("https://klasma.github.io/Logging_1485/artfynd/A 16418-2024 artfynd.xlsx", "A 16418-2024")</f>
        <v/>
      </c>
      <c r="T33">
        <f>HYPERLINK("https://klasma.github.io/Logging_1485/kartor/A 16418-2024 karta.png", "A 16418-2024")</f>
        <v/>
      </c>
      <c r="V33">
        <f>HYPERLINK("https://klasma.github.io/Logging_1485/klagomål/A 16418-2024 FSC-klagomål.docx", "A 16418-2024")</f>
        <v/>
      </c>
      <c r="W33">
        <f>HYPERLINK("https://klasma.github.io/Logging_1485/klagomålsmail/A 16418-2024 FSC-klagomål mail.docx", "A 16418-2024")</f>
        <v/>
      </c>
      <c r="X33">
        <f>HYPERLINK("https://klasma.github.io/Logging_1485/tillsyn/A 16418-2024 tillsynsbegäran.docx", "A 16418-2024")</f>
        <v/>
      </c>
      <c r="Y33">
        <f>HYPERLINK("https://klasma.github.io/Logging_1485/tillsynsmail/A 16418-2024 tillsynsbegäran mail.docx", "A 16418-2024")</f>
        <v/>
      </c>
    </row>
    <row r="34" ht="15" customHeight="1">
      <c r="A34" t="inlineStr">
        <is>
          <t>A 21981-2024</t>
        </is>
      </c>
      <c r="B34" s="1" t="n">
        <v>45443</v>
      </c>
      <c r="C34" s="1" t="n">
        <v>45673</v>
      </c>
      <c r="D34" t="inlineStr">
        <is>
          <t>VÄSTRA GÖTALANDS LÄN</t>
        </is>
      </c>
      <c r="E34" t="inlineStr">
        <is>
          <t>UDDEVALLA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HYPERLINK("https://klasma.github.io/Logging_1485/artfynd/A 21981-2024 artfynd.xlsx", "A 21981-2024")</f>
        <v/>
      </c>
      <c r="T34">
        <f>HYPERLINK("https://klasma.github.io/Logging_1485/kartor/A 21981-2024 karta.png", "A 21981-2024")</f>
        <v/>
      </c>
      <c r="V34">
        <f>HYPERLINK("https://klasma.github.io/Logging_1485/klagomål/A 21981-2024 FSC-klagomål.docx", "A 21981-2024")</f>
        <v/>
      </c>
      <c r="W34">
        <f>HYPERLINK("https://klasma.github.io/Logging_1485/klagomålsmail/A 21981-2024 FSC-klagomål mail.docx", "A 21981-2024")</f>
        <v/>
      </c>
      <c r="X34">
        <f>HYPERLINK("https://klasma.github.io/Logging_1485/tillsyn/A 21981-2024 tillsynsbegäran.docx", "A 21981-2024")</f>
        <v/>
      </c>
      <c r="Y34">
        <f>HYPERLINK("https://klasma.github.io/Logging_1485/tillsynsmail/A 21981-2024 tillsynsbegäran mail.docx", "A 21981-2024")</f>
        <v/>
      </c>
    </row>
    <row r="35" ht="15" customHeight="1">
      <c r="A35" t="inlineStr">
        <is>
          <t>A 26850-2024</t>
        </is>
      </c>
      <c r="B35" s="1" t="n">
        <v>45470</v>
      </c>
      <c r="C35" s="1" t="n">
        <v>45673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HYPERLINK("https://klasma.github.io/Logging_1485/artfynd/A 26850-2024 artfynd.xlsx", "A 26850-2024")</f>
        <v/>
      </c>
      <c r="T35">
        <f>HYPERLINK("https://klasma.github.io/Logging_1485/kartor/A 26850-2024 karta.png", "A 26850-2024")</f>
        <v/>
      </c>
      <c r="V35">
        <f>HYPERLINK("https://klasma.github.io/Logging_1485/klagomål/A 26850-2024 FSC-klagomål.docx", "A 26850-2024")</f>
        <v/>
      </c>
      <c r="W35">
        <f>HYPERLINK("https://klasma.github.io/Logging_1485/klagomålsmail/A 26850-2024 FSC-klagomål mail.docx", "A 26850-2024")</f>
        <v/>
      </c>
      <c r="X35">
        <f>HYPERLINK("https://klasma.github.io/Logging_1485/tillsyn/A 26850-2024 tillsynsbegäran.docx", "A 26850-2024")</f>
        <v/>
      </c>
      <c r="Y35">
        <f>HYPERLINK("https://klasma.github.io/Logging_1485/tillsynsmail/A 26850-2024 tillsynsbegäran mail.docx", "A 26850-2024")</f>
        <v/>
      </c>
    </row>
    <row r="36" ht="15" customHeight="1">
      <c r="A36" t="inlineStr">
        <is>
          <t>A 42007-2024</t>
        </is>
      </c>
      <c r="B36" s="1" t="n">
        <v>45561</v>
      </c>
      <c r="C36" s="1" t="n">
        <v>45673</v>
      </c>
      <c r="D36" t="inlineStr">
        <is>
          <t>VÄSTRA GÖTALANDS LÄN</t>
        </is>
      </c>
      <c r="E36" t="inlineStr">
        <is>
          <t>UDDEVALLA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42007-2024 artfynd.xlsx", "A 42007-2024")</f>
        <v/>
      </c>
      <c r="T36">
        <f>HYPERLINK("https://klasma.github.io/Logging_1485/kartor/A 42007-2024 karta.png", "A 42007-2024")</f>
        <v/>
      </c>
      <c r="V36">
        <f>HYPERLINK("https://klasma.github.io/Logging_1485/klagomål/A 42007-2024 FSC-klagomål.docx", "A 42007-2024")</f>
        <v/>
      </c>
      <c r="W36">
        <f>HYPERLINK("https://klasma.github.io/Logging_1485/klagomålsmail/A 42007-2024 FSC-klagomål mail.docx", "A 42007-2024")</f>
        <v/>
      </c>
      <c r="X36">
        <f>HYPERLINK("https://klasma.github.io/Logging_1485/tillsyn/A 42007-2024 tillsynsbegäran.docx", "A 42007-2024")</f>
        <v/>
      </c>
      <c r="Y36">
        <f>HYPERLINK("https://klasma.github.io/Logging_1485/tillsynsmail/A 42007-2024 tillsynsbegäran mail.docx", "A 42007-2024")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45673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62048-2024</t>
        </is>
      </c>
      <c r="B38" s="1" t="n">
        <v>45656</v>
      </c>
      <c r="C38" s="1" t="n">
        <v>45673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17625-2019</t>
        </is>
      </c>
      <c r="B39" s="1" t="n">
        <v>43556</v>
      </c>
      <c r="C39" s="1" t="n">
        <v>45673</v>
      </c>
      <c r="D39" t="inlineStr">
        <is>
          <t>VÄSTRA GÖTALANDS LÄN</t>
        </is>
      </c>
      <c r="E39" t="inlineStr">
        <is>
          <t>UDDEVALLA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18487-2019</t>
        </is>
      </c>
      <c r="B40" s="1" t="n">
        <v>43559</v>
      </c>
      <c r="C40" s="1" t="n">
        <v>45673</v>
      </c>
      <c r="D40" t="inlineStr">
        <is>
          <t>VÄSTRA GÖTALANDS LÄN</t>
        </is>
      </c>
      <c r="E40" t="inlineStr">
        <is>
          <t>UDDEVALLA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19957-2019</t>
        </is>
      </c>
      <c r="B41" s="1" t="n">
        <v>43569</v>
      </c>
      <c r="C41" s="1" t="n">
        <v>45673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20624-2019</t>
        </is>
      </c>
      <c r="B42" s="1" t="n">
        <v>43572</v>
      </c>
      <c r="C42" s="1" t="n">
        <v>45673</v>
      </c>
      <c r="D42" t="inlineStr">
        <is>
          <t>VÄSTRA GÖTALANDS LÄN</t>
        </is>
      </c>
      <c r="E42" t="inlineStr">
        <is>
          <t>UDDEVALLA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20830-2019</t>
        </is>
      </c>
      <c r="B43" s="1" t="n">
        <v>43574</v>
      </c>
      <c r="C43" s="1" t="n">
        <v>45673</v>
      </c>
      <c r="D43" t="inlineStr">
        <is>
          <t>VÄSTRA GÖTALANDS LÄN</t>
        </is>
      </c>
      <c r="E43" t="inlineStr">
        <is>
          <t>UDDEVALLA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22967-2019</t>
        </is>
      </c>
      <c r="B44" s="1" t="n">
        <v>43591</v>
      </c>
      <c r="C44" s="1" t="n">
        <v>45673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22984-2019</t>
        </is>
      </c>
      <c r="B45" s="1" t="n">
        <v>43591</v>
      </c>
      <c r="C45" s="1" t="n">
        <v>45673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24026-2019</t>
        </is>
      </c>
      <c r="B46" s="1" t="n">
        <v>43598</v>
      </c>
      <c r="C46" s="1" t="n">
        <v>45673</v>
      </c>
      <c r="D46" t="inlineStr">
        <is>
          <t>VÄSTRA GÖTALANDS LÄN</t>
        </is>
      </c>
      <c r="E46" t="inlineStr">
        <is>
          <t>UDDEVALLA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24045-2019</t>
        </is>
      </c>
      <c r="B47" s="1" t="n">
        <v>43598</v>
      </c>
      <c r="C47" s="1" t="n">
        <v>45673</v>
      </c>
      <c r="D47" t="inlineStr">
        <is>
          <t>VÄSTRA GÖTALANDS LÄN</t>
        </is>
      </c>
      <c r="E47" t="inlineStr">
        <is>
          <t>UDDEVALLA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24050-2019</t>
        </is>
      </c>
      <c r="B48" s="1" t="n">
        <v>43598</v>
      </c>
      <c r="C48" s="1" t="n">
        <v>45673</v>
      </c>
      <c r="D48" t="inlineStr">
        <is>
          <t>VÄSTRA GÖTALANDS LÄN</t>
        </is>
      </c>
      <c r="E48" t="inlineStr">
        <is>
          <t>UDDEVALLA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24681-2019</t>
        </is>
      </c>
      <c r="B49" s="1" t="n">
        <v>43601</v>
      </c>
      <c r="C49" s="1" t="n">
        <v>45673</v>
      </c>
      <c r="D49" t="inlineStr">
        <is>
          <t>VÄSTRA GÖTALANDS LÄN</t>
        </is>
      </c>
      <c r="E49" t="inlineStr">
        <is>
          <t>UDDEVALLA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27286-2019</t>
        </is>
      </c>
      <c r="B50" s="1" t="n">
        <v>43616</v>
      </c>
      <c r="C50" s="1" t="n">
        <v>45673</v>
      </c>
      <c r="D50" t="inlineStr">
        <is>
          <t>VÄSTRA GÖTALANDS LÄN</t>
        </is>
      </c>
      <c r="E50" t="inlineStr">
        <is>
          <t>UDDEVALLA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27520-2019</t>
        </is>
      </c>
      <c r="B51" s="1" t="n">
        <v>43619</v>
      </c>
      <c r="C51" s="1" t="n">
        <v>45673</v>
      </c>
      <c r="D51" t="inlineStr">
        <is>
          <t>VÄSTRA GÖTALANDS LÄN</t>
        </is>
      </c>
      <c r="E51" t="inlineStr">
        <is>
          <t>UDDEVALLA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30852-2019</t>
        </is>
      </c>
      <c r="B52" s="1" t="n">
        <v>43636</v>
      </c>
      <c r="C52" s="1" t="n">
        <v>45673</v>
      </c>
      <c r="D52" t="inlineStr">
        <is>
          <t>VÄSTRA GÖTALANDS LÄN</t>
        </is>
      </c>
      <c r="E52" t="inlineStr">
        <is>
          <t>UDDEVALLA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31216-2019</t>
        </is>
      </c>
      <c r="B53" s="1" t="n">
        <v>43640</v>
      </c>
      <c r="C53" s="1" t="n">
        <v>45673</v>
      </c>
      <c r="D53" t="inlineStr">
        <is>
          <t>VÄSTRA GÖTALANDS LÄN</t>
        </is>
      </c>
      <c r="E53" t="inlineStr">
        <is>
          <t>UDDEVALLA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31199-2019</t>
        </is>
      </c>
      <c r="B54" s="1" t="n">
        <v>43640</v>
      </c>
      <c r="C54" s="1" t="n">
        <v>45673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33991-2019</t>
        </is>
      </c>
      <c r="B55" s="1" t="n">
        <v>43654</v>
      </c>
      <c r="C55" s="1" t="n">
        <v>45673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35809-2019</t>
        </is>
      </c>
      <c r="B56" s="1" t="n">
        <v>43665</v>
      </c>
      <c r="C56" s="1" t="n">
        <v>45673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35947-2019</t>
        </is>
      </c>
      <c r="B57" s="1" t="n">
        <v>43665</v>
      </c>
      <c r="C57" s="1" t="n">
        <v>45673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41634-2019</t>
        </is>
      </c>
      <c r="B58" s="1" t="n">
        <v>43696</v>
      </c>
      <c r="C58" s="1" t="n">
        <v>45673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Kyrkan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40987-2019</t>
        </is>
      </c>
      <c r="B59" s="1" t="n">
        <v>43697</v>
      </c>
      <c r="C59" s="1" t="n">
        <v>45673</v>
      </c>
      <c r="D59" t="inlineStr">
        <is>
          <t>VÄSTRA GÖTALANDS LÄN</t>
        </is>
      </c>
      <c r="E59" t="inlineStr">
        <is>
          <t>UDDEVALLA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41966-2019</t>
        </is>
      </c>
      <c r="B60" s="1" t="n">
        <v>43700</v>
      </c>
      <c r="C60" s="1" t="n">
        <v>45673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45823-2019</t>
        </is>
      </c>
      <c r="B61" s="1" t="n">
        <v>43717</v>
      </c>
      <c r="C61" s="1" t="n">
        <v>45673</v>
      </c>
      <c r="D61" t="inlineStr">
        <is>
          <t>VÄSTRA GÖTALANDS LÄN</t>
        </is>
      </c>
      <c r="E61" t="inlineStr">
        <is>
          <t>UDDEVALLA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48341-2019</t>
        </is>
      </c>
      <c r="B62" s="1" t="n">
        <v>43726</v>
      </c>
      <c r="C62" s="1" t="n">
        <v>45673</v>
      </c>
      <c r="D62" t="inlineStr">
        <is>
          <t>VÄSTRA GÖTALANDS LÄN</t>
        </is>
      </c>
      <c r="E62" t="inlineStr">
        <is>
          <t>UDDEVALLA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49341-2019</t>
        </is>
      </c>
      <c r="B63" s="1" t="n">
        <v>43731</v>
      </c>
      <c r="C63" s="1" t="n">
        <v>45673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49929-2019</t>
        </is>
      </c>
      <c r="B64" s="1" t="n">
        <v>43733</v>
      </c>
      <c r="C64" s="1" t="n">
        <v>45673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49930-2019</t>
        </is>
      </c>
      <c r="B65" s="1" t="n">
        <v>43733</v>
      </c>
      <c r="C65" s="1" t="n">
        <v>45673</v>
      </c>
      <c r="D65" t="inlineStr">
        <is>
          <t>VÄSTRA GÖTALANDS LÄN</t>
        </is>
      </c>
      <c r="E65" t="inlineStr">
        <is>
          <t>UDDEVALLA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52198-2019</t>
        </is>
      </c>
      <c r="B66" s="1" t="n">
        <v>43735</v>
      </c>
      <c r="C66" s="1" t="n">
        <v>45673</v>
      </c>
      <c r="D66" t="inlineStr">
        <is>
          <t>VÄSTRA GÖTALANDS LÄN</t>
        </is>
      </c>
      <c r="E66" t="inlineStr">
        <is>
          <t>UDDEVALLA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55315-2019</t>
        </is>
      </c>
      <c r="B67" s="1" t="n">
        <v>43756</v>
      </c>
      <c r="C67" s="1" t="n">
        <v>45673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62953-2019</t>
        </is>
      </c>
      <c r="B68" s="1" t="n">
        <v>43790</v>
      </c>
      <c r="C68" s="1" t="n">
        <v>45673</v>
      </c>
      <c r="D68" t="inlineStr">
        <is>
          <t>VÄSTRA GÖTALANDS LÄN</t>
        </is>
      </c>
      <c r="E68" t="inlineStr">
        <is>
          <t>UDDEVALLA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63590-2019</t>
        </is>
      </c>
      <c r="B69" s="1" t="n">
        <v>43795</v>
      </c>
      <c r="C69" s="1" t="n">
        <v>45673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65732-2019</t>
        </is>
      </c>
      <c r="B70" s="1" t="n">
        <v>43804</v>
      </c>
      <c r="C70" s="1" t="n">
        <v>45673</v>
      </c>
      <c r="D70" t="inlineStr">
        <is>
          <t>VÄSTRA GÖTALANDS LÄN</t>
        </is>
      </c>
      <c r="E70" t="inlineStr">
        <is>
          <t>UDDEVALLA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66797-2019</t>
        </is>
      </c>
      <c r="B71" s="1" t="n">
        <v>43810</v>
      </c>
      <c r="C71" s="1" t="n">
        <v>45673</v>
      </c>
      <c r="D71" t="inlineStr">
        <is>
          <t>VÄSTRA GÖTALANDS LÄN</t>
        </is>
      </c>
      <c r="E71" t="inlineStr">
        <is>
          <t>UDDEVALLA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67349-2019</t>
        </is>
      </c>
      <c r="B72" s="1" t="n">
        <v>43812</v>
      </c>
      <c r="C72" s="1" t="n">
        <v>45673</v>
      </c>
      <c r="D72" t="inlineStr">
        <is>
          <t>VÄSTRA GÖTALANDS LÄN</t>
        </is>
      </c>
      <c r="E72" t="inlineStr">
        <is>
          <t>UDDEVALLA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67831-2019</t>
        </is>
      </c>
      <c r="B73" s="1" t="n">
        <v>43815</v>
      </c>
      <c r="C73" s="1" t="n">
        <v>45673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2145-2020</t>
        </is>
      </c>
      <c r="B74" s="1" t="n">
        <v>43846</v>
      </c>
      <c r="C74" s="1" t="n">
        <v>45673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2230-2020</t>
        </is>
      </c>
      <c r="B75" s="1" t="n">
        <v>43846</v>
      </c>
      <c r="C75" s="1" t="n">
        <v>45673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2245-2020</t>
        </is>
      </c>
      <c r="B76" s="1" t="n">
        <v>43846</v>
      </c>
      <c r="C76" s="1" t="n">
        <v>45673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3040-2020</t>
        </is>
      </c>
      <c r="B77" s="1" t="n">
        <v>43851</v>
      </c>
      <c r="C77" s="1" t="n">
        <v>45673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5862-2020</t>
        </is>
      </c>
      <c r="B78" s="1" t="n">
        <v>43864</v>
      </c>
      <c r="C78" s="1" t="n">
        <v>45673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6432-2020</t>
        </is>
      </c>
      <c r="B79" s="1" t="n">
        <v>43866</v>
      </c>
      <c r="C79" s="1" t="n">
        <v>45673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8857-2020</t>
        </is>
      </c>
      <c r="B80" s="1" t="n">
        <v>43878</v>
      </c>
      <c r="C80" s="1" t="n">
        <v>45673</v>
      </c>
      <c r="D80" t="inlineStr">
        <is>
          <t>VÄSTRA GÖTALANDS LÄN</t>
        </is>
      </c>
      <c r="E80" t="inlineStr">
        <is>
          <t>UDDEVALLA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10177-2020</t>
        </is>
      </c>
      <c r="B81" s="1" t="n">
        <v>43887</v>
      </c>
      <c r="C81" s="1" t="n">
        <v>45673</v>
      </c>
      <c r="D81" t="inlineStr">
        <is>
          <t>VÄSTRA GÖTALANDS LÄN</t>
        </is>
      </c>
      <c r="E81" t="inlineStr">
        <is>
          <t>UDDEVALLA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11319-2020</t>
        </is>
      </c>
      <c r="B82" s="1" t="n">
        <v>43892</v>
      </c>
      <c r="C82" s="1" t="n">
        <v>45673</v>
      </c>
      <c r="D82" t="inlineStr">
        <is>
          <t>VÄSTRA GÖTALANDS LÄN</t>
        </is>
      </c>
      <c r="E82" t="inlineStr">
        <is>
          <t>UDDEVALLA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12787-2020</t>
        </is>
      </c>
      <c r="B83" s="1" t="n">
        <v>43894</v>
      </c>
      <c r="C83" s="1" t="n">
        <v>45673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13993-2020</t>
        </is>
      </c>
      <c r="B84" s="1" t="n">
        <v>43899</v>
      </c>
      <c r="C84" s="1" t="n">
        <v>45673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13960-2020</t>
        </is>
      </c>
      <c r="B85" s="1" t="n">
        <v>43906</v>
      </c>
      <c r="C85" s="1" t="n">
        <v>45673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14297-2020</t>
        </is>
      </c>
      <c r="B86" s="1" t="n">
        <v>43907</v>
      </c>
      <c r="C86" s="1" t="n">
        <v>45673</v>
      </c>
      <c r="D86" t="inlineStr">
        <is>
          <t>VÄSTRA GÖTALANDS LÄN</t>
        </is>
      </c>
      <c r="E86" t="inlineStr">
        <is>
          <t>UDDEVALLA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17770-2020</t>
        </is>
      </c>
      <c r="B87" s="1" t="n">
        <v>43924</v>
      </c>
      <c r="C87" s="1" t="n">
        <v>45673</v>
      </c>
      <c r="D87" t="inlineStr">
        <is>
          <t>VÄSTRA GÖTALANDS LÄN</t>
        </is>
      </c>
      <c r="E87" t="inlineStr">
        <is>
          <t>UDDEVALLA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18410-2020</t>
        </is>
      </c>
      <c r="B88" s="1" t="n">
        <v>43928</v>
      </c>
      <c r="C88" s="1" t="n">
        <v>45673</v>
      </c>
      <c r="D88" t="inlineStr">
        <is>
          <t>VÄSTRA GÖTALANDS LÄN</t>
        </is>
      </c>
      <c r="E88" t="inlineStr">
        <is>
          <t>UDDEVALLA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21281-2020</t>
        </is>
      </c>
      <c r="B89" s="1" t="n">
        <v>43955</v>
      </c>
      <c r="C89" s="1" t="n">
        <v>45673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27477-2020</t>
        </is>
      </c>
      <c r="B90" s="1" t="n">
        <v>43991</v>
      </c>
      <c r="C90" s="1" t="n">
        <v>45673</v>
      </c>
      <c r="D90" t="inlineStr">
        <is>
          <t>VÄSTRA GÖTALANDS LÄN</t>
        </is>
      </c>
      <c r="E90" t="inlineStr">
        <is>
          <t>UDDEVALLA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28258-2020</t>
        </is>
      </c>
      <c r="B91" s="1" t="n">
        <v>43998</v>
      </c>
      <c r="C91" s="1" t="n">
        <v>45673</v>
      </c>
      <c r="D91" t="inlineStr">
        <is>
          <t>VÄSTRA GÖTALANDS LÄN</t>
        </is>
      </c>
      <c r="E91" t="inlineStr">
        <is>
          <t>UDDEVALLA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28453-2020</t>
        </is>
      </c>
      <c r="B92" s="1" t="n">
        <v>43998</v>
      </c>
      <c r="C92" s="1" t="n">
        <v>45673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29914-2020</t>
        </is>
      </c>
      <c r="B93" s="1" t="n">
        <v>44006</v>
      </c>
      <c r="C93" s="1" t="n">
        <v>45673</v>
      </c>
      <c r="D93" t="inlineStr">
        <is>
          <t>VÄSTRA GÖTALANDS LÄN</t>
        </is>
      </c>
      <c r="E93" t="inlineStr">
        <is>
          <t>UDDEVALLA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31068-2020</t>
        </is>
      </c>
      <c r="B94" s="1" t="n">
        <v>44012</v>
      </c>
      <c r="C94" s="1" t="n">
        <v>45673</v>
      </c>
      <c r="D94" t="inlineStr">
        <is>
          <t>VÄSTRA GÖTALANDS LÄN</t>
        </is>
      </c>
      <c r="E94" t="inlineStr">
        <is>
          <t>UDDEVALLA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31066-2020</t>
        </is>
      </c>
      <c r="B95" s="1" t="n">
        <v>44012</v>
      </c>
      <c r="C95" s="1" t="n">
        <v>45673</v>
      </c>
      <c r="D95" t="inlineStr">
        <is>
          <t>VÄSTRA GÖTALANDS LÄN</t>
        </is>
      </c>
      <c r="E95" t="inlineStr">
        <is>
          <t>UDDEVALLA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31220-2020</t>
        </is>
      </c>
      <c r="B96" s="1" t="n">
        <v>44012</v>
      </c>
      <c r="C96" s="1" t="n">
        <v>45673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32423-2020</t>
        </is>
      </c>
      <c r="B97" s="1" t="n">
        <v>44018</v>
      </c>
      <c r="C97" s="1" t="n">
        <v>45673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32420-2020</t>
        </is>
      </c>
      <c r="B98" s="1" t="n">
        <v>44018</v>
      </c>
      <c r="C98" s="1" t="n">
        <v>45673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34824-2020</t>
        </is>
      </c>
      <c r="B99" s="1" t="n">
        <v>44036</v>
      </c>
      <c r="C99" s="1" t="n">
        <v>45673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35631-2020</t>
        </is>
      </c>
      <c r="B100" s="1" t="n">
        <v>44046</v>
      </c>
      <c r="C100" s="1" t="n">
        <v>45673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38216-2020</t>
        </is>
      </c>
      <c r="B101" s="1" t="n">
        <v>44060</v>
      </c>
      <c r="C101" s="1" t="n">
        <v>45673</v>
      </c>
      <c r="D101" t="inlineStr">
        <is>
          <t>VÄSTRA GÖTALANDS LÄN</t>
        </is>
      </c>
      <c r="E101" t="inlineStr">
        <is>
          <t>UDDEVALLA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41780-2020</t>
        </is>
      </c>
      <c r="B102" s="1" t="n">
        <v>44074</v>
      </c>
      <c r="C102" s="1" t="n">
        <v>45673</v>
      </c>
      <c r="D102" t="inlineStr">
        <is>
          <t>VÄSTRA GÖTALANDS LÄN</t>
        </is>
      </c>
      <c r="E102" t="inlineStr">
        <is>
          <t>UDDEVALLA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50483-2020</t>
        </is>
      </c>
      <c r="B103" s="1" t="n">
        <v>44104</v>
      </c>
      <c r="C103" s="1" t="n">
        <v>45673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49566-2020</t>
        </is>
      </c>
      <c r="B104" s="1" t="n">
        <v>44106</v>
      </c>
      <c r="C104" s="1" t="n">
        <v>45673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49570-2020</t>
        </is>
      </c>
      <c r="B105" s="1" t="n">
        <v>44106</v>
      </c>
      <c r="C105" s="1" t="n">
        <v>45673</v>
      </c>
      <c r="D105" t="inlineStr">
        <is>
          <t>VÄSTRA GÖTALANDS LÄN</t>
        </is>
      </c>
      <c r="E105" t="inlineStr">
        <is>
          <t>UDDEVALLA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49560-2020</t>
        </is>
      </c>
      <c r="B106" s="1" t="n">
        <v>44106</v>
      </c>
      <c r="C106" s="1" t="n">
        <v>45673</v>
      </c>
      <c r="D106" t="inlineStr">
        <is>
          <t>VÄSTRA GÖTALANDS LÄN</t>
        </is>
      </c>
      <c r="E106" t="inlineStr">
        <is>
          <t>UDDEVALLA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55938-2020</t>
        </is>
      </c>
      <c r="B107" s="1" t="n">
        <v>44133</v>
      </c>
      <c r="C107" s="1" t="n">
        <v>45673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59085-2020</t>
        </is>
      </c>
      <c r="B108" s="1" t="n">
        <v>44147</v>
      </c>
      <c r="C108" s="1" t="n">
        <v>45673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60954-2020</t>
        </is>
      </c>
      <c r="B109" s="1" t="n">
        <v>44154</v>
      </c>
      <c r="C109" s="1" t="n">
        <v>45673</v>
      </c>
      <c r="D109" t="inlineStr">
        <is>
          <t>VÄSTRA GÖTALANDS LÄN</t>
        </is>
      </c>
      <c r="E109" t="inlineStr">
        <is>
          <t>UDDEVALLA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62643-2020</t>
        </is>
      </c>
      <c r="B110" s="1" t="n">
        <v>44161</v>
      </c>
      <c r="C110" s="1" t="n">
        <v>45673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65325-2020</t>
        </is>
      </c>
      <c r="B111" s="1" t="n">
        <v>44168</v>
      </c>
      <c r="C111" s="1" t="n">
        <v>45673</v>
      </c>
      <c r="D111" t="inlineStr">
        <is>
          <t>VÄSTRA GÖTALANDS LÄN</t>
        </is>
      </c>
      <c r="E111" t="inlineStr">
        <is>
          <t>UDDEVALLA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65328-2020</t>
        </is>
      </c>
      <c r="B112" s="1" t="n">
        <v>44168</v>
      </c>
      <c r="C112" s="1" t="n">
        <v>45673</v>
      </c>
      <c r="D112" t="inlineStr">
        <is>
          <t>VÄSTRA GÖTALANDS LÄN</t>
        </is>
      </c>
      <c r="E112" t="inlineStr">
        <is>
          <t>UDDEVALLA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65194-2020</t>
        </is>
      </c>
      <c r="B113" s="1" t="n">
        <v>44169</v>
      </c>
      <c r="C113" s="1" t="n">
        <v>45673</v>
      </c>
      <c r="D113" t="inlineStr">
        <is>
          <t>VÄSTRA GÖTALANDS LÄN</t>
        </is>
      </c>
      <c r="E113" t="inlineStr">
        <is>
          <t>UDDEVALLA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65558-2020</t>
        </is>
      </c>
      <c r="B114" s="1" t="n">
        <v>44173</v>
      </c>
      <c r="C114" s="1" t="n">
        <v>45673</v>
      </c>
      <c r="D114" t="inlineStr">
        <is>
          <t>VÄSTRA GÖTALANDS LÄN</t>
        </is>
      </c>
      <c r="E114" t="inlineStr">
        <is>
          <t>UDDEVALLA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65909-2020</t>
        </is>
      </c>
      <c r="B115" s="1" t="n">
        <v>44175</v>
      </c>
      <c r="C115" s="1" t="n">
        <v>45673</v>
      </c>
      <c r="D115" t="inlineStr">
        <is>
          <t>VÄSTRA GÖTALANDS LÄN</t>
        </is>
      </c>
      <c r="E115" t="inlineStr">
        <is>
          <t>UDDEVALLA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66488-2020</t>
        </is>
      </c>
      <c r="B116" s="1" t="n">
        <v>44177</v>
      </c>
      <c r="C116" s="1" t="n">
        <v>45673</v>
      </c>
      <c r="D116" t="inlineStr">
        <is>
          <t>VÄSTRA GÖTALANDS LÄN</t>
        </is>
      </c>
      <c r="E116" t="inlineStr">
        <is>
          <t>UDDEVALLA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66487-2020</t>
        </is>
      </c>
      <c r="B117" s="1" t="n">
        <v>44177</v>
      </c>
      <c r="C117" s="1" t="n">
        <v>45673</v>
      </c>
      <c r="D117" t="inlineStr">
        <is>
          <t>VÄSTRA GÖTALANDS LÄN</t>
        </is>
      </c>
      <c r="E117" t="inlineStr">
        <is>
          <t>UDDEVALLA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67265-2020</t>
        </is>
      </c>
      <c r="B118" s="1" t="n">
        <v>44181</v>
      </c>
      <c r="C118" s="1" t="n">
        <v>45673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797-2021</t>
        </is>
      </c>
      <c r="B119" s="1" t="n">
        <v>44204</v>
      </c>
      <c r="C119" s="1" t="n">
        <v>45673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796-2021</t>
        </is>
      </c>
      <c r="B120" s="1" t="n">
        <v>44204</v>
      </c>
      <c r="C120" s="1" t="n">
        <v>45673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2165-2021</t>
        </is>
      </c>
      <c r="B121" s="1" t="n">
        <v>44210</v>
      </c>
      <c r="C121" s="1" t="n">
        <v>45673</v>
      </c>
      <c r="D121" t="inlineStr">
        <is>
          <t>VÄSTRA GÖTALANDS LÄN</t>
        </is>
      </c>
      <c r="E121" t="inlineStr">
        <is>
          <t>UDDEVALLA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2370-2021</t>
        </is>
      </c>
      <c r="B122" s="1" t="n">
        <v>44211</v>
      </c>
      <c r="C122" s="1" t="n">
        <v>45673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3125-2021</t>
        </is>
      </c>
      <c r="B123" s="1" t="n">
        <v>44217</v>
      </c>
      <c r="C123" s="1" t="n">
        <v>45673</v>
      </c>
      <c r="D123" t="inlineStr">
        <is>
          <t>VÄSTRA GÖTALANDS LÄN</t>
        </is>
      </c>
      <c r="E123" t="inlineStr">
        <is>
          <t>UDDEVALLA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5483-2021</t>
        </is>
      </c>
      <c r="B124" s="1" t="n">
        <v>44230</v>
      </c>
      <c r="C124" s="1" t="n">
        <v>45673</v>
      </c>
      <c r="D124" t="inlineStr">
        <is>
          <t>VÄSTRA GÖTALANDS LÄN</t>
        </is>
      </c>
      <c r="E124" t="inlineStr">
        <is>
          <t>UDDEVALLA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7459-2021</t>
        </is>
      </c>
      <c r="B125" s="1" t="n">
        <v>44239</v>
      </c>
      <c r="C125" s="1" t="n">
        <v>45673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9790-2021</t>
        </is>
      </c>
      <c r="B126" s="1" t="n">
        <v>44251</v>
      </c>
      <c r="C126" s="1" t="n">
        <v>45673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10766-2021</t>
        </is>
      </c>
      <c r="B127" s="1" t="n">
        <v>44259</v>
      </c>
      <c r="C127" s="1" t="n">
        <v>45673</v>
      </c>
      <c r="D127" t="inlineStr">
        <is>
          <t>VÄSTRA GÖTALANDS LÄN</t>
        </is>
      </c>
      <c r="E127" t="inlineStr">
        <is>
          <t>UDDEVALLA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11850-2021</t>
        </is>
      </c>
      <c r="B128" s="1" t="n">
        <v>44265</v>
      </c>
      <c r="C128" s="1" t="n">
        <v>45673</v>
      </c>
      <c r="D128" t="inlineStr">
        <is>
          <t>VÄSTRA GÖTALANDS LÄN</t>
        </is>
      </c>
      <c r="E128" t="inlineStr">
        <is>
          <t>UDDEVALLA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13908-2021</t>
        </is>
      </c>
      <c r="B129" s="1" t="n">
        <v>44277</v>
      </c>
      <c r="C129" s="1" t="n">
        <v>45673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14411-2021</t>
        </is>
      </c>
      <c r="B130" s="1" t="n">
        <v>44279</v>
      </c>
      <c r="C130" s="1" t="n">
        <v>45673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18296-2021</t>
        </is>
      </c>
      <c r="B131" s="1" t="n">
        <v>44305</v>
      </c>
      <c r="C131" s="1" t="n">
        <v>45673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18885-2021</t>
        </is>
      </c>
      <c r="B132" s="1" t="n">
        <v>44308</v>
      </c>
      <c r="C132" s="1" t="n">
        <v>45673</v>
      </c>
      <c r="D132" t="inlineStr">
        <is>
          <t>VÄSTRA GÖTALANDS LÄN</t>
        </is>
      </c>
      <c r="E132" t="inlineStr">
        <is>
          <t>UDDEVALLA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20911-2021</t>
        </is>
      </c>
      <c r="B133" s="1" t="n">
        <v>44319</v>
      </c>
      <c r="C133" s="1" t="n">
        <v>45673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22719-2021</t>
        </is>
      </c>
      <c r="B134" s="1" t="n">
        <v>44327</v>
      </c>
      <c r="C134" s="1" t="n">
        <v>45673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24283-2021</t>
        </is>
      </c>
      <c r="B135" s="1" t="n">
        <v>44337</v>
      </c>
      <c r="C135" s="1" t="n">
        <v>45673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25892-2021</t>
        </is>
      </c>
      <c r="B136" s="1" t="n">
        <v>44344</v>
      </c>
      <c r="C136" s="1" t="n">
        <v>45673</v>
      </c>
      <c r="D136" t="inlineStr">
        <is>
          <t>VÄSTRA GÖTALANDS LÄN</t>
        </is>
      </c>
      <c r="E136" t="inlineStr">
        <is>
          <t>UDDEVALLA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25901-2021</t>
        </is>
      </c>
      <c r="B137" s="1" t="n">
        <v>44344</v>
      </c>
      <c r="C137" s="1" t="n">
        <v>45673</v>
      </c>
      <c r="D137" t="inlineStr">
        <is>
          <t>VÄSTRA GÖTALANDS LÄN</t>
        </is>
      </c>
      <c r="E137" t="inlineStr">
        <is>
          <t>UDDEVALLA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27497-2021</t>
        </is>
      </c>
      <c r="B138" s="1" t="n">
        <v>44351</v>
      </c>
      <c r="C138" s="1" t="n">
        <v>45673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27494-2021</t>
        </is>
      </c>
      <c r="B139" s="1" t="n">
        <v>44351</v>
      </c>
      <c r="C139" s="1" t="n">
        <v>45673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27544-2021</t>
        </is>
      </c>
      <c r="B140" s="1" t="n">
        <v>44351</v>
      </c>
      <c r="C140" s="1" t="n">
        <v>45673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28186-2021</t>
        </is>
      </c>
      <c r="B141" s="1" t="n">
        <v>44355</v>
      </c>
      <c r="C141" s="1" t="n">
        <v>45673</v>
      </c>
      <c r="D141" t="inlineStr">
        <is>
          <t>VÄSTRA GÖTALANDS LÄN</t>
        </is>
      </c>
      <c r="E141" t="inlineStr">
        <is>
          <t>UDDEVALLA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29655-2021</t>
        </is>
      </c>
      <c r="B142" s="1" t="n">
        <v>44361</v>
      </c>
      <c r="C142" s="1" t="n">
        <v>45673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33332-2021</t>
        </is>
      </c>
      <c r="B143" s="1" t="n">
        <v>44377</v>
      </c>
      <c r="C143" s="1" t="n">
        <v>45673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34584-2021</t>
        </is>
      </c>
      <c r="B144" s="1" t="n">
        <v>44382</v>
      </c>
      <c r="C144" s="1" t="n">
        <v>45673</v>
      </c>
      <c r="D144" t="inlineStr">
        <is>
          <t>VÄSTRA GÖTALANDS LÄN</t>
        </is>
      </c>
      <c r="E144" t="inlineStr">
        <is>
          <t>UDDEVALLA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39287-2021</t>
        </is>
      </c>
      <c r="B145" s="1" t="n">
        <v>44413</v>
      </c>
      <c r="C145" s="1" t="n">
        <v>45673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40037-2021</t>
        </is>
      </c>
      <c r="B146" s="1" t="n">
        <v>44418</v>
      </c>
      <c r="C146" s="1" t="n">
        <v>45673</v>
      </c>
      <c r="D146" t="inlineStr">
        <is>
          <t>VÄSTRA GÖTALANDS LÄN</t>
        </is>
      </c>
      <c r="E146" t="inlineStr">
        <is>
          <t>UDDEVALLA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40110-2021</t>
        </is>
      </c>
      <c r="B147" s="1" t="n">
        <v>44418</v>
      </c>
      <c r="C147" s="1" t="n">
        <v>45673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43170-2021</t>
        </is>
      </c>
      <c r="B148" s="1" t="n">
        <v>44431</v>
      </c>
      <c r="C148" s="1" t="n">
        <v>45673</v>
      </c>
      <c r="D148" t="inlineStr">
        <is>
          <t>VÄSTRA GÖTALANDS LÄN</t>
        </is>
      </c>
      <c r="E148" t="inlineStr">
        <is>
          <t>UDDEVALLA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43173-2021</t>
        </is>
      </c>
      <c r="B149" s="1" t="n">
        <v>44431</v>
      </c>
      <c r="C149" s="1" t="n">
        <v>45673</v>
      </c>
      <c r="D149" t="inlineStr">
        <is>
          <t>VÄSTRA GÖTALANDS LÄN</t>
        </is>
      </c>
      <c r="E149" t="inlineStr">
        <is>
          <t>UDDEVALLA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46548-2021</t>
        </is>
      </c>
      <c r="B150" s="1" t="n">
        <v>44445</v>
      </c>
      <c r="C150" s="1" t="n">
        <v>45673</v>
      </c>
      <c r="D150" t="inlineStr">
        <is>
          <t>VÄSTRA GÖTALANDS LÄN</t>
        </is>
      </c>
      <c r="E150" t="inlineStr">
        <is>
          <t>UDDEVALLA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48088-2021</t>
        </is>
      </c>
      <c r="B151" s="1" t="n">
        <v>44449</v>
      </c>
      <c r="C151" s="1" t="n">
        <v>45673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51873-2021</t>
        </is>
      </c>
      <c r="B152" s="1" t="n">
        <v>44462</v>
      </c>
      <c r="C152" s="1" t="n">
        <v>45673</v>
      </c>
      <c r="D152" t="inlineStr">
        <is>
          <t>VÄSTRA GÖTALANDS LÄN</t>
        </is>
      </c>
      <c r="E152" t="inlineStr">
        <is>
          <t>UDDEVALLA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51868-2021</t>
        </is>
      </c>
      <c r="B153" s="1" t="n">
        <v>44462</v>
      </c>
      <c r="C153" s="1" t="n">
        <v>45673</v>
      </c>
      <c r="D153" t="inlineStr">
        <is>
          <t>VÄSTRA GÖTALANDS LÄN</t>
        </is>
      </c>
      <c r="E153" t="inlineStr">
        <is>
          <t>UDDEVALLA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51876-2021</t>
        </is>
      </c>
      <c r="B154" s="1" t="n">
        <v>44462</v>
      </c>
      <c r="C154" s="1" t="n">
        <v>45673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54440-2021</t>
        </is>
      </c>
      <c r="B155" s="1" t="n">
        <v>44472</v>
      </c>
      <c r="C155" s="1" t="n">
        <v>45673</v>
      </c>
      <c r="D155" t="inlineStr">
        <is>
          <t>VÄSTRA GÖTALANDS LÄN</t>
        </is>
      </c>
      <c r="E155" t="inlineStr">
        <is>
          <t>UDDEVALLA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56650-2021</t>
        </is>
      </c>
      <c r="B156" s="1" t="n">
        <v>44480</v>
      </c>
      <c r="C156" s="1" t="n">
        <v>45673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58933-2021</t>
        </is>
      </c>
      <c r="B157" s="1" t="n">
        <v>44489</v>
      </c>
      <c r="C157" s="1" t="n">
        <v>45673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58958-2021</t>
        </is>
      </c>
      <c r="B158" s="1" t="n">
        <v>44489</v>
      </c>
      <c r="C158" s="1" t="n">
        <v>45673</v>
      </c>
      <c r="D158" t="inlineStr">
        <is>
          <t>VÄSTRA GÖTALANDS LÄN</t>
        </is>
      </c>
      <c r="E158" t="inlineStr">
        <is>
          <t>UDDEVALLA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61312-2021</t>
        </is>
      </c>
      <c r="B159" s="1" t="n">
        <v>44498</v>
      </c>
      <c r="C159" s="1" t="n">
        <v>45673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61334-2021</t>
        </is>
      </c>
      <c r="B160" s="1" t="n">
        <v>44498</v>
      </c>
      <c r="C160" s="1" t="n">
        <v>45673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61904-2021</t>
        </is>
      </c>
      <c r="B161" s="1" t="n">
        <v>44502</v>
      </c>
      <c r="C161" s="1" t="n">
        <v>45673</v>
      </c>
      <c r="D161" t="inlineStr">
        <is>
          <t>VÄSTRA GÖTALANDS LÄN</t>
        </is>
      </c>
      <c r="E161" t="inlineStr">
        <is>
          <t>UDDEVALLA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63397-2021</t>
        </is>
      </c>
      <c r="B162" s="1" t="n">
        <v>44508</v>
      </c>
      <c r="C162" s="1" t="n">
        <v>45673</v>
      </c>
      <c r="D162" t="inlineStr">
        <is>
          <t>VÄSTRA GÖTALANDS LÄN</t>
        </is>
      </c>
      <c r="E162" t="inlineStr">
        <is>
          <t>UDDEVALLA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63878-2021</t>
        </is>
      </c>
      <c r="B163" s="1" t="n">
        <v>44509</v>
      </c>
      <c r="C163" s="1" t="n">
        <v>45673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65457-2021</t>
        </is>
      </c>
      <c r="B164" s="1" t="n">
        <v>44516</v>
      </c>
      <c r="C164" s="1" t="n">
        <v>45673</v>
      </c>
      <c r="D164" t="inlineStr">
        <is>
          <t>VÄSTRA GÖTALANDS LÄN</t>
        </is>
      </c>
      <c r="E164" t="inlineStr">
        <is>
          <t>UDDEVALLA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67260-2021</t>
        </is>
      </c>
      <c r="B165" s="1" t="n">
        <v>44523</v>
      </c>
      <c r="C165" s="1" t="n">
        <v>45673</v>
      </c>
      <c r="D165" t="inlineStr">
        <is>
          <t>VÄSTRA GÖTALANDS LÄN</t>
        </is>
      </c>
      <c r="E165" t="inlineStr">
        <is>
          <t>UDDEVALLA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68702-2021</t>
        </is>
      </c>
      <c r="B166" s="1" t="n">
        <v>44529</v>
      </c>
      <c r="C166" s="1" t="n">
        <v>45673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68704-2021</t>
        </is>
      </c>
      <c r="B167" s="1" t="n">
        <v>44529</v>
      </c>
      <c r="C167" s="1" t="n">
        <v>45673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68950-2021</t>
        </is>
      </c>
      <c r="B168" s="1" t="n">
        <v>44530</v>
      </c>
      <c r="C168" s="1" t="n">
        <v>45673</v>
      </c>
      <c r="D168" t="inlineStr">
        <is>
          <t>VÄSTRA GÖTALANDS LÄN</t>
        </is>
      </c>
      <c r="E168" t="inlineStr">
        <is>
          <t>UDDEVALLA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69783-2021</t>
        </is>
      </c>
      <c r="B169" s="1" t="n">
        <v>44532</v>
      </c>
      <c r="C169" s="1" t="n">
        <v>45673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69779-2021</t>
        </is>
      </c>
      <c r="B170" s="1" t="n">
        <v>44532</v>
      </c>
      <c r="C170" s="1" t="n">
        <v>45673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70494-2021</t>
        </is>
      </c>
      <c r="B171" s="1" t="n">
        <v>44536</v>
      </c>
      <c r="C171" s="1" t="n">
        <v>45673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70491-2021</t>
        </is>
      </c>
      <c r="B172" s="1" t="n">
        <v>44536</v>
      </c>
      <c r="C172" s="1" t="n">
        <v>45673</v>
      </c>
      <c r="D172" t="inlineStr">
        <is>
          <t>VÄSTRA GÖTALANDS LÄN</t>
        </is>
      </c>
      <c r="E172" t="inlineStr">
        <is>
          <t>UDDEVALLA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71916-2021</t>
        </is>
      </c>
      <c r="B173" s="1" t="n">
        <v>44543</v>
      </c>
      <c r="C173" s="1" t="n">
        <v>45673</v>
      </c>
      <c r="D173" t="inlineStr">
        <is>
          <t>VÄSTRA GÖTALANDS LÄN</t>
        </is>
      </c>
      <c r="E173" t="inlineStr">
        <is>
          <t>UDDEVALLA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71915-2021</t>
        </is>
      </c>
      <c r="B174" s="1" t="n">
        <v>44543</v>
      </c>
      <c r="C174" s="1" t="n">
        <v>45673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73007-2021</t>
        </is>
      </c>
      <c r="B175" s="1" t="n">
        <v>44550</v>
      </c>
      <c r="C175" s="1" t="n">
        <v>45673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73487-2021</t>
        </is>
      </c>
      <c r="B176" s="1" t="n">
        <v>44551</v>
      </c>
      <c r="C176" s="1" t="n">
        <v>45673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73437-2021</t>
        </is>
      </c>
      <c r="B177" s="1" t="n">
        <v>44551</v>
      </c>
      <c r="C177" s="1" t="n">
        <v>45673</v>
      </c>
      <c r="D177" t="inlineStr">
        <is>
          <t>VÄSTRA GÖTALANDS LÄN</t>
        </is>
      </c>
      <c r="E177" t="inlineStr">
        <is>
          <t>UDDEVALLA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835-2022</t>
        </is>
      </c>
      <c r="B178" s="1" t="n">
        <v>44571</v>
      </c>
      <c r="C178" s="1" t="n">
        <v>45673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1156-2022</t>
        </is>
      </c>
      <c r="B179" s="1" t="n">
        <v>44572</v>
      </c>
      <c r="C179" s="1" t="n">
        <v>45673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1346-2022</t>
        </is>
      </c>
      <c r="B180" s="1" t="n">
        <v>44572</v>
      </c>
      <c r="C180" s="1" t="n">
        <v>45673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1861-2022</t>
        </is>
      </c>
      <c r="B181" s="1" t="n">
        <v>44574</v>
      </c>
      <c r="C181" s="1" t="n">
        <v>45673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2306-2022</t>
        </is>
      </c>
      <c r="B182" s="1" t="n">
        <v>44578</v>
      </c>
      <c r="C182" s="1" t="n">
        <v>45673</v>
      </c>
      <c r="D182" t="inlineStr">
        <is>
          <t>VÄSTRA GÖTALANDS LÄN</t>
        </is>
      </c>
      <c r="E182" t="inlineStr">
        <is>
          <t>UDDEVALLA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2505-2022</t>
        </is>
      </c>
      <c r="B183" s="1" t="n">
        <v>44579</v>
      </c>
      <c r="C183" s="1" t="n">
        <v>45673</v>
      </c>
      <c r="D183" t="inlineStr">
        <is>
          <t>VÄSTRA GÖTALANDS LÄN</t>
        </is>
      </c>
      <c r="E183" t="inlineStr">
        <is>
          <t>UDDEVALLA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3077-2022</t>
        </is>
      </c>
      <c r="B184" s="1" t="n">
        <v>44582</v>
      </c>
      <c r="C184" s="1" t="n">
        <v>45673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3562-2022</t>
        </is>
      </c>
      <c r="B185" s="1" t="n">
        <v>44585</v>
      </c>
      <c r="C185" s="1" t="n">
        <v>45673</v>
      </c>
      <c r="D185" t="inlineStr">
        <is>
          <t>VÄSTRA GÖTALANDS LÄN</t>
        </is>
      </c>
      <c r="E185" t="inlineStr">
        <is>
          <t>UDDEVALLA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3607-2022</t>
        </is>
      </c>
      <c r="B186" s="1" t="n">
        <v>44586</v>
      </c>
      <c r="C186" s="1" t="n">
        <v>45673</v>
      </c>
      <c r="D186" t="inlineStr">
        <is>
          <t>VÄSTRA GÖTALANDS LÄN</t>
        </is>
      </c>
      <c r="E186" t="inlineStr">
        <is>
          <t>UDDEVALLA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4639-2022</t>
        </is>
      </c>
      <c r="B187" s="1" t="n">
        <v>44592</v>
      </c>
      <c r="C187" s="1" t="n">
        <v>45673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6063-2022</t>
        </is>
      </c>
      <c r="B188" s="1" t="n">
        <v>44599</v>
      </c>
      <c r="C188" s="1" t="n">
        <v>45673</v>
      </c>
      <c r="D188" t="inlineStr">
        <is>
          <t>VÄSTRA GÖTALANDS LÄN</t>
        </is>
      </c>
      <c r="E188" t="inlineStr">
        <is>
          <t>UDDEVALLA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6875-2022</t>
        </is>
      </c>
      <c r="B189" s="1" t="n">
        <v>44602</v>
      </c>
      <c r="C189" s="1" t="n">
        <v>45673</v>
      </c>
      <c r="D189" t="inlineStr">
        <is>
          <t>VÄSTRA GÖTALANDS LÄN</t>
        </is>
      </c>
      <c r="E189" t="inlineStr">
        <is>
          <t>UDDEVALLA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8897-2022</t>
        </is>
      </c>
      <c r="B190" s="1" t="n">
        <v>44614</v>
      </c>
      <c r="C190" s="1" t="n">
        <v>45673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8899-2022</t>
        </is>
      </c>
      <c r="B191" s="1" t="n">
        <v>44614</v>
      </c>
      <c r="C191" s="1" t="n">
        <v>45673</v>
      </c>
      <c r="D191" t="inlineStr">
        <is>
          <t>VÄSTRA GÖTALANDS LÄN</t>
        </is>
      </c>
      <c r="E191" t="inlineStr">
        <is>
          <t>UDDEVALLA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10684-2022</t>
        </is>
      </c>
      <c r="B192" s="1" t="n">
        <v>44624</v>
      </c>
      <c r="C192" s="1" t="n">
        <v>45673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10837-2022</t>
        </is>
      </c>
      <c r="B193" s="1" t="n">
        <v>44627</v>
      </c>
      <c r="C193" s="1" t="n">
        <v>45673</v>
      </c>
      <c r="D193" t="inlineStr">
        <is>
          <t>VÄSTRA GÖTALANDS LÄN</t>
        </is>
      </c>
      <c r="E193" t="inlineStr">
        <is>
          <t>UDDEVALLA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10864-2022</t>
        </is>
      </c>
      <c r="B194" s="1" t="n">
        <v>44627</v>
      </c>
      <c r="C194" s="1" t="n">
        <v>45673</v>
      </c>
      <c r="D194" t="inlineStr">
        <is>
          <t>VÄSTRA GÖTALANDS LÄN</t>
        </is>
      </c>
      <c r="E194" t="inlineStr">
        <is>
          <t>UDDEVALLA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11770-2022</t>
        </is>
      </c>
      <c r="B195" s="1" t="n">
        <v>44634</v>
      </c>
      <c r="C195" s="1" t="n">
        <v>45673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13737-2022</t>
        </is>
      </c>
      <c r="B196" s="1" t="n">
        <v>44649</v>
      </c>
      <c r="C196" s="1" t="n">
        <v>45673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14530-2022</t>
        </is>
      </c>
      <c r="B197" s="1" t="n">
        <v>44655</v>
      </c>
      <c r="C197" s="1" t="n">
        <v>45673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14604-2022</t>
        </is>
      </c>
      <c r="B198" s="1" t="n">
        <v>44655</v>
      </c>
      <c r="C198" s="1" t="n">
        <v>45673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17964-2022</t>
        </is>
      </c>
      <c r="B199" s="1" t="n">
        <v>44683</v>
      </c>
      <c r="C199" s="1" t="n">
        <v>45673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20364-2022</t>
        </is>
      </c>
      <c r="B200" s="1" t="n">
        <v>44699</v>
      </c>
      <c r="C200" s="1" t="n">
        <v>45673</v>
      </c>
      <c r="D200" t="inlineStr">
        <is>
          <t>VÄSTRA GÖTALANDS LÄN</t>
        </is>
      </c>
      <c r="E200" t="inlineStr">
        <is>
          <t>UDDEVALLA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22923-2022</t>
        </is>
      </c>
      <c r="B201" s="1" t="n">
        <v>44715</v>
      </c>
      <c r="C201" s="1" t="n">
        <v>45673</v>
      </c>
      <c r="D201" t="inlineStr">
        <is>
          <t>VÄSTRA GÖTALANDS LÄN</t>
        </is>
      </c>
      <c r="E201" t="inlineStr">
        <is>
          <t>UDDEVALLA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25813-2022</t>
        </is>
      </c>
      <c r="B202" s="1" t="n">
        <v>44733</v>
      </c>
      <c r="C202" s="1" t="n">
        <v>45673</v>
      </c>
      <c r="D202" t="inlineStr">
        <is>
          <t>VÄSTRA GÖTALANDS LÄN</t>
        </is>
      </c>
      <c r="E202" t="inlineStr">
        <is>
          <t>UDDEVALLA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25807-2022</t>
        </is>
      </c>
      <c r="B203" s="1" t="n">
        <v>44733</v>
      </c>
      <c r="C203" s="1" t="n">
        <v>45673</v>
      </c>
      <c r="D203" t="inlineStr">
        <is>
          <t>VÄSTRA GÖTALANDS LÄN</t>
        </is>
      </c>
      <c r="E203" t="inlineStr">
        <is>
          <t>UDDEVALLA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25811-2022</t>
        </is>
      </c>
      <c r="B204" s="1" t="n">
        <v>44733</v>
      </c>
      <c r="C204" s="1" t="n">
        <v>45673</v>
      </c>
      <c r="D204" t="inlineStr">
        <is>
          <t>VÄSTRA GÖTALANDS LÄN</t>
        </is>
      </c>
      <c r="E204" t="inlineStr">
        <is>
          <t>UDDEVALLA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26068-2022</t>
        </is>
      </c>
      <c r="B205" s="1" t="n">
        <v>44734</v>
      </c>
      <c r="C205" s="1" t="n">
        <v>45673</v>
      </c>
      <c r="D205" t="inlineStr">
        <is>
          <t>VÄSTRA GÖTALANDS LÄN</t>
        </is>
      </c>
      <c r="E205" t="inlineStr">
        <is>
          <t>UDDEVALLA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29316-2022</t>
        </is>
      </c>
      <c r="B206" s="1" t="n">
        <v>44751</v>
      </c>
      <c r="C206" s="1" t="n">
        <v>45673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30871-2022</t>
        </is>
      </c>
      <c r="B207" s="1" t="n">
        <v>44767</v>
      </c>
      <c r="C207" s="1" t="n">
        <v>45673</v>
      </c>
      <c r="D207" t="inlineStr">
        <is>
          <t>VÄSTRA GÖTALANDS LÄN</t>
        </is>
      </c>
      <c r="E207" t="inlineStr">
        <is>
          <t>UDDEVALLA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33860-2022</t>
        </is>
      </c>
      <c r="B208" s="1" t="n">
        <v>44790</v>
      </c>
      <c r="C208" s="1" t="n">
        <v>45673</v>
      </c>
      <c r="D208" t="inlineStr">
        <is>
          <t>VÄSTRA GÖTALANDS LÄN</t>
        </is>
      </c>
      <c r="E208" t="inlineStr">
        <is>
          <t>UDDEVALLA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34232-2022</t>
        </is>
      </c>
      <c r="B209" s="1" t="n">
        <v>44791</v>
      </c>
      <c r="C209" s="1" t="n">
        <v>45673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34555-2022</t>
        </is>
      </c>
      <c r="B210" s="1" t="n">
        <v>44794</v>
      </c>
      <c r="C210" s="1" t="n">
        <v>45673</v>
      </c>
      <c r="D210" t="inlineStr">
        <is>
          <t>VÄSTRA GÖTALANDS LÄN</t>
        </is>
      </c>
      <c r="E210" t="inlineStr">
        <is>
          <t>UDDEVALLA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34637-2022</t>
        </is>
      </c>
      <c r="B211" s="1" t="n">
        <v>44795</v>
      </c>
      <c r="C211" s="1" t="n">
        <v>45673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39070-2022</t>
        </is>
      </c>
      <c r="B212" s="1" t="n">
        <v>44812</v>
      </c>
      <c r="C212" s="1" t="n">
        <v>45673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38557-2022</t>
        </is>
      </c>
      <c r="B213" s="1" t="n">
        <v>44813</v>
      </c>
      <c r="C213" s="1" t="n">
        <v>45673</v>
      </c>
      <c r="D213" t="inlineStr">
        <is>
          <t>VÄSTRA GÖTALANDS LÄN</t>
        </is>
      </c>
      <c r="E213" t="inlineStr">
        <is>
          <t>UDDEVALLA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39084-2022</t>
        </is>
      </c>
      <c r="B214" s="1" t="n">
        <v>44817</v>
      </c>
      <c r="C214" s="1" t="n">
        <v>45673</v>
      </c>
      <c r="D214" t="inlineStr">
        <is>
          <t>VÄSTRA GÖTALANDS LÄN</t>
        </is>
      </c>
      <c r="E214" t="inlineStr">
        <is>
          <t>UDDEVALLA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39088-2022</t>
        </is>
      </c>
      <c r="B215" s="1" t="n">
        <v>44817</v>
      </c>
      <c r="C215" s="1" t="n">
        <v>45673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39086-2022</t>
        </is>
      </c>
      <c r="B216" s="1" t="n">
        <v>44817</v>
      </c>
      <c r="C216" s="1" t="n">
        <v>45673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39991-2022</t>
        </is>
      </c>
      <c r="B217" s="1" t="n">
        <v>44820</v>
      </c>
      <c r="C217" s="1" t="n">
        <v>45673</v>
      </c>
      <c r="D217" t="inlineStr">
        <is>
          <t>VÄSTRA GÖTALANDS LÄN</t>
        </is>
      </c>
      <c r="E217" t="inlineStr">
        <is>
          <t>UDDEVALLA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40571-2022</t>
        </is>
      </c>
      <c r="B218" s="1" t="n">
        <v>44823</v>
      </c>
      <c r="C218" s="1" t="n">
        <v>45673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41292-2022</t>
        </is>
      </c>
      <c r="B219" s="1" t="n">
        <v>44825</v>
      </c>
      <c r="C219" s="1" t="n">
        <v>45673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41965-2022</t>
        </is>
      </c>
      <c r="B220" s="1" t="n">
        <v>44830</v>
      </c>
      <c r="C220" s="1" t="n">
        <v>45673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41964-2022</t>
        </is>
      </c>
      <c r="B221" s="1" t="n">
        <v>44830</v>
      </c>
      <c r="C221" s="1" t="n">
        <v>45673</v>
      </c>
      <c r="D221" t="inlineStr">
        <is>
          <t>VÄSTRA GÖTALANDS LÄN</t>
        </is>
      </c>
      <c r="E221" t="inlineStr">
        <is>
          <t>UDDEVALLA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43276-2022</t>
        </is>
      </c>
      <c r="B222" s="1" t="n">
        <v>44834</v>
      </c>
      <c r="C222" s="1" t="n">
        <v>45673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44269-2022</t>
        </is>
      </c>
      <c r="B223" s="1" t="n">
        <v>44839</v>
      </c>
      <c r="C223" s="1" t="n">
        <v>45673</v>
      </c>
      <c r="D223" t="inlineStr">
        <is>
          <t>VÄSTRA GÖTALANDS LÄN</t>
        </is>
      </c>
      <c r="E223" t="inlineStr">
        <is>
          <t>UDDEVALLA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44541-2022</t>
        </is>
      </c>
      <c r="B224" s="1" t="n">
        <v>44840</v>
      </c>
      <c r="C224" s="1" t="n">
        <v>45673</v>
      </c>
      <c r="D224" t="inlineStr">
        <is>
          <t>VÄSTRA GÖTALANDS LÄN</t>
        </is>
      </c>
      <c r="E224" t="inlineStr">
        <is>
          <t>UDDEVALLA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45016-2022</t>
        </is>
      </c>
      <c r="B225" s="1" t="n">
        <v>44841</v>
      </c>
      <c r="C225" s="1" t="n">
        <v>45673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54047-2022</t>
        </is>
      </c>
      <c r="B226" s="1" t="n">
        <v>44881</v>
      </c>
      <c r="C226" s="1" t="n">
        <v>45673</v>
      </c>
      <c r="D226" t="inlineStr">
        <is>
          <t>VÄSTRA GÖTALANDS LÄN</t>
        </is>
      </c>
      <c r="E226" t="inlineStr">
        <is>
          <t>UDDEVALLA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54402-2022</t>
        </is>
      </c>
      <c r="B227" s="1" t="n">
        <v>44882</v>
      </c>
      <c r="C227" s="1" t="n">
        <v>45673</v>
      </c>
      <c r="D227" t="inlineStr">
        <is>
          <t>VÄSTRA GÖTALANDS LÄN</t>
        </is>
      </c>
      <c r="E227" t="inlineStr">
        <is>
          <t>UDDEVALLA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56428-2022</t>
        </is>
      </c>
      <c r="B228" s="1" t="n">
        <v>44891</v>
      </c>
      <c r="C228" s="1" t="n">
        <v>45673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59235-2022</t>
        </is>
      </c>
      <c r="B229" s="1" t="n">
        <v>44899</v>
      </c>
      <c r="C229" s="1" t="n">
        <v>45673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59230-2022</t>
        </is>
      </c>
      <c r="B230" s="1" t="n">
        <v>44899</v>
      </c>
      <c r="C230" s="1" t="n">
        <v>45673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59466-2022</t>
        </is>
      </c>
      <c r="B231" s="1" t="n">
        <v>44900</v>
      </c>
      <c r="C231" s="1" t="n">
        <v>45673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59474-2022</t>
        </is>
      </c>
      <c r="B232" s="1" t="n">
        <v>44900</v>
      </c>
      <c r="C232" s="1" t="n">
        <v>45673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58326-2022</t>
        </is>
      </c>
      <c r="B233" s="1" t="n">
        <v>44901</v>
      </c>
      <c r="C233" s="1" t="n">
        <v>45673</v>
      </c>
      <c r="D233" t="inlineStr">
        <is>
          <t>VÄSTRA GÖTALANDS LÄN</t>
        </is>
      </c>
      <c r="E233" t="inlineStr">
        <is>
          <t>UDDEVALLA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58930-2022</t>
        </is>
      </c>
      <c r="B234" s="1" t="n">
        <v>44903</v>
      </c>
      <c r="C234" s="1" t="n">
        <v>45673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58934-2022</t>
        </is>
      </c>
      <c r="B235" s="1" t="n">
        <v>44903</v>
      </c>
      <c r="C235" s="1" t="n">
        <v>45673</v>
      </c>
      <c r="D235" t="inlineStr">
        <is>
          <t>VÄSTRA GÖTALANDS LÄN</t>
        </is>
      </c>
      <c r="E235" t="inlineStr">
        <is>
          <t>UDDEVALLA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1956-2023</t>
        </is>
      </c>
      <c r="B236" s="1" t="n">
        <v>44924</v>
      </c>
      <c r="C236" s="1" t="n">
        <v>45673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240-2023</t>
        </is>
      </c>
      <c r="B237" s="1" t="n">
        <v>44928</v>
      </c>
      <c r="C237" s="1" t="n">
        <v>45673</v>
      </c>
      <c r="D237" t="inlineStr">
        <is>
          <t>VÄSTRA GÖTALANDS LÄN</t>
        </is>
      </c>
      <c r="E237" t="inlineStr">
        <is>
          <t>UDDEVALLA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498-2023</t>
        </is>
      </c>
      <c r="B238" s="1" t="n">
        <v>44930</v>
      </c>
      <c r="C238" s="1" t="n">
        <v>45673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495-2023</t>
        </is>
      </c>
      <c r="B239" s="1" t="n">
        <v>44930</v>
      </c>
      <c r="C239" s="1" t="n">
        <v>45673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1051-2023</t>
        </is>
      </c>
      <c r="B240" s="1" t="n">
        <v>44935</v>
      </c>
      <c r="C240" s="1" t="n">
        <v>45673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2661-2023</t>
        </is>
      </c>
      <c r="B241" s="1" t="n">
        <v>44944</v>
      </c>
      <c r="C241" s="1" t="n">
        <v>45673</v>
      </c>
      <c r="D241" t="inlineStr">
        <is>
          <t>VÄSTRA GÖTALANDS LÄN</t>
        </is>
      </c>
      <c r="E241" t="inlineStr">
        <is>
          <t>UDDEVALLA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3839-2023</t>
        </is>
      </c>
      <c r="B242" s="1" t="n">
        <v>44951</v>
      </c>
      <c r="C242" s="1" t="n">
        <v>45673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4505-2023</t>
        </is>
      </c>
      <c r="B243" s="1" t="n">
        <v>44956</v>
      </c>
      <c r="C243" s="1" t="n">
        <v>45673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5433-2023</t>
        </is>
      </c>
      <c r="B244" s="1" t="n">
        <v>44959</v>
      </c>
      <c r="C244" s="1" t="n">
        <v>45673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5557-2023</t>
        </is>
      </c>
      <c r="B245" s="1" t="n">
        <v>44960</v>
      </c>
      <c r="C245" s="1" t="n">
        <v>45673</v>
      </c>
      <c r="D245" t="inlineStr">
        <is>
          <t>VÄSTRA GÖTALANDS LÄN</t>
        </is>
      </c>
      <c r="E245" t="inlineStr">
        <is>
          <t>UDDEVALLA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6887-2023</t>
        </is>
      </c>
      <c r="B246" s="1" t="n">
        <v>44967</v>
      </c>
      <c r="C246" s="1" t="n">
        <v>45673</v>
      </c>
      <c r="D246" t="inlineStr">
        <is>
          <t>VÄSTRA GÖTALANDS LÄN</t>
        </is>
      </c>
      <c r="E246" t="inlineStr">
        <is>
          <t>UDDEVALLA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7755-2023</t>
        </is>
      </c>
      <c r="B247" s="1" t="n">
        <v>44969</v>
      </c>
      <c r="C247" s="1" t="n">
        <v>45673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7095-2023</t>
        </is>
      </c>
      <c r="B248" s="1" t="n">
        <v>44970</v>
      </c>
      <c r="C248" s="1" t="n">
        <v>45673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7771-2023</t>
        </is>
      </c>
      <c r="B249" s="1" t="n">
        <v>44973</v>
      </c>
      <c r="C249" s="1" t="n">
        <v>45673</v>
      </c>
      <c r="D249" t="inlineStr">
        <is>
          <t>VÄSTRA GÖTALANDS LÄN</t>
        </is>
      </c>
      <c r="E249" t="inlineStr">
        <is>
          <t>UDDEVALLA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7770-2023</t>
        </is>
      </c>
      <c r="B250" s="1" t="n">
        <v>44973</v>
      </c>
      <c r="C250" s="1" t="n">
        <v>45673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8116-2023</t>
        </is>
      </c>
      <c r="B251" s="1" t="n">
        <v>44974</v>
      </c>
      <c r="C251" s="1" t="n">
        <v>45673</v>
      </c>
      <c r="D251" t="inlineStr">
        <is>
          <t>VÄSTRA GÖTALANDS LÄN</t>
        </is>
      </c>
      <c r="E251" t="inlineStr">
        <is>
          <t>UDDEVALLA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8258-2023</t>
        </is>
      </c>
      <c r="B252" s="1" t="n">
        <v>44974</v>
      </c>
      <c r="C252" s="1" t="n">
        <v>45673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10426-2023</t>
        </is>
      </c>
      <c r="B253" s="1" t="n">
        <v>44981</v>
      </c>
      <c r="C253" s="1" t="n">
        <v>45673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10423-2023</t>
        </is>
      </c>
      <c r="B254" s="1" t="n">
        <v>44981</v>
      </c>
      <c r="C254" s="1" t="n">
        <v>45673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9797-2023</t>
        </is>
      </c>
      <c r="B255" s="1" t="n">
        <v>44984</v>
      </c>
      <c r="C255" s="1" t="n">
        <v>45673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11021-2023</t>
        </is>
      </c>
      <c r="B256" s="1" t="n">
        <v>44991</v>
      </c>
      <c r="C256" s="1" t="n">
        <v>45673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11720-2023</t>
        </is>
      </c>
      <c r="B257" s="1" t="n">
        <v>44992</v>
      </c>
      <c r="C257" s="1" t="n">
        <v>45673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11770-2023</t>
        </is>
      </c>
      <c r="B258" s="1" t="n">
        <v>44993</v>
      </c>
      <c r="C258" s="1" t="n">
        <v>45673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11778-2023</t>
        </is>
      </c>
      <c r="B259" s="1" t="n">
        <v>44993</v>
      </c>
      <c r="C259" s="1" t="n">
        <v>45673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12169-2023</t>
        </is>
      </c>
      <c r="B260" s="1" t="n">
        <v>44998</v>
      </c>
      <c r="C260" s="1" t="n">
        <v>45673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13381-2023</t>
        </is>
      </c>
      <c r="B261" s="1" t="n">
        <v>45005</v>
      </c>
      <c r="C261" s="1" t="n">
        <v>45673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13379-2023</t>
        </is>
      </c>
      <c r="B262" s="1" t="n">
        <v>45005</v>
      </c>
      <c r="C262" s="1" t="n">
        <v>45673</v>
      </c>
      <c r="D262" t="inlineStr">
        <is>
          <t>VÄSTRA GÖTALANDS LÄN</t>
        </is>
      </c>
      <c r="E262" t="inlineStr">
        <is>
          <t>UDDEVALLA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13547-2023</t>
        </is>
      </c>
      <c r="B263" s="1" t="n">
        <v>45006</v>
      </c>
      <c r="C263" s="1" t="n">
        <v>45673</v>
      </c>
      <c r="D263" t="inlineStr">
        <is>
          <t>VÄSTRA GÖTALANDS LÄN</t>
        </is>
      </c>
      <c r="E263" t="inlineStr">
        <is>
          <t>UDDEVALLA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15677-2023</t>
        </is>
      </c>
      <c r="B264" s="1" t="n">
        <v>45020</v>
      </c>
      <c r="C264" s="1" t="n">
        <v>45673</v>
      </c>
      <c r="D264" t="inlineStr">
        <is>
          <t>VÄSTRA GÖTALANDS LÄN</t>
        </is>
      </c>
      <c r="E264" t="inlineStr">
        <is>
          <t>UDDEVALLA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15634-2023</t>
        </is>
      </c>
      <c r="B265" s="1" t="n">
        <v>45021</v>
      </c>
      <c r="C265" s="1" t="n">
        <v>45673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16205-2023</t>
        </is>
      </c>
      <c r="B266" s="1" t="n">
        <v>45028</v>
      </c>
      <c r="C266" s="1" t="n">
        <v>45673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17139-2023</t>
        </is>
      </c>
      <c r="B267" s="1" t="n">
        <v>45034</v>
      </c>
      <c r="C267" s="1" t="n">
        <v>45673</v>
      </c>
      <c r="D267" t="inlineStr">
        <is>
          <t>VÄSTRA GÖTALANDS LÄN</t>
        </is>
      </c>
      <c r="E267" t="inlineStr">
        <is>
          <t>UDDEVALLA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17242-2023</t>
        </is>
      </c>
      <c r="B268" s="1" t="n">
        <v>45035</v>
      </c>
      <c r="C268" s="1" t="n">
        <v>45673</v>
      </c>
      <c r="D268" t="inlineStr">
        <is>
          <t>VÄSTRA GÖTALANDS LÄN</t>
        </is>
      </c>
      <c r="E268" t="inlineStr">
        <is>
          <t>UDDEVALLA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17240-2023</t>
        </is>
      </c>
      <c r="B269" s="1" t="n">
        <v>45035</v>
      </c>
      <c r="C269" s="1" t="n">
        <v>45673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18543-2023</t>
        </is>
      </c>
      <c r="B270" s="1" t="n">
        <v>45041</v>
      </c>
      <c r="C270" s="1" t="n">
        <v>45673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18525-2023</t>
        </is>
      </c>
      <c r="B271" s="1" t="n">
        <v>45042</v>
      </c>
      <c r="C271" s="1" t="n">
        <v>45673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20703-2023</t>
        </is>
      </c>
      <c r="B272" s="1" t="n">
        <v>45058</v>
      </c>
      <c r="C272" s="1" t="n">
        <v>45673</v>
      </c>
      <c r="D272" t="inlineStr">
        <is>
          <t>VÄSTRA GÖTALANDS LÄN</t>
        </is>
      </c>
      <c r="E272" t="inlineStr">
        <is>
          <t>UDDEVALLA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21084-2023</t>
        </is>
      </c>
      <c r="B273" s="1" t="n">
        <v>45061</v>
      </c>
      <c r="C273" s="1" t="n">
        <v>45673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21584-2023</t>
        </is>
      </c>
      <c r="B274" s="1" t="n">
        <v>45063</v>
      </c>
      <c r="C274" s="1" t="n">
        <v>45673</v>
      </c>
      <c r="D274" t="inlineStr">
        <is>
          <t>VÄSTRA GÖTALANDS LÄN</t>
        </is>
      </c>
      <c r="E274" t="inlineStr">
        <is>
          <t>UDDEVALLA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21577-2023</t>
        </is>
      </c>
      <c r="B275" s="1" t="n">
        <v>45063</v>
      </c>
      <c r="C275" s="1" t="n">
        <v>45673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21581-2023</t>
        </is>
      </c>
      <c r="B276" s="1" t="n">
        <v>45063</v>
      </c>
      <c r="C276" s="1" t="n">
        <v>45673</v>
      </c>
      <c r="D276" t="inlineStr">
        <is>
          <t>VÄSTRA GÖTALANDS LÄN</t>
        </is>
      </c>
      <c r="E276" t="inlineStr">
        <is>
          <t>UDDEVALLA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22603-2023</t>
        </is>
      </c>
      <c r="B277" s="1" t="n">
        <v>45071</v>
      </c>
      <c r="C277" s="1" t="n">
        <v>45673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23210-2023</t>
        </is>
      </c>
      <c r="B278" s="1" t="n">
        <v>45071</v>
      </c>
      <c r="C278" s="1" t="n">
        <v>45673</v>
      </c>
      <c r="D278" t="inlineStr">
        <is>
          <t>VÄSTRA GÖTALANDS LÄN</t>
        </is>
      </c>
      <c r="E278" t="inlineStr">
        <is>
          <t>UDDEVALLA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23206-2023</t>
        </is>
      </c>
      <c r="B279" s="1" t="n">
        <v>45071</v>
      </c>
      <c r="C279" s="1" t="n">
        <v>45673</v>
      </c>
      <c r="D279" t="inlineStr">
        <is>
          <t>VÄSTRA GÖTALANDS LÄN</t>
        </is>
      </c>
      <c r="E279" t="inlineStr">
        <is>
          <t>UDDEVALLA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23383-2023</t>
        </is>
      </c>
      <c r="B280" s="1" t="n">
        <v>45076</v>
      </c>
      <c r="C280" s="1" t="n">
        <v>45673</v>
      </c>
      <c r="D280" t="inlineStr">
        <is>
          <t>VÄSTRA GÖTALANDS LÄN</t>
        </is>
      </c>
      <c r="E280" t="inlineStr">
        <is>
          <t>UDDEVALLA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23395-2023</t>
        </is>
      </c>
      <c r="B281" s="1" t="n">
        <v>45076</v>
      </c>
      <c r="C281" s="1" t="n">
        <v>45673</v>
      </c>
      <c r="D281" t="inlineStr">
        <is>
          <t>VÄSTRA GÖTALANDS LÄN</t>
        </is>
      </c>
      <c r="E281" t="inlineStr">
        <is>
          <t>UDDEVALLA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25519-2023</t>
        </is>
      </c>
      <c r="B282" s="1" t="n">
        <v>45089</v>
      </c>
      <c r="C282" s="1" t="n">
        <v>45673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26440-2023</t>
        </is>
      </c>
      <c r="B283" s="1" t="n">
        <v>45092</v>
      </c>
      <c r="C283" s="1" t="n">
        <v>45673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26916-2023</t>
        </is>
      </c>
      <c r="B284" s="1" t="n">
        <v>45093</v>
      </c>
      <c r="C284" s="1" t="n">
        <v>45673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26940-2023</t>
        </is>
      </c>
      <c r="B285" s="1" t="n">
        <v>45093</v>
      </c>
      <c r="C285" s="1" t="n">
        <v>45673</v>
      </c>
      <c r="D285" t="inlineStr">
        <is>
          <t>VÄSTRA GÖTALANDS LÄN</t>
        </is>
      </c>
      <c r="E285" t="inlineStr">
        <is>
          <t>UDDEVALLA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26935-2023</t>
        </is>
      </c>
      <c r="B286" s="1" t="n">
        <v>45093</v>
      </c>
      <c r="C286" s="1" t="n">
        <v>45673</v>
      </c>
      <c r="D286" t="inlineStr">
        <is>
          <t>VÄSTRA GÖTALANDS LÄN</t>
        </is>
      </c>
      <c r="E286" t="inlineStr">
        <is>
          <t>UDDEVALLA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27526-2023</t>
        </is>
      </c>
      <c r="B287" s="1" t="n">
        <v>45097</v>
      </c>
      <c r="C287" s="1" t="n">
        <v>45673</v>
      </c>
      <c r="D287" t="inlineStr">
        <is>
          <t>VÄSTRA GÖTALANDS LÄN</t>
        </is>
      </c>
      <c r="E287" t="inlineStr">
        <is>
          <t>UDDEVALLA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27524-2023</t>
        </is>
      </c>
      <c r="B288" s="1" t="n">
        <v>45097</v>
      </c>
      <c r="C288" s="1" t="n">
        <v>45673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27529-2023</t>
        </is>
      </c>
      <c r="B289" s="1" t="n">
        <v>45097</v>
      </c>
      <c r="C289" s="1" t="n">
        <v>45673</v>
      </c>
      <c r="D289" t="inlineStr">
        <is>
          <t>VÄSTRA GÖTALANDS LÄN</t>
        </is>
      </c>
      <c r="E289" t="inlineStr">
        <is>
          <t>UDDEVALLA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28873-2023</t>
        </is>
      </c>
      <c r="B290" s="1" t="n">
        <v>45104</v>
      </c>
      <c r="C290" s="1" t="n">
        <v>45673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29691-2023</t>
        </is>
      </c>
      <c r="B291" s="1" t="n">
        <v>45107</v>
      </c>
      <c r="C291" s="1" t="n">
        <v>45673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45673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32531-2023</t>
        </is>
      </c>
      <c r="B293" s="1" t="n">
        <v>45121</v>
      </c>
      <c r="C293" s="1" t="n">
        <v>45673</v>
      </c>
      <c r="D293" t="inlineStr">
        <is>
          <t>VÄSTRA GÖTALANDS LÄN</t>
        </is>
      </c>
      <c r="E293" t="inlineStr">
        <is>
          <t>UDDEVALLA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33205-2023</t>
        </is>
      </c>
      <c r="B294" s="1" t="n">
        <v>45127</v>
      </c>
      <c r="C294" s="1" t="n">
        <v>45673</v>
      </c>
      <c r="D294" t="inlineStr">
        <is>
          <t>VÄSTRA GÖTALANDS LÄN</t>
        </is>
      </c>
      <c r="E294" t="inlineStr">
        <is>
          <t>UDDEVALLA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45673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34058-2023</t>
        </is>
      </c>
      <c r="B296" s="1" t="n">
        <v>45135</v>
      </c>
      <c r="C296" s="1" t="n">
        <v>45673</v>
      </c>
      <c r="D296" t="inlineStr">
        <is>
          <t>VÄSTRA GÖTALANDS LÄN</t>
        </is>
      </c>
      <c r="E296" t="inlineStr">
        <is>
          <t>UDDEVALLA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34792-2023</t>
        </is>
      </c>
      <c r="B297" s="1" t="n">
        <v>45141</v>
      </c>
      <c r="C297" s="1" t="n">
        <v>45673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35063-2023</t>
        </is>
      </c>
      <c r="B298" s="1" t="n">
        <v>45145</v>
      </c>
      <c r="C298" s="1" t="n">
        <v>45673</v>
      </c>
      <c r="D298" t="inlineStr">
        <is>
          <t>VÄSTRA GÖTALANDS LÄN</t>
        </is>
      </c>
      <c r="E298" t="inlineStr">
        <is>
          <t>UDDEVALLA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35386-2023</t>
        </is>
      </c>
      <c r="B299" s="1" t="n">
        <v>45146</v>
      </c>
      <c r="C299" s="1" t="n">
        <v>45673</v>
      </c>
      <c r="D299" t="inlineStr">
        <is>
          <t>VÄSTRA GÖTALANDS LÄN</t>
        </is>
      </c>
      <c r="E299" t="inlineStr">
        <is>
          <t>UDDEVALLA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36236-2023</t>
        </is>
      </c>
      <c r="B300" s="1" t="n">
        <v>45150</v>
      </c>
      <c r="C300" s="1" t="n">
        <v>45673</v>
      </c>
      <c r="D300" t="inlineStr">
        <is>
          <t>VÄSTRA GÖTALANDS LÄN</t>
        </is>
      </c>
      <c r="E300" t="inlineStr">
        <is>
          <t>UDDEVALLA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36824-2023</t>
        </is>
      </c>
      <c r="B301" s="1" t="n">
        <v>45154</v>
      </c>
      <c r="C301" s="1" t="n">
        <v>45673</v>
      </c>
      <c r="D301" t="inlineStr">
        <is>
          <t>VÄSTRA GÖTALANDS LÄN</t>
        </is>
      </c>
      <c r="E301" t="inlineStr">
        <is>
          <t>UDDEVALLA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38387-2023</t>
        </is>
      </c>
      <c r="B302" s="1" t="n">
        <v>45162</v>
      </c>
      <c r="C302" s="1" t="n">
        <v>45673</v>
      </c>
      <c r="D302" t="inlineStr">
        <is>
          <t>VÄSTRA GÖTALANDS LÄN</t>
        </is>
      </c>
      <c r="E302" t="inlineStr">
        <is>
          <t>UDDEVALLA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38483-2023</t>
        </is>
      </c>
      <c r="B303" s="1" t="n">
        <v>45162</v>
      </c>
      <c r="C303" s="1" t="n">
        <v>45673</v>
      </c>
      <c r="D303" t="inlineStr">
        <is>
          <t>VÄSTRA GÖTALANDS LÄN</t>
        </is>
      </c>
      <c r="E303" t="inlineStr">
        <is>
          <t>UDDEVALLA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38389-2023</t>
        </is>
      </c>
      <c r="B304" s="1" t="n">
        <v>45162</v>
      </c>
      <c r="C304" s="1" t="n">
        <v>45673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39347-2023</t>
        </is>
      </c>
      <c r="B305" s="1" t="n">
        <v>45166</v>
      </c>
      <c r="C305" s="1" t="n">
        <v>45673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Övriga statliga verk och myndigheter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39559-2023</t>
        </is>
      </c>
      <c r="B306" s="1" t="n">
        <v>45167</v>
      </c>
      <c r="C306" s="1" t="n">
        <v>45673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39621-2023</t>
        </is>
      </c>
      <c r="B307" s="1" t="n">
        <v>45167</v>
      </c>
      <c r="C307" s="1" t="n">
        <v>45673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39867-2023</t>
        </is>
      </c>
      <c r="B308" s="1" t="n">
        <v>45168</v>
      </c>
      <c r="C308" s="1" t="n">
        <v>45673</v>
      </c>
      <c r="D308" t="inlineStr">
        <is>
          <t>VÄSTRA GÖTALANDS LÄN</t>
        </is>
      </c>
      <c r="E308" t="inlineStr">
        <is>
          <t>UDDEVALLA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41079-2023</t>
        </is>
      </c>
      <c r="B309" s="1" t="n">
        <v>45173</v>
      </c>
      <c r="C309" s="1" t="n">
        <v>45673</v>
      </c>
      <c r="D309" t="inlineStr">
        <is>
          <t>VÄSTRA GÖTALANDS LÄN</t>
        </is>
      </c>
      <c r="E309" t="inlineStr">
        <is>
          <t>UDDEVALLA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41259-2023</t>
        </is>
      </c>
      <c r="B310" s="1" t="n">
        <v>45174</v>
      </c>
      <c r="C310" s="1" t="n">
        <v>45673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43271-2023</t>
        </is>
      </c>
      <c r="B311" s="1" t="n">
        <v>45183</v>
      </c>
      <c r="C311" s="1" t="n">
        <v>45673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44325-2023</t>
        </is>
      </c>
      <c r="B312" s="1" t="n">
        <v>45188</v>
      </c>
      <c r="C312" s="1" t="n">
        <v>45673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44369-2023</t>
        </is>
      </c>
      <c r="B313" s="1" t="n">
        <v>45188</v>
      </c>
      <c r="C313" s="1" t="n">
        <v>45673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44366-2023</t>
        </is>
      </c>
      <c r="B314" s="1" t="n">
        <v>45188</v>
      </c>
      <c r="C314" s="1" t="n">
        <v>45673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44822-2023</t>
        </is>
      </c>
      <c r="B315" s="1" t="n">
        <v>45190</v>
      </c>
      <c r="C315" s="1" t="n">
        <v>45673</v>
      </c>
      <c r="D315" t="inlineStr">
        <is>
          <t>VÄSTRA GÖTALANDS LÄN</t>
        </is>
      </c>
      <c r="E315" t="inlineStr">
        <is>
          <t>UDDEVALLA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44821-2023</t>
        </is>
      </c>
      <c r="B316" s="1" t="n">
        <v>45190</v>
      </c>
      <c r="C316" s="1" t="n">
        <v>45673</v>
      </c>
      <c r="D316" t="inlineStr">
        <is>
          <t>VÄSTRA GÖTALANDS LÄN</t>
        </is>
      </c>
      <c r="E316" t="inlineStr">
        <is>
          <t>UDDEVALLA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46416-2023</t>
        </is>
      </c>
      <c r="B317" s="1" t="n">
        <v>45191</v>
      </c>
      <c r="C317" s="1" t="n">
        <v>45673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46480-2023</t>
        </is>
      </c>
      <c r="B318" s="1" t="n">
        <v>45197</v>
      </c>
      <c r="C318" s="1" t="n">
        <v>45673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48132-2023</t>
        </is>
      </c>
      <c r="B319" s="1" t="n">
        <v>45205</v>
      </c>
      <c r="C319" s="1" t="n">
        <v>45673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49251-2023</t>
        </is>
      </c>
      <c r="B320" s="1" t="n">
        <v>45210</v>
      </c>
      <c r="C320" s="1" t="n">
        <v>45673</v>
      </c>
      <c r="D320" t="inlineStr">
        <is>
          <t>VÄSTRA GÖTALANDS LÄN</t>
        </is>
      </c>
      <c r="E320" t="inlineStr">
        <is>
          <t>UDDEVALLA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49378-2023</t>
        </is>
      </c>
      <c r="B321" s="1" t="n">
        <v>45211</v>
      </c>
      <c r="C321" s="1" t="n">
        <v>45673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49780-2023</t>
        </is>
      </c>
      <c r="B322" s="1" t="n">
        <v>45212</v>
      </c>
      <c r="C322" s="1" t="n">
        <v>45673</v>
      </c>
      <c r="D322" t="inlineStr">
        <is>
          <t>VÄSTRA GÖTALANDS LÄN</t>
        </is>
      </c>
      <c r="E322" t="inlineStr">
        <is>
          <t>UDDEVALLA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50019-2023</t>
        </is>
      </c>
      <c r="B323" s="1" t="n">
        <v>45215</v>
      </c>
      <c r="C323" s="1" t="n">
        <v>45673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50023-2023</t>
        </is>
      </c>
      <c r="B324" s="1" t="n">
        <v>45215</v>
      </c>
      <c r="C324" s="1" t="n">
        <v>45673</v>
      </c>
      <c r="D324" t="inlineStr">
        <is>
          <t>VÄSTRA GÖTALANDS LÄN</t>
        </is>
      </c>
      <c r="E324" t="inlineStr">
        <is>
          <t>UDDEVALLA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51523-2023</t>
        </is>
      </c>
      <c r="B325" s="1" t="n">
        <v>45215</v>
      </c>
      <c r="C325" s="1" t="n">
        <v>45673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52569-2023</t>
        </is>
      </c>
      <c r="B326" s="1" t="n">
        <v>45225</v>
      </c>
      <c r="C326" s="1" t="n">
        <v>45673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52577-2023</t>
        </is>
      </c>
      <c r="B327" s="1" t="n">
        <v>45225</v>
      </c>
      <c r="C327" s="1" t="n">
        <v>45673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52905-2023</t>
        </is>
      </c>
      <c r="B328" s="1" t="n">
        <v>45226</v>
      </c>
      <c r="C328" s="1" t="n">
        <v>45673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53001-2023</t>
        </is>
      </c>
      <c r="B329" s="1" t="n">
        <v>45226</v>
      </c>
      <c r="C329" s="1" t="n">
        <v>45673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52819-2023</t>
        </is>
      </c>
      <c r="B330" s="1" t="n">
        <v>45226</v>
      </c>
      <c r="C330" s="1" t="n">
        <v>45673</v>
      </c>
      <c r="D330" t="inlineStr">
        <is>
          <t>VÄSTRA GÖTALANDS LÄN</t>
        </is>
      </c>
      <c r="E330" t="inlineStr">
        <is>
          <t>UDDEVALLA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52889-2023</t>
        </is>
      </c>
      <c r="B331" s="1" t="n">
        <v>45226</v>
      </c>
      <c r="C331" s="1" t="n">
        <v>45673</v>
      </c>
      <c r="D331" t="inlineStr">
        <is>
          <t>VÄSTRA GÖTALANDS LÄN</t>
        </is>
      </c>
      <c r="E331" t="inlineStr">
        <is>
          <t>UDDEVALLA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54258-2023</t>
        </is>
      </c>
      <c r="B332" s="1" t="n">
        <v>45232</v>
      </c>
      <c r="C332" s="1" t="n">
        <v>45673</v>
      </c>
      <c r="D332" t="inlineStr">
        <is>
          <t>VÄSTRA GÖTALANDS LÄN</t>
        </is>
      </c>
      <c r="E332" t="inlineStr">
        <is>
          <t>UDDEVALLA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54965-2023</t>
        </is>
      </c>
      <c r="B333" s="1" t="n">
        <v>45236</v>
      </c>
      <c r="C333" s="1" t="n">
        <v>45673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55254-2023</t>
        </is>
      </c>
      <c r="B334" s="1" t="n">
        <v>45237</v>
      </c>
      <c r="C334" s="1" t="n">
        <v>45673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55424-2023</t>
        </is>
      </c>
      <c r="B335" s="1" t="n">
        <v>45238</v>
      </c>
      <c r="C335" s="1" t="n">
        <v>45673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55416-2023</t>
        </is>
      </c>
      <c r="B336" s="1" t="n">
        <v>45238</v>
      </c>
      <c r="C336" s="1" t="n">
        <v>45673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55731-2023</t>
        </is>
      </c>
      <c r="B337" s="1" t="n">
        <v>45239</v>
      </c>
      <c r="C337" s="1" t="n">
        <v>45673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58365-2023</t>
        </is>
      </c>
      <c r="B338" s="1" t="n">
        <v>45245</v>
      </c>
      <c r="C338" s="1" t="n">
        <v>45673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58359-2023</t>
        </is>
      </c>
      <c r="B339" s="1" t="n">
        <v>45245</v>
      </c>
      <c r="C339" s="1" t="n">
        <v>45673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45673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59139-2023</t>
        </is>
      </c>
      <c r="B341" s="1" t="n">
        <v>45251</v>
      </c>
      <c r="C341" s="1" t="n">
        <v>45673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59674-2023</t>
        </is>
      </c>
      <c r="B342" s="1" t="n">
        <v>45255</v>
      </c>
      <c r="C342" s="1" t="n">
        <v>45673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59829-2023</t>
        </is>
      </c>
      <c r="B343" s="1" t="n">
        <v>45257</v>
      </c>
      <c r="C343" s="1" t="n">
        <v>45673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62815-2023</t>
        </is>
      </c>
      <c r="B344" s="1" t="n">
        <v>45270</v>
      </c>
      <c r="C344" s="1" t="n">
        <v>45673</v>
      </c>
      <c r="D344" t="inlineStr">
        <is>
          <t>VÄSTRA GÖTALANDS LÄN</t>
        </is>
      </c>
      <c r="E344" t="inlineStr">
        <is>
          <t>UDDEVALLA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62814-2023</t>
        </is>
      </c>
      <c r="B345" s="1" t="n">
        <v>45270</v>
      </c>
      <c r="C345" s="1" t="n">
        <v>45673</v>
      </c>
      <c r="D345" t="inlineStr">
        <is>
          <t>VÄSTRA GÖTALANDS LÄN</t>
        </is>
      </c>
      <c r="E345" t="inlineStr">
        <is>
          <t>UDDEVALLA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63387-2023</t>
        </is>
      </c>
      <c r="B346" s="1" t="n">
        <v>45274</v>
      </c>
      <c r="C346" s="1" t="n">
        <v>45673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64083-2023</t>
        </is>
      </c>
      <c r="B347" s="1" t="n">
        <v>45279</v>
      </c>
      <c r="C347" s="1" t="n">
        <v>45673</v>
      </c>
      <c r="D347" t="inlineStr">
        <is>
          <t>VÄSTRA GÖTALANDS LÄN</t>
        </is>
      </c>
      <c r="E347" t="inlineStr">
        <is>
          <t>UDDEVALLA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64102-2023</t>
        </is>
      </c>
      <c r="B348" s="1" t="n">
        <v>45279</v>
      </c>
      <c r="C348" s="1" t="n">
        <v>45673</v>
      </c>
      <c r="D348" t="inlineStr">
        <is>
          <t>VÄSTRA GÖTALANDS LÄN</t>
        </is>
      </c>
      <c r="E348" t="inlineStr">
        <is>
          <t>UDDEVALLA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64108-2023</t>
        </is>
      </c>
      <c r="B349" s="1" t="n">
        <v>45279</v>
      </c>
      <c r="C349" s="1" t="n">
        <v>45673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64591-2023</t>
        </is>
      </c>
      <c r="B350" s="1" t="n">
        <v>45281</v>
      </c>
      <c r="C350" s="1" t="n">
        <v>45673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65101-2023</t>
        </is>
      </c>
      <c r="B351" s="1" t="n">
        <v>45288</v>
      </c>
      <c r="C351" s="1" t="n">
        <v>45673</v>
      </c>
      <c r="D351" t="inlineStr">
        <is>
          <t>VÄSTRA GÖTALANDS LÄN</t>
        </is>
      </c>
      <c r="E351" t="inlineStr">
        <is>
          <t>UDDEVALLA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65112-2023</t>
        </is>
      </c>
      <c r="B352" s="1" t="n">
        <v>45288</v>
      </c>
      <c r="C352" s="1" t="n">
        <v>45673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349-2024</t>
        </is>
      </c>
      <c r="B353" s="1" t="n">
        <v>45295</v>
      </c>
      <c r="C353" s="1" t="n">
        <v>45673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820-2024</t>
        </is>
      </c>
      <c r="B354" s="1" t="n">
        <v>45300</v>
      </c>
      <c r="C354" s="1" t="n">
        <v>45673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822-2024</t>
        </is>
      </c>
      <c r="B355" s="1" t="n">
        <v>45300</v>
      </c>
      <c r="C355" s="1" t="n">
        <v>45673</v>
      </c>
      <c r="D355" t="inlineStr">
        <is>
          <t>VÄSTRA GÖTALANDS LÄN</t>
        </is>
      </c>
      <c r="E355" t="inlineStr">
        <is>
          <t>UDDEVALLA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1147-2024</t>
        </is>
      </c>
      <c r="B356" s="1" t="n">
        <v>45302</v>
      </c>
      <c r="C356" s="1" t="n">
        <v>45673</v>
      </c>
      <c r="D356" t="inlineStr">
        <is>
          <t>VÄSTRA GÖTALANDS LÄN</t>
        </is>
      </c>
      <c r="E356" t="inlineStr">
        <is>
          <t>UDDEVALLA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</v>
      </c>
      <c r="C357" s="1" t="n">
        <v>45673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1913-2024</t>
        </is>
      </c>
      <c r="B358" s="1" t="n">
        <v>45308</v>
      </c>
      <c r="C358" s="1" t="n">
        <v>45673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2071-2024</t>
        </is>
      </c>
      <c r="B359" s="1" t="n">
        <v>45309</v>
      </c>
      <c r="C359" s="1" t="n">
        <v>45673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2099-2024</t>
        </is>
      </c>
      <c r="B360" s="1" t="n">
        <v>45309</v>
      </c>
      <c r="C360" s="1" t="n">
        <v>45673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2379-2024</t>
        </is>
      </c>
      <c r="B361" s="1" t="n">
        <v>45310</v>
      </c>
      <c r="C361" s="1" t="n">
        <v>45673</v>
      </c>
      <c r="D361" t="inlineStr">
        <is>
          <t>VÄSTRA GÖTALANDS LÄN</t>
        </is>
      </c>
      <c r="E361" t="inlineStr">
        <is>
          <t>UDDEVALLA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2647-2024</t>
        </is>
      </c>
      <c r="B362" s="1" t="n">
        <v>45314</v>
      </c>
      <c r="C362" s="1" t="n">
        <v>45673</v>
      </c>
      <c r="D362" t="inlineStr">
        <is>
          <t>VÄSTRA GÖTALANDS LÄN</t>
        </is>
      </c>
      <c r="E362" t="inlineStr">
        <is>
          <t>UDDEVALLA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3435-2024</t>
        </is>
      </c>
      <c r="B363" s="1" t="n">
        <v>45317</v>
      </c>
      <c r="C363" s="1" t="n">
        <v>45673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3430-2024</t>
        </is>
      </c>
      <c r="B364" s="1" t="n">
        <v>45317</v>
      </c>
      <c r="C364" s="1" t="n">
        <v>45673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3431-2024</t>
        </is>
      </c>
      <c r="B365" s="1" t="n">
        <v>45317</v>
      </c>
      <c r="C365" s="1" t="n">
        <v>45673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3967-2024</t>
        </is>
      </c>
      <c r="B366" s="1" t="n">
        <v>45322</v>
      </c>
      <c r="C366" s="1" t="n">
        <v>45673</v>
      </c>
      <c r="D366" t="inlineStr">
        <is>
          <t>VÄSTRA GÖTALANDS LÄN</t>
        </is>
      </c>
      <c r="E366" t="inlineStr">
        <is>
          <t>UDDEVALLA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6410-2024</t>
        </is>
      </c>
      <c r="B367" s="1" t="n">
        <v>45338</v>
      </c>
      <c r="C367" s="1" t="n">
        <v>45673</v>
      </c>
      <c r="D367" t="inlineStr">
        <is>
          <t>VÄSTRA GÖTALANDS LÄN</t>
        </is>
      </c>
      <c r="E367" t="inlineStr">
        <is>
          <t>UDDEVALLA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6429-2024</t>
        </is>
      </c>
      <c r="B368" s="1" t="n">
        <v>45338</v>
      </c>
      <c r="C368" s="1" t="n">
        <v>45673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6433-2024</t>
        </is>
      </c>
      <c r="B369" s="1" t="n">
        <v>45338</v>
      </c>
      <c r="C369" s="1" t="n">
        <v>45673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6873-2024</t>
        </is>
      </c>
      <c r="B370" s="1" t="n">
        <v>45342</v>
      </c>
      <c r="C370" s="1" t="n">
        <v>45673</v>
      </c>
      <c r="D370" t="inlineStr">
        <is>
          <t>VÄSTRA GÖTALANDS LÄN</t>
        </is>
      </c>
      <c r="E370" t="inlineStr">
        <is>
          <t>UDDEVALLA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6970-2024</t>
        </is>
      </c>
      <c r="B371" s="1" t="n">
        <v>45343</v>
      </c>
      <c r="C371" s="1" t="n">
        <v>45673</v>
      </c>
      <c r="D371" t="inlineStr">
        <is>
          <t>VÄSTRA GÖTALANDS LÄN</t>
        </is>
      </c>
      <c r="E371" t="inlineStr">
        <is>
          <t>UDDEVALLA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6977-2024</t>
        </is>
      </c>
      <c r="B372" s="1" t="n">
        <v>45343</v>
      </c>
      <c r="C372" s="1" t="n">
        <v>45673</v>
      </c>
      <c r="D372" t="inlineStr">
        <is>
          <t>VÄSTRA GÖTALANDS LÄN</t>
        </is>
      </c>
      <c r="E372" t="inlineStr">
        <is>
          <t>UDDEVALLA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7725-2024</t>
        </is>
      </c>
      <c r="B373" s="1" t="n">
        <v>45349</v>
      </c>
      <c r="C373" s="1" t="n">
        <v>45673</v>
      </c>
      <c r="D373" t="inlineStr">
        <is>
          <t>VÄSTRA GÖTALANDS LÄN</t>
        </is>
      </c>
      <c r="E373" t="inlineStr">
        <is>
          <t>UDDEVALLA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45673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45673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45673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45673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45673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45673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45673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45673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45673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45673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45673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45673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45673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45673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45673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45673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45673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45673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45673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45673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45673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45673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45673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45673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45673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45673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45673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45673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45673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45673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45673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45673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45673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45673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45673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45673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45673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45673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45673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45673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45673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45673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45673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45673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45673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45673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45673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45673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45673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45673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45673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45673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45673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45673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45673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45673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45673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45673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45673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45673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45673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45673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45673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45673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45673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45673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45673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45673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45673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45673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45673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45673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45673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45673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45673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45673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45673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45673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45673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45673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45673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45673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45673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45673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45673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45673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45673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45673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45673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45673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45673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45673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45673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45673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45673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45673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45673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45673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45673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45673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45673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45673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45673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45673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45673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45673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45673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45673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45673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45673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45673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45673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45673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60242-2024</t>
        </is>
      </c>
      <c r="B487" s="1" t="n">
        <v>45642</v>
      </c>
      <c r="C487" s="1" t="n">
        <v>45673</v>
      </c>
      <c r="D487" t="inlineStr">
        <is>
          <t>VÄSTRA GÖTALANDS LÄN</t>
        </is>
      </c>
      <c r="E487" t="inlineStr">
        <is>
          <t>UDDEVALLA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60250-2024</t>
        </is>
      </c>
      <c r="B488" s="1" t="n">
        <v>45642</v>
      </c>
      <c r="C488" s="1" t="n">
        <v>45673</v>
      </c>
      <c r="D488" t="inlineStr">
        <is>
          <t>VÄSTRA GÖTALANDS LÄN</t>
        </is>
      </c>
      <c r="E488" t="inlineStr">
        <is>
          <t>UDDEVALLA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60245-2024</t>
        </is>
      </c>
      <c r="B489" s="1" t="n">
        <v>45642</v>
      </c>
      <c r="C489" s="1" t="n">
        <v>45673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60241-2024</t>
        </is>
      </c>
      <c r="B490" s="1" t="n">
        <v>45642</v>
      </c>
      <c r="C490" s="1" t="n">
        <v>45673</v>
      </c>
      <c r="D490" t="inlineStr">
        <is>
          <t>VÄSTRA GÖTALANDS LÄN</t>
        </is>
      </c>
      <c r="E490" t="inlineStr">
        <is>
          <t>UDDEVALLA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45673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45673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45673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266-2025</t>
        </is>
      </c>
      <c r="B494" s="1" t="n">
        <v>45653</v>
      </c>
      <c r="C494" s="1" t="n">
        <v>45673</v>
      </c>
      <c r="D494" t="inlineStr">
        <is>
          <t>VÄSTRA GÖTALANDS LÄN</t>
        </is>
      </c>
      <c r="E494" t="inlineStr">
        <is>
          <t>UDDEVALLA</t>
        </is>
      </c>
      <c r="G494" t="n">
        <v>15.2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45673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62043-2024</t>
        </is>
      </c>
      <c r="B496" s="1" t="n">
        <v>45656</v>
      </c>
      <c r="C496" s="1" t="n">
        <v>45673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62042-2024</t>
        </is>
      </c>
      <c r="B497" s="1" t="n">
        <v>45656</v>
      </c>
      <c r="C497" s="1" t="n">
        <v>45673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62051-2024</t>
        </is>
      </c>
      <c r="B498" s="1" t="n">
        <v>45656</v>
      </c>
      <c r="C498" s="1" t="n">
        <v>45673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62055-2024</t>
        </is>
      </c>
      <c r="B499" s="1" t="n">
        <v>45656</v>
      </c>
      <c r="C499" s="1" t="n">
        <v>45673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62067-2024</t>
        </is>
      </c>
      <c r="B500" s="1" t="n">
        <v>45656</v>
      </c>
      <c r="C500" s="1" t="n">
        <v>45673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62075-2024</t>
        </is>
      </c>
      <c r="B501" s="1" t="n">
        <v>45656</v>
      </c>
      <c r="C501" s="1" t="n">
        <v>45673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62036-2024</t>
        </is>
      </c>
      <c r="B502" s="1" t="n">
        <v>45656</v>
      </c>
      <c r="C502" s="1" t="n">
        <v>45673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62040-2024</t>
        </is>
      </c>
      <c r="B503" s="1" t="n">
        <v>45656</v>
      </c>
      <c r="C503" s="1" t="n">
        <v>45673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62068-2024</t>
        </is>
      </c>
      <c r="B504" s="1" t="n">
        <v>45656</v>
      </c>
      <c r="C504" s="1" t="n">
        <v>45673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62106-2024</t>
        </is>
      </c>
      <c r="B505" s="1" t="n">
        <v>45656</v>
      </c>
      <c r="C505" s="1" t="n">
        <v>45673</v>
      </c>
      <c r="D505" t="inlineStr">
        <is>
          <t>VÄSTRA GÖTALANDS LÄN</t>
        </is>
      </c>
      <c r="E505" t="inlineStr">
        <is>
          <t>UDDEVALLA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62074-2024</t>
        </is>
      </c>
      <c r="B506" s="1" t="n">
        <v>45656</v>
      </c>
      <c r="C506" s="1" t="n">
        <v>45673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62037-2024</t>
        </is>
      </c>
      <c r="B507" s="1" t="n">
        <v>45656</v>
      </c>
      <c r="C507" s="1" t="n">
        <v>45673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62041-2024</t>
        </is>
      </c>
      <c r="B508" s="1" t="n">
        <v>45656</v>
      </c>
      <c r="C508" s="1" t="n">
        <v>45673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62045-2024</t>
        </is>
      </c>
      <c r="B509" s="1" t="n">
        <v>45656</v>
      </c>
      <c r="C509" s="1" t="n">
        <v>45673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62053-2024</t>
        </is>
      </c>
      <c r="B510" s="1" t="n">
        <v>45656</v>
      </c>
      <c r="C510" s="1" t="n">
        <v>45673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62073-2024</t>
        </is>
      </c>
      <c r="B511" s="1" t="n">
        <v>45656</v>
      </c>
      <c r="C511" s="1" t="n">
        <v>45673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62077-2024</t>
        </is>
      </c>
      <c r="B512" s="1" t="n">
        <v>45656</v>
      </c>
      <c r="C512" s="1" t="n">
        <v>45673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62072-2024</t>
        </is>
      </c>
      <c r="B513" s="1" t="n">
        <v>45656</v>
      </c>
      <c r="C513" s="1" t="n">
        <v>45673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45673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45673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45673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45673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2046-2025</t>
        </is>
      </c>
      <c r="B518" s="1" t="n">
        <v>45672</v>
      </c>
      <c r="C518" s="1" t="n">
        <v>45673</v>
      </c>
      <c r="D518" t="inlineStr">
        <is>
          <t>VÄSTRA GÖTALANDS LÄN</t>
        </is>
      </c>
      <c r="E518" t="inlineStr">
        <is>
          <t>UDDEVALLA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2097-2025</t>
        </is>
      </c>
      <c r="B519" s="1" t="n">
        <v>45672</v>
      </c>
      <c r="C519" s="1" t="n">
        <v>45673</v>
      </c>
      <c r="D519" t="inlineStr">
        <is>
          <t>VÄSTRA GÖTALANDS LÄN</t>
        </is>
      </c>
      <c r="E519" t="inlineStr">
        <is>
          <t>UDDEVALLA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2115-2025</t>
        </is>
      </c>
      <c r="B520" s="1" t="n">
        <v>45672</v>
      </c>
      <c r="C520" s="1" t="n">
        <v>45673</v>
      </c>
      <c r="D520" t="inlineStr">
        <is>
          <t>VÄSTRA GÖTALANDS LÄN</t>
        </is>
      </c>
      <c r="E520" t="inlineStr">
        <is>
          <t>UDDEVALLA</t>
        </is>
      </c>
      <c r="G520" t="n">
        <v>14.1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45673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2047-2025</t>
        </is>
      </c>
      <c r="B522" s="1" t="n">
        <v>45672</v>
      </c>
      <c r="C522" s="1" t="n">
        <v>45673</v>
      </c>
      <c r="D522" t="inlineStr">
        <is>
          <t>VÄSTRA GÖTALANDS LÄN</t>
        </is>
      </c>
      <c r="E522" t="inlineStr">
        <is>
          <t>UDDEVALLA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2025-01-16T15:57:51Z</dcterms:created>
  <dcterms:modified xmlns:dcterms="http://purl.org/dc/terms/" xmlns:xsi="http://www.w3.org/2001/XMLSchema-instance" xsi:type="dcterms:W3CDTF">2025-01-16T15:57:51Z</dcterms:modified>
</cp:coreProperties>
</file>